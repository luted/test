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tepd0\Desktop\wafer2\"/>
    </mc:Choice>
  </mc:AlternateContent>
  <xr:revisionPtr revIDLastSave="0" documentId="13_ncr:1_{8B6F36EB-8A71-4FB1-AD97-0857CAD46841}" xr6:coauthVersionLast="36" xr6:coauthVersionMax="36" xr10:uidLastSave="{00000000-0000-0000-0000-000000000000}"/>
  <bookViews>
    <workbookView xWindow="0" yWindow="0" windowWidth="16575" windowHeight="10575" tabRatio="780" xr2:uid="{00000000-000D-0000-FFFF-FFFF00000000}"/>
  </bookViews>
  <sheets>
    <sheet name="PowrtSkiving" sheetId="1" r:id="rId1"/>
    <sheet name="Sp | Ep" sheetId="5" state="hidden" r:id="rId2"/>
    <sheet name="Vc" sheetId="13" r:id="rId3"/>
    <sheet name="Max Divisore" sheetId="6" r:id="rId4"/>
    <sheet name="Angolo Incrocio" sheetId="7" r:id="rId5"/>
    <sheet name="Md_k  |  W" sheetId="8" r:id="rId6"/>
    <sheet name="Dati Generali" sheetId="10" r:id="rId7"/>
    <sheet name="Tab. Punti Contr." sheetId="12" r:id="rId8"/>
    <sheet name="Foglio1" sheetId="20" r:id="rId9"/>
    <sheet name="SAGOMA PARAMETRI" sheetId="18" r:id="rId10"/>
    <sheet name="DATI GENERICI" sheetId="19" r:id="rId11"/>
    <sheet name="x Colt Ns Off" sheetId="14" r:id="rId12"/>
    <sheet name="Sp | Ep (2)" sheetId="15" state="hidden" r:id="rId13"/>
    <sheet name="Incisione" sheetId="16" r:id="rId14"/>
    <sheet name="Mod_off" sheetId="17" r:id="rId15"/>
  </sheets>
  <definedNames>
    <definedName name="_xlnm._FilterDatabase" localSheetId="10" hidden="1">'DATI GENERICI'!$B$1:$B$9</definedName>
    <definedName name="_xlnm._FilterDatabase" localSheetId="0" hidden="1">PowrtSkiving!$BA$172:$BA$13419</definedName>
    <definedName name="_xlnm._FilterDatabase" localSheetId="11" hidden="1">'x Colt Ns Off'!$BA$2:$BA$13416</definedName>
    <definedName name="ac." localSheetId="7">'Tab. Punti Contr.'!$O$5</definedName>
    <definedName name="an" localSheetId="7">'Tab. Punti Contr.'!$K$11</definedName>
    <definedName name="Db_teor_UT" localSheetId="7">'Tab. Punti Contr.'!$K$17</definedName>
    <definedName name="Df_part" localSheetId="7">'Tab. Punti Contr.'!$K$13</definedName>
    <definedName name="inv_apt" localSheetId="7">'Tab. Punti Contr.'!$O$9</definedName>
    <definedName name="Mn" localSheetId="7">'Tab. Punti Contr.'!$K$5</definedName>
    <definedName name="Mod._c." localSheetId="7">'Tab. Punti Contr.'!$O$7</definedName>
    <definedName name="P_1" localSheetId="7">'Tab. Punti Contr.'!$C$7</definedName>
    <definedName name="P_2" localSheetId="7">'Tab. Punti Contr.'!$C$9</definedName>
    <definedName name="P_3" localSheetId="7">'Tab. Punti Contr.'!$C$11</definedName>
    <definedName name="P_4" localSheetId="7">'Tab. Punti Contr.'!$C$13</definedName>
    <definedName name="Z_ut" localSheetId="7">'Tab. Punti Contr.'!$K$15</definedName>
  </definedNames>
  <calcPr calcId="181029"/>
</workbook>
</file>

<file path=xl/calcChain.xml><?xml version="1.0" encoding="utf-8"?>
<calcChain xmlns="http://schemas.openxmlformats.org/spreadsheetml/2006/main">
  <c r="C13" i="12" l="1"/>
  <c r="C11" i="12"/>
  <c r="C9" i="12"/>
  <c r="C7" i="12"/>
  <c r="E13" i="12"/>
  <c r="E11" i="12"/>
  <c r="E9" i="12"/>
  <c r="E7" i="12"/>
  <c r="E24" i="10" l="1"/>
  <c r="E22" i="10"/>
  <c r="E14" i="10"/>
  <c r="D11" i="12" l="1"/>
  <c r="E25" i="12" s="1"/>
  <c r="D7" i="12"/>
  <c r="C25" i="12" s="1"/>
  <c r="D13" i="12"/>
  <c r="F25" i="12" s="1"/>
  <c r="D9" i="12"/>
  <c r="D25" i="12" s="1"/>
  <c r="C24" i="10"/>
  <c r="C16" i="10" l="1"/>
  <c r="B47" i="10"/>
  <c r="C22" i="10"/>
  <c r="K7" i="12" s="1"/>
  <c r="C14" i="10"/>
  <c r="K15" i="12" s="1"/>
  <c r="E26" i="10" l="1"/>
  <c r="C19" i="12"/>
  <c r="G47" i="10"/>
  <c r="U24" i="17" l="1"/>
  <c r="V24" i="17" s="1"/>
  <c r="S24" i="17"/>
  <c r="S23" i="17"/>
  <c r="J23" i="17"/>
  <c r="J12" i="17"/>
  <c r="S10" i="17"/>
  <c r="U10" i="17" s="1"/>
  <c r="C3" i="17"/>
  <c r="D16" i="16"/>
  <c r="D14" i="16"/>
  <c r="D12" i="16"/>
  <c r="D10" i="16"/>
  <c r="H3" i="16"/>
  <c r="D3" i="16"/>
  <c r="D8" i="16" s="1"/>
  <c r="H1" i="16"/>
  <c r="AA326" i="14"/>
  <c r="AA325" i="14"/>
  <c r="AA324" i="14"/>
  <c r="AA323" i="14"/>
  <c r="AA322" i="14"/>
  <c r="AA321" i="14"/>
  <c r="AA320" i="14"/>
  <c r="AA319" i="14"/>
  <c r="AA318" i="14"/>
  <c r="AA317" i="14"/>
  <c r="AA316" i="14"/>
  <c r="AA315" i="14"/>
  <c r="AA314" i="14"/>
  <c r="AA313" i="14"/>
  <c r="AA312" i="14"/>
  <c r="AA311" i="14"/>
  <c r="AA310" i="14"/>
  <c r="X306" i="14"/>
  <c r="AA306" i="14" s="1"/>
  <c r="V306" i="14"/>
  <c r="AA267" i="14"/>
  <c r="AA265" i="14"/>
  <c r="AA263" i="14"/>
  <c r="AA262" i="14"/>
  <c r="AA261" i="14"/>
  <c r="AA260" i="14"/>
  <c r="AA259" i="14"/>
  <c r="AA257" i="14"/>
  <c r="AA255" i="14"/>
  <c r="AA254" i="14"/>
  <c r="AA253" i="14"/>
  <c r="AA252" i="14"/>
  <c r="X252" i="14"/>
  <c r="R256" i="14" s="1"/>
  <c r="V252" i="14"/>
  <c r="AA251" i="14"/>
  <c r="V250" i="14"/>
  <c r="AA249" i="14"/>
  <c r="AA247" i="14"/>
  <c r="AA245" i="14"/>
  <c r="AA244" i="14"/>
  <c r="AA243" i="14"/>
  <c r="AA242" i="14"/>
  <c r="AA241" i="14"/>
  <c r="AA240" i="14"/>
  <c r="AA239" i="14"/>
  <c r="AA238" i="14"/>
  <c r="AA237" i="14"/>
  <c r="AA236" i="14"/>
  <c r="AA235" i="14"/>
  <c r="AA234" i="14"/>
  <c r="AA233" i="14"/>
  <c r="AA232" i="14"/>
  <c r="AA231" i="14"/>
  <c r="AA223" i="14"/>
  <c r="AA220" i="14"/>
  <c r="AA218" i="14"/>
  <c r="AA216" i="14"/>
  <c r="AA214" i="14"/>
  <c r="AA212" i="14"/>
  <c r="AA210" i="14"/>
  <c r="AA208" i="14"/>
  <c r="AA206" i="14"/>
  <c r="AA205" i="14"/>
  <c r="AA129" i="14"/>
  <c r="W129" i="14"/>
  <c r="B44" i="14"/>
  <c r="A44" i="14"/>
  <c r="B43" i="14"/>
  <c r="A43" i="14"/>
  <c r="B42" i="14"/>
  <c r="A42" i="14"/>
  <c r="B41" i="14"/>
  <c r="A41" i="14"/>
  <c r="AD37" i="14"/>
  <c r="AC37" i="14"/>
  <c r="I37" i="14"/>
  <c r="A37" i="14"/>
  <c r="G33" i="14"/>
  <c r="B32" i="14"/>
  <c r="D29" i="14"/>
  <c r="D28" i="14"/>
  <c r="AD27" i="14"/>
  <c r="E27" i="14"/>
  <c r="J24" i="14"/>
  <c r="K22" i="14"/>
  <c r="J22" i="14"/>
  <c r="G22" i="14"/>
  <c r="C17" i="14"/>
  <c r="D15" i="14"/>
  <c r="E15" i="14" s="1"/>
  <c r="X264" i="14" s="1"/>
  <c r="E13" i="14"/>
  <c r="F12" i="14"/>
  <c r="E12" i="14"/>
  <c r="C11" i="14"/>
  <c r="C10" i="14"/>
  <c r="B9" i="14"/>
  <c r="B16" i="14" s="1"/>
  <c r="A5" i="15" s="1"/>
  <c r="B6" i="14"/>
  <c r="D11" i="14" s="1"/>
  <c r="G1" i="14"/>
  <c r="W125" i="14" s="1"/>
  <c r="AA125" i="14" s="1"/>
  <c r="B1" i="14"/>
  <c r="A1" i="14"/>
  <c r="B7" i="19"/>
  <c r="M4" i="18" s="1"/>
  <c r="B6" i="19"/>
  <c r="B5" i="19"/>
  <c r="I4" i="18" s="1"/>
  <c r="B1" i="19"/>
  <c r="J5" i="18"/>
  <c r="E5" i="18"/>
  <c r="K4" i="18"/>
  <c r="I3" i="18"/>
  <c r="C3" i="18"/>
  <c r="M1" i="18"/>
  <c r="L1" i="18"/>
  <c r="H153" i="12"/>
  <c r="H152" i="12"/>
  <c r="P88" i="12" s="1"/>
  <c r="H151" i="12"/>
  <c r="P87" i="12" s="1"/>
  <c r="H150" i="12"/>
  <c r="H149" i="12"/>
  <c r="H148" i="12"/>
  <c r="P84" i="12" s="1"/>
  <c r="H147" i="12"/>
  <c r="P83" i="12" s="1"/>
  <c r="H146" i="12"/>
  <c r="H145" i="12"/>
  <c r="H144" i="12"/>
  <c r="P80" i="12" s="1"/>
  <c r="H143" i="12"/>
  <c r="P79" i="12" s="1"/>
  <c r="H142" i="12"/>
  <c r="P78" i="12" s="1"/>
  <c r="H141" i="12"/>
  <c r="P77" i="12" s="1"/>
  <c r="H140" i="12"/>
  <c r="P76" i="12" s="1"/>
  <c r="H139" i="12"/>
  <c r="P75" i="12" s="1"/>
  <c r="H138" i="12"/>
  <c r="P74" i="12" s="1"/>
  <c r="H137" i="12"/>
  <c r="P73" i="12" s="1"/>
  <c r="H136" i="12"/>
  <c r="P72" i="12" s="1"/>
  <c r="H135" i="12"/>
  <c r="P71" i="12" s="1"/>
  <c r="H134" i="12"/>
  <c r="P70" i="12" s="1"/>
  <c r="H133" i="12"/>
  <c r="P69" i="12" s="1"/>
  <c r="H132" i="12"/>
  <c r="P68" i="12" s="1"/>
  <c r="P89" i="12"/>
  <c r="P86" i="12"/>
  <c r="P85" i="12"/>
  <c r="P82" i="12"/>
  <c r="P81" i="12"/>
  <c r="B18" i="12"/>
  <c r="B16" i="12"/>
  <c r="N25" i="12"/>
  <c r="M25" i="12"/>
  <c r="E93" i="12"/>
  <c r="M29" i="12" s="1"/>
  <c r="L25" i="12"/>
  <c r="K25" i="12"/>
  <c r="L1" i="12"/>
  <c r="D1" i="12"/>
  <c r="J74" i="10"/>
  <c r="E74" i="10"/>
  <c r="J72" i="10"/>
  <c r="E72" i="10"/>
  <c r="J70" i="10"/>
  <c r="E70" i="10"/>
  <c r="J68" i="10"/>
  <c r="E68" i="10"/>
  <c r="J66" i="10"/>
  <c r="E66" i="10"/>
  <c r="J61" i="10"/>
  <c r="J59" i="10"/>
  <c r="E59" i="10"/>
  <c r="J57" i="10"/>
  <c r="E57" i="10"/>
  <c r="J55" i="10"/>
  <c r="E55" i="10"/>
  <c r="J53" i="10"/>
  <c r="E53" i="10"/>
  <c r="J44" i="10"/>
  <c r="J42" i="10"/>
  <c r="J40" i="10"/>
  <c r="J38" i="10"/>
  <c r="J36" i="10"/>
  <c r="J34" i="10"/>
  <c r="C26" i="10"/>
  <c r="E61" i="10" s="1"/>
  <c r="C20" i="10"/>
  <c r="O13" i="12" s="1"/>
  <c r="C18" i="10"/>
  <c r="O15" i="12" s="1"/>
  <c r="H1" i="10"/>
  <c r="D1" i="10"/>
  <c r="E30" i="8"/>
  <c r="E28" i="8"/>
  <c r="H26" i="8"/>
  <c r="E26" i="8"/>
  <c r="H24" i="8"/>
  <c r="E24" i="8"/>
  <c r="E9" i="8"/>
  <c r="D41" i="14" s="1"/>
  <c r="J6" i="8"/>
  <c r="C5" i="8"/>
  <c r="C4" i="8"/>
  <c r="J5" i="8" s="1"/>
  <c r="C3" i="8"/>
  <c r="C2" i="8"/>
  <c r="I27" i="7"/>
  <c r="E20" i="7"/>
  <c r="C8" i="7"/>
  <c r="C3" i="7"/>
  <c r="E3" i="7" s="1"/>
  <c r="Q3" i="6"/>
  <c r="Q4" i="6" s="1"/>
  <c r="C25" i="13"/>
  <c r="G23" i="13"/>
  <c r="G21" i="13"/>
  <c r="O18" i="13"/>
  <c r="G17" i="13"/>
  <c r="G15" i="13" s="1"/>
  <c r="H1" i="13"/>
  <c r="Q11850" i="1"/>
  <c r="K11850" i="1" s="1"/>
  <c r="AA11843" i="1"/>
  <c r="S11839" i="1"/>
  <c r="AA11839" i="1" s="1"/>
  <c r="S11819" i="1"/>
  <c r="AA11819" i="1" s="1"/>
  <c r="AA11814" i="1"/>
  <c r="S11811" i="1"/>
  <c r="AA11811" i="1" s="1"/>
  <c r="S11808" i="1"/>
  <c r="AA11808" i="1" s="1"/>
  <c r="S11806" i="1"/>
  <c r="AA11806" i="1" s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X308" i="1"/>
  <c r="W308" i="1"/>
  <c r="V308" i="1"/>
  <c r="X307" i="1"/>
  <c r="W307" i="1"/>
  <c r="V307" i="1"/>
  <c r="W306" i="1"/>
  <c r="V306" i="1"/>
  <c r="AA267" i="1"/>
  <c r="AA266" i="1"/>
  <c r="V266" i="1"/>
  <c r="AA265" i="1"/>
  <c r="V264" i="1"/>
  <c r="AA263" i="1"/>
  <c r="AA262" i="1"/>
  <c r="AA261" i="1"/>
  <c r="AA260" i="1"/>
  <c r="AA259" i="1"/>
  <c r="AA257" i="1"/>
  <c r="AA255" i="1"/>
  <c r="AA254" i="1"/>
  <c r="AA253" i="1"/>
  <c r="X252" i="1"/>
  <c r="V252" i="1"/>
  <c r="AA252" i="1" s="1"/>
  <c r="AA251" i="1"/>
  <c r="V250" i="1"/>
  <c r="AA249" i="1"/>
  <c r="AA247" i="1"/>
  <c r="AA245" i="1"/>
  <c r="AA244" i="1"/>
  <c r="AA243" i="1"/>
  <c r="AA242" i="1"/>
  <c r="AA241" i="1"/>
  <c r="AA240" i="1"/>
  <c r="AA239" i="1"/>
  <c r="AA238" i="1"/>
  <c r="AA236" i="1"/>
  <c r="AA235" i="1"/>
  <c r="AA234" i="1"/>
  <c r="AA233" i="1"/>
  <c r="AA232" i="1"/>
  <c r="AA231" i="1"/>
  <c r="X229" i="1"/>
  <c r="R230" i="1" s="1"/>
  <c r="AA223" i="1"/>
  <c r="AA220" i="1"/>
  <c r="AA218" i="1"/>
  <c r="AA216" i="1"/>
  <c r="AA214" i="1"/>
  <c r="AA212" i="1"/>
  <c r="R211" i="1"/>
  <c r="X211" i="1" s="1"/>
  <c r="AA211" i="1" s="1"/>
  <c r="AA210" i="1"/>
  <c r="V209" i="1"/>
  <c r="AA208" i="1"/>
  <c r="X207" i="1"/>
  <c r="V207" i="1"/>
  <c r="AA206" i="1"/>
  <c r="AA205" i="1"/>
  <c r="AA159" i="1"/>
  <c r="U159" i="1"/>
  <c r="W129" i="1"/>
  <c r="AA129" i="1" s="1"/>
  <c r="AA125" i="1"/>
  <c r="W125" i="1"/>
  <c r="B44" i="1"/>
  <c r="A44" i="1"/>
  <c r="B43" i="1"/>
  <c r="A43" i="1"/>
  <c r="B42" i="1"/>
  <c r="A42" i="1"/>
  <c r="B41" i="1"/>
  <c r="A41" i="1"/>
  <c r="AD37" i="1"/>
  <c r="AC37" i="1"/>
  <c r="AB37" i="1"/>
  <c r="I37" i="1"/>
  <c r="C37" i="1"/>
  <c r="A37" i="1"/>
  <c r="H33" i="1"/>
  <c r="G33" i="1"/>
  <c r="B33" i="1"/>
  <c r="B32" i="1"/>
  <c r="D29" i="1"/>
  <c r="AD27" i="1"/>
  <c r="K27" i="1"/>
  <c r="F8" i="5" s="1"/>
  <c r="E27" i="1"/>
  <c r="J24" i="1"/>
  <c r="B23" i="1"/>
  <c r="J22" i="1"/>
  <c r="G22" i="1"/>
  <c r="B22" i="1"/>
  <c r="C17" i="1"/>
  <c r="B17" i="1"/>
  <c r="B5" i="5" s="1"/>
  <c r="B16" i="1"/>
  <c r="A5" i="5" s="1"/>
  <c r="AD15" i="1"/>
  <c r="AD14" i="1"/>
  <c r="AD13" i="1"/>
  <c r="D13" i="1"/>
  <c r="F12" i="1"/>
  <c r="E12" i="1"/>
  <c r="X250" i="1" s="1"/>
  <c r="D12" i="1"/>
  <c r="D11" i="1"/>
  <c r="C11" i="1"/>
  <c r="D10" i="1"/>
  <c r="C10" i="1"/>
  <c r="B8" i="1"/>
  <c r="B20" i="1" s="1"/>
  <c r="F5" i="5" s="1"/>
  <c r="E7" i="1"/>
  <c r="X221" i="1" s="1"/>
  <c r="E6" i="1"/>
  <c r="X209" i="1" s="1"/>
  <c r="D6" i="1"/>
  <c r="C6" i="1"/>
  <c r="B5" i="1"/>
  <c r="B1" i="1"/>
  <c r="C9" i="17" s="1"/>
  <c r="A1" i="1"/>
  <c r="C5" i="1" l="1"/>
  <c r="D41" i="1"/>
  <c r="C21" i="12"/>
  <c r="N23" i="12" s="1"/>
  <c r="AA307" i="1"/>
  <c r="AA308" i="1"/>
  <c r="K3" i="6"/>
  <c r="AA207" i="1"/>
  <c r="C6" i="14"/>
  <c r="C5" i="14" s="1"/>
  <c r="D10" i="14"/>
  <c r="B22" i="14"/>
  <c r="B29" i="1"/>
  <c r="C9" i="1" s="1"/>
  <c r="C4" i="1" s="1"/>
  <c r="D6" i="14"/>
  <c r="V209" i="14"/>
  <c r="B34" i="1"/>
  <c r="AA250" i="1"/>
  <c r="R258" i="1"/>
  <c r="E29" i="14"/>
  <c r="Q5" i="6"/>
  <c r="K4" i="6"/>
  <c r="S4" i="6" s="1"/>
  <c r="X4" i="6" s="1"/>
  <c r="E4" i="6" s="1"/>
  <c r="W4" i="6"/>
  <c r="E8" i="10"/>
  <c r="C8" i="10" s="1"/>
  <c r="R213" i="1"/>
  <c r="X219" i="1"/>
  <c r="AA219" i="1" s="1"/>
  <c r="L230" i="1"/>
  <c r="AA209" i="1"/>
  <c r="R225" i="1"/>
  <c r="AA221" i="1"/>
  <c r="R227" i="1"/>
  <c r="L258" i="1"/>
  <c r="B32" i="13"/>
  <c r="B31" i="13"/>
  <c r="R256" i="1"/>
  <c r="B18" i="1"/>
  <c r="AA229" i="1"/>
  <c r="L11850" i="1"/>
  <c r="M11850" i="1" s="1"/>
  <c r="E10" i="10"/>
  <c r="C10" i="10" s="1"/>
  <c r="K11" i="12" s="1"/>
  <c r="B7" i="14"/>
  <c r="S9" i="17"/>
  <c r="E8" i="1"/>
  <c r="W3" i="6"/>
  <c r="J7" i="8"/>
  <c r="G4" i="8" s="1"/>
  <c r="G2" i="8"/>
  <c r="I20" i="8"/>
  <c r="D9" i="8"/>
  <c r="D15" i="8"/>
  <c r="J8" i="8"/>
  <c r="J9" i="8" s="1"/>
  <c r="X250" i="14"/>
  <c r="AA250" i="14" s="1"/>
  <c r="D8" i="15"/>
  <c r="A38" i="14"/>
  <c r="L256" i="14"/>
  <c r="X268" i="14"/>
  <c r="AA268" i="14" s="1"/>
  <c r="AC33" i="14"/>
  <c r="V10" i="17"/>
  <c r="U23" i="17"/>
  <c r="X24" i="17"/>
  <c r="W24" i="17"/>
  <c r="O24" i="17" s="1"/>
  <c r="E6" i="14"/>
  <c r="E9" i="14"/>
  <c r="D13" i="14"/>
  <c r="V264" i="14"/>
  <c r="AA264" i="14" s="1"/>
  <c r="V266" i="14"/>
  <c r="AA266" i="14" s="1"/>
  <c r="D12" i="14"/>
  <c r="H33" i="14"/>
  <c r="B26" i="12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H8" i="10"/>
  <c r="O11" i="12"/>
  <c r="E137" i="12"/>
  <c r="M73" i="12" s="1"/>
  <c r="E153" i="12"/>
  <c r="M89" i="12" s="1"/>
  <c r="E39" i="12"/>
  <c r="E41" i="12"/>
  <c r="E43" i="12"/>
  <c r="E45" i="12"/>
  <c r="E47" i="12"/>
  <c r="E49" i="12"/>
  <c r="E51" i="12"/>
  <c r="E53" i="12"/>
  <c r="E55" i="12"/>
  <c r="E57" i="12"/>
  <c r="E59" i="12"/>
  <c r="E61" i="12"/>
  <c r="E63" i="12"/>
  <c r="E65" i="12"/>
  <c r="E67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70" i="12"/>
  <c r="E71" i="12"/>
  <c r="E74" i="12"/>
  <c r="E75" i="12"/>
  <c r="F151" i="12"/>
  <c r="N87" i="12" s="1"/>
  <c r="F147" i="12"/>
  <c r="N83" i="12" s="1"/>
  <c r="F143" i="12"/>
  <c r="N79" i="12" s="1"/>
  <c r="F139" i="12"/>
  <c r="N75" i="12" s="1"/>
  <c r="F135" i="12"/>
  <c r="N71" i="12" s="1"/>
  <c r="F129" i="12"/>
  <c r="N65" i="12" s="1"/>
  <c r="F125" i="12"/>
  <c r="N61" i="12" s="1"/>
  <c r="F152" i="12"/>
  <c r="N88" i="12" s="1"/>
  <c r="F148" i="12"/>
  <c r="N84" i="12" s="1"/>
  <c r="F144" i="12"/>
  <c r="N80" i="12" s="1"/>
  <c r="F140" i="12"/>
  <c r="N76" i="12" s="1"/>
  <c r="F136" i="12"/>
  <c r="N72" i="12" s="1"/>
  <c r="F132" i="12"/>
  <c r="N68" i="12" s="1"/>
  <c r="F128" i="12"/>
  <c r="N64" i="12" s="1"/>
  <c r="F124" i="12"/>
  <c r="N60" i="12" s="1"/>
  <c r="F131" i="12"/>
  <c r="N67" i="12" s="1"/>
  <c r="F123" i="12"/>
  <c r="N59" i="12" s="1"/>
  <c r="F120" i="12"/>
  <c r="N56" i="12" s="1"/>
  <c r="F116" i="12"/>
  <c r="N52" i="12" s="1"/>
  <c r="F126" i="12"/>
  <c r="N62" i="12" s="1"/>
  <c r="F119" i="12"/>
  <c r="N55" i="12" s="1"/>
  <c r="F115" i="12"/>
  <c r="N51" i="12" s="1"/>
  <c r="F111" i="12"/>
  <c r="N47" i="12" s="1"/>
  <c r="F107" i="12"/>
  <c r="N43" i="12" s="1"/>
  <c r="F130" i="12"/>
  <c r="N66" i="12" s="1"/>
  <c r="F117" i="12"/>
  <c r="N53" i="12" s="1"/>
  <c r="F106" i="12"/>
  <c r="N42" i="12" s="1"/>
  <c r="F105" i="12"/>
  <c r="N41" i="12" s="1"/>
  <c r="F102" i="12"/>
  <c r="N38" i="12" s="1"/>
  <c r="F98" i="12"/>
  <c r="N34" i="12" s="1"/>
  <c r="F94" i="12"/>
  <c r="N30" i="12" s="1"/>
  <c r="F90" i="12"/>
  <c r="N26" i="12" s="1"/>
  <c r="F89" i="12"/>
  <c r="F118" i="12"/>
  <c r="N54" i="12" s="1"/>
  <c r="F110" i="12"/>
  <c r="N46" i="12" s="1"/>
  <c r="F109" i="12"/>
  <c r="N45" i="12" s="1"/>
  <c r="F108" i="12"/>
  <c r="N44" i="12" s="1"/>
  <c r="F101" i="12"/>
  <c r="N37" i="12" s="1"/>
  <c r="F97" i="12"/>
  <c r="N33" i="12" s="1"/>
  <c r="F93" i="12"/>
  <c r="N29" i="12" s="1"/>
  <c r="F150" i="12"/>
  <c r="N86" i="12" s="1"/>
  <c r="F146" i="12"/>
  <c r="N82" i="12" s="1"/>
  <c r="F142" i="12"/>
  <c r="N78" i="12" s="1"/>
  <c r="F138" i="12"/>
  <c r="N74" i="12" s="1"/>
  <c r="F134" i="12"/>
  <c r="N70" i="12" s="1"/>
  <c r="F122" i="12"/>
  <c r="N58" i="12" s="1"/>
  <c r="F99" i="12"/>
  <c r="N35" i="12" s="1"/>
  <c r="F91" i="12"/>
  <c r="N27" i="12" s="1"/>
  <c r="F121" i="12"/>
  <c r="N57" i="12" s="1"/>
  <c r="F100" i="12"/>
  <c r="N36" i="12" s="1"/>
  <c r="F92" i="12"/>
  <c r="N28" i="12" s="1"/>
  <c r="F88" i="12"/>
  <c r="F87" i="12"/>
  <c r="F86" i="12"/>
  <c r="F85" i="12"/>
  <c r="F84" i="12"/>
  <c r="F83" i="12"/>
  <c r="F82" i="12"/>
  <c r="F81" i="12"/>
  <c r="F80" i="12"/>
  <c r="F79" i="12"/>
  <c r="F78" i="12"/>
  <c r="F77" i="12"/>
  <c r="F149" i="12"/>
  <c r="N85" i="12" s="1"/>
  <c r="F141" i="12"/>
  <c r="N77" i="12" s="1"/>
  <c r="F133" i="12"/>
  <c r="N69" i="12" s="1"/>
  <c r="F113" i="12"/>
  <c r="N49" i="12" s="1"/>
  <c r="F112" i="12"/>
  <c r="N48" i="12" s="1"/>
  <c r="F104" i="12"/>
  <c r="N40" i="12" s="1"/>
  <c r="F127" i="12"/>
  <c r="N63" i="12" s="1"/>
  <c r="F114" i="12"/>
  <c r="N50" i="12" s="1"/>
  <c r="F103" i="12"/>
  <c r="N39" i="12" s="1"/>
  <c r="F76" i="12"/>
  <c r="F145" i="12"/>
  <c r="N81" i="12" s="1"/>
  <c r="F73" i="12"/>
  <c r="F69" i="12"/>
  <c r="F137" i="12"/>
  <c r="N73" i="12" s="1"/>
  <c r="F95" i="12"/>
  <c r="N31" i="12" s="1"/>
  <c r="F74" i="12"/>
  <c r="F70" i="12"/>
  <c r="F67" i="12"/>
  <c r="F65" i="12"/>
  <c r="F63" i="12"/>
  <c r="F61" i="12"/>
  <c r="F59" i="12"/>
  <c r="F57" i="12"/>
  <c r="F55" i="12"/>
  <c r="F53" i="12"/>
  <c r="F51" i="12"/>
  <c r="F49" i="12"/>
  <c r="F47" i="12"/>
  <c r="F45" i="12"/>
  <c r="F43" i="12"/>
  <c r="F41" i="12"/>
  <c r="F153" i="12"/>
  <c r="N89" i="12" s="1"/>
  <c r="F96" i="12"/>
  <c r="N32" i="12" s="1"/>
  <c r="F75" i="12"/>
  <c r="F71" i="12"/>
  <c r="F39" i="12"/>
  <c r="F68" i="12"/>
  <c r="F64" i="12"/>
  <c r="F60" i="12"/>
  <c r="F56" i="12"/>
  <c r="F52" i="12"/>
  <c r="F48" i="12"/>
  <c r="F44" i="12"/>
  <c r="F40" i="12"/>
  <c r="F38" i="12"/>
  <c r="F36" i="12"/>
  <c r="F34" i="12"/>
  <c r="F32" i="12"/>
  <c r="F30" i="12"/>
  <c r="F28" i="12"/>
  <c r="F26" i="12"/>
  <c r="F72" i="12"/>
  <c r="F66" i="12"/>
  <c r="F62" i="12"/>
  <c r="F58" i="12"/>
  <c r="F54" i="12"/>
  <c r="F50" i="12"/>
  <c r="F46" i="12"/>
  <c r="F42" i="12"/>
  <c r="F37" i="12"/>
  <c r="F35" i="12"/>
  <c r="F33" i="12"/>
  <c r="F31" i="12"/>
  <c r="F29" i="12"/>
  <c r="F27" i="12"/>
  <c r="R90" i="12"/>
  <c r="S90" i="12" s="1"/>
  <c r="R78" i="12"/>
  <c r="S78" i="12" s="1"/>
  <c r="R72" i="12"/>
  <c r="S72" i="12" s="1"/>
  <c r="R68" i="12"/>
  <c r="S68" i="12" s="1"/>
  <c r="R64" i="12"/>
  <c r="S64" i="12" s="1"/>
  <c r="R60" i="12"/>
  <c r="S60" i="12" s="1"/>
  <c r="R56" i="12"/>
  <c r="S56" i="12" s="1"/>
  <c r="R52" i="12"/>
  <c r="S52" i="12" s="1"/>
  <c r="R48" i="12"/>
  <c r="S48" i="12" s="1"/>
  <c r="R44" i="12"/>
  <c r="S44" i="12" s="1"/>
  <c r="R40" i="12"/>
  <c r="S40" i="12" s="1"/>
  <c r="E150" i="12"/>
  <c r="M86" i="12" s="1"/>
  <c r="E146" i="12"/>
  <c r="M82" i="12" s="1"/>
  <c r="E142" i="12"/>
  <c r="M78" i="12" s="1"/>
  <c r="E138" i="12"/>
  <c r="M74" i="12" s="1"/>
  <c r="E134" i="12"/>
  <c r="M70" i="12" s="1"/>
  <c r="E130" i="12"/>
  <c r="M66" i="12" s="1"/>
  <c r="E126" i="12"/>
  <c r="M62" i="12" s="1"/>
  <c r="E151" i="12"/>
  <c r="M87" i="12" s="1"/>
  <c r="E147" i="12"/>
  <c r="M83" i="12" s="1"/>
  <c r="E143" i="12"/>
  <c r="M79" i="12" s="1"/>
  <c r="E139" i="12"/>
  <c r="M75" i="12" s="1"/>
  <c r="E135" i="12"/>
  <c r="M71" i="12" s="1"/>
  <c r="E129" i="12"/>
  <c r="M65" i="12" s="1"/>
  <c r="E125" i="12"/>
  <c r="M61" i="12" s="1"/>
  <c r="E128" i="12"/>
  <c r="M64" i="12" s="1"/>
  <c r="E121" i="12"/>
  <c r="M57" i="12" s="1"/>
  <c r="E117" i="12"/>
  <c r="M53" i="12" s="1"/>
  <c r="E131" i="12"/>
  <c r="M67" i="12" s="1"/>
  <c r="E123" i="12"/>
  <c r="M59" i="12" s="1"/>
  <c r="E120" i="12"/>
  <c r="M56" i="12" s="1"/>
  <c r="E116" i="12"/>
  <c r="M52" i="12" s="1"/>
  <c r="E112" i="12"/>
  <c r="M48" i="12" s="1"/>
  <c r="E108" i="12"/>
  <c r="M44" i="12" s="1"/>
  <c r="E127" i="12"/>
  <c r="M63" i="12" s="1"/>
  <c r="E122" i="12"/>
  <c r="M58" i="12" s="1"/>
  <c r="E114" i="12"/>
  <c r="M50" i="12" s="1"/>
  <c r="E103" i="12"/>
  <c r="M39" i="12" s="1"/>
  <c r="E99" i="12"/>
  <c r="M35" i="12" s="1"/>
  <c r="E95" i="12"/>
  <c r="M31" i="12" s="1"/>
  <c r="E91" i="12"/>
  <c r="M27" i="12" s="1"/>
  <c r="E152" i="12"/>
  <c r="M88" i="12" s="1"/>
  <c r="E148" i="12"/>
  <c r="M84" i="12" s="1"/>
  <c r="E144" i="12"/>
  <c r="M80" i="12" s="1"/>
  <c r="E140" i="12"/>
  <c r="M76" i="12" s="1"/>
  <c r="E136" i="12"/>
  <c r="M72" i="12" s="1"/>
  <c r="E132" i="12"/>
  <c r="M68" i="12" s="1"/>
  <c r="E115" i="12"/>
  <c r="M51" i="12" s="1"/>
  <c r="E107" i="12"/>
  <c r="M43" i="12" s="1"/>
  <c r="E106" i="12"/>
  <c r="M42" i="12" s="1"/>
  <c r="E105" i="12"/>
  <c r="M41" i="12" s="1"/>
  <c r="E102" i="12"/>
  <c r="M38" i="12" s="1"/>
  <c r="E98" i="12"/>
  <c r="M34" i="12" s="1"/>
  <c r="E94" i="12"/>
  <c r="M30" i="12" s="1"/>
  <c r="E90" i="12"/>
  <c r="M26" i="12" s="1"/>
  <c r="E89" i="12"/>
  <c r="E119" i="12"/>
  <c r="M55" i="12" s="1"/>
  <c r="E113" i="12"/>
  <c r="M49" i="12" s="1"/>
  <c r="E104" i="12"/>
  <c r="M40" i="12" s="1"/>
  <c r="E96" i="12"/>
  <c r="M32" i="12" s="1"/>
  <c r="E118" i="12"/>
  <c r="M54" i="12" s="1"/>
  <c r="E97" i="12"/>
  <c r="M33" i="12" s="1"/>
  <c r="E111" i="12"/>
  <c r="M47" i="12" s="1"/>
  <c r="E110" i="12"/>
  <c r="M46" i="12" s="1"/>
  <c r="E109" i="12"/>
  <c r="M45" i="12" s="1"/>
  <c r="E101" i="12"/>
  <c r="M37" i="12" s="1"/>
  <c r="E88" i="12"/>
  <c r="E84" i="12"/>
  <c r="E80" i="12"/>
  <c r="E149" i="12"/>
  <c r="M85" i="12" s="1"/>
  <c r="E141" i="12"/>
  <c r="M77" i="12" s="1"/>
  <c r="E133" i="12"/>
  <c r="M69" i="12" s="1"/>
  <c r="E124" i="12"/>
  <c r="M60" i="12" s="1"/>
  <c r="E100" i="12"/>
  <c r="M36" i="12" s="1"/>
  <c r="E85" i="12"/>
  <c r="E81" i="12"/>
  <c r="E77" i="12"/>
  <c r="E69" i="12"/>
  <c r="E73" i="12"/>
  <c r="E76" i="12"/>
  <c r="R80" i="12"/>
  <c r="S80" i="12" s="1"/>
  <c r="E92" i="12"/>
  <c r="M28" i="12" s="1"/>
  <c r="E145" i="12"/>
  <c r="M81" i="12" s="1"/>
  <c r="R26" i="12"/>
  <c r="R28" i="12"/>
  <c r="S28" i="12" s="1"/>
  <c r="R32" i="12"/>
  <c r="S32" i="12" s="1"/>
  <c r="R36" i="12"/>
  <c r="S36" i="12" s="1"/>
  <c r="E40" i="12"/>
  <c r="E42" i="12"/>
  <c r="E44" i="12"/>
  <c r="E46" i="12"/>
  <c r="E48" i="12"/>
  <c r="E50" i="12"/>
  <c r="E52" i="12"/>
  <c r="E54" i="12"/>
  <c r="E56" i="12"/>
  <c r="E58" i="12"/>
  <c r="E60" i="12"/>
  <c r="E62" i="12"/>
  <c r="E64" i="12"/>
  <c r="E66" i="12"/>
  <c r="E68" i="12"/>
  <c r="E72" i="12"/>
  <c r="E78" i="12"/>
  <c r="E79" i="12"/>
  <c r="E82" i="12"/>
  <c r="E83" i="12"/>
  <c r="E86" i="12"/>
  <c r="E87" i="12"/>
  <c r="B23" i="12"/>
  <c r="G23" i="12"/>
  <c r="B3" i="19"/>
  <c r="M3" i="18" s="1"/>
  <c r="U164" i="1"/>
  <c r="AA164" i="1" s="1"/>
  <c r="S3" i="6" l="1"/>
  <c r="X3" i="6" s="1"/>
  <c r="E3" i="6" s="1"/>
  <c r="B5" i="6"/>
  <c r="B19" i="1"/>
  <c r="D9" i="1"/>
  <c r="S11850" i="1"/>
  <c r="AA11850" i="1" s="1"/>
  <c r="C43" i="14"/>
  <c r="C43" i="1"/>
  <c r="J4" i="8"/>
  <c r="M5" i="8"/>
  <c r="J11" i="8" s="1"/>
  <c r="J13" i="8" s="1"/>
  <c r="B8" i="14"/>
  <c r="B20" i="14" s="1"/>
  <c r="F5" i="15" s="1"/>
  <c r="B33" i="14"/>
  <c r="B34" i="14" s="1"/>
  <c r="D7" i="14"/>
  <c r="B23" i="14"/>
  <c r="C5" i="5"/>
  <c r="C8" i="1"/>
  <c r="L227" i="1"/>
  <c r="C37" i="14"/>
  <c r="V207" i="14"/>
  <c r="E16" i="14"/>
  <c r="X229" i="14"/>
  <c r="X207" i="14"/>
  <c r="X256" i="14"/>
  <c r="AA256" i="14" s="1"/>
  <c r="M256" i="14"/>
  <c r="N256" i="14" s="1"/>
  <c r="C41" i="14"/>
  <c r="C41" i="1"/>
  <c r="M256" i="1"/>
  <c r="L256" i="1"/>
  <c r="N256" i="1" s="1"/>
  <c r="X258" i="1"/>
  <c r="AA258" i="1" s="1"/>
  <c r="X219" i="14"/>
  <c r="AA219" i="14" s="1"/>
  <c r="X209" i="14"/>
  <c r="AA209" i="14" s="1"/>
  <c r="V23" i="17"/>
  <c r="B30" i="13"/>
  <c r="M258" i="1"/>
  <c r="L225" i="1"/>
  <c r="M225" i="1" s="1"/>
  <c r="M230" i="1"/>
  <c r="N230" i="1" s="1"/>
  <c r="G10" i="1"/>
  <c r="X213" i="1"/>
  <c r="AA213" i="1" s="1"/>
  <c r="Q6" i="6"/>
  <c r="W5" i="6"/>
  <c r="K5" i="6"/>
  <c r="S5" i="6" s="1"/>
  <c r="X5" i="6" s="1"/>
  <c r="E5" i="6" s="1"/>
  <c r="W10" i="17"/>
  <c r="J2" i="8"/>
  <c r="U9" i="17"/>
  <c r="V9" i="17" s="1"/>
  <c r="N258" i="1"/>
  <c r="K9" i="12"/>
  <c r="R88" i="12"/>
  <c r="S88" i="12" s="1"/>
  <c r="R89" i="12"/>
  <c r="S89" i="12" s="1"/>
  <c r="R35" i="12"/>
  <c r="S35" i="12" s="1"/>
  <c r="R31" i="12"/>
  <c r="S31" i="12" s="1"/>
  <c r="R27" i="12"/>
  <c r="S27" i="12" s="1"/>
  <c r="R85" i="12"/>
  <c r="S85" i="12" s="1"/>
  <c r="R77" i="12"/>
  <c r="S77" i="12" s="1"/>
  <c r="R79" i="12"/>
  <c r="S79" i="12" s="1"/>
  <c r="R41" i="12"/>
  <c r="S41" i="12" s="1"/>
  <c r="R45" i="12"/>
  <c r="S45" i="12" s="1"/>
  <c r="R49" i="12"/>
  <c r="S49" i="12" s="1"/>
  <c r="R53" i="12"/>
  <c r="S53" i="12" s="1"/>
  <c r="R57" i="12"/>
  <c r="S57" i="12" s="1"/>
  <c r="R61" i="12"/>
  <c r="S61" i="12" s="1"/>
  <c r="R65" i="12"/>
  <c r="S65" i="12" s="1"/>
  <c r="R69" i="12"/>
  <c r="S69" i="12" s="1"/>
  <c r="R73" i="12"/>
  <c r="S73" i="12" s="1"/>
  <c r="R82" i="12"/>
  <c r="S82" i="12" s="1"/>
  <c r="R91" i="12"/>
  <c r="S91" i="12" s="1"/>
  <c r="R38" i="12"/>
  <c r="S38" i="12" s="1"/>
  <c r="R34" i="12"/>
  <c r="S34" i="12" s="1"/>
  <c r="R30" i="12"/>
  <c r="S30" i="12" s="1"/>
  <c r="S26" i="12"/>
  <c r="R84" i="12"/>
  <c r="S84" i="12" s="1"/>
  <c r="R76" i="12"/>
  <c r="S76" i="12" s="1"/>
  <c r="R39" i="12"/>
  <c r="S39" i="12" s="1"/>
  <c r="R83" i="12"/>
  <c r="S83" i="12" s="1"/>
  <c r="R42" i="12"/>
  <c r="S42" i="12" s="1"/>
  <c r="R46" i="12"/>
  <c r="S46" i="12" s="1"/>
  <c r="R50" i="12"/>
  <c r="S50" i="12" s="1"/>
  <c r="R54" i="12"/>
  <c r="S54" i="12" s="1"/>
  <c r="R58" i="12"/>
  <c r="S58" i="12" s="1"/>
  <c r="R62" i="12"/>
  <c r="S62" i="12" s="1"/>
  <c r="R66" i="12"/>
  <c r="S66" i="12" s="1"/>
  <c r="R70" i="12"/>
  <c r="S70" i="12" s="1"/>
  <c r="R74" i="12"/>
  <c r="S74" i="12" s="1"/>
  <c r="R86" i="12"/>
  <c r="S86" i="12" s="1"/>
  <c r="R37" i="12"/>
  <c r="S37" i="12" s="1"/>
  <c r="R33" i="12"/>
  <c r="S33" i="12" s="1"/>
  <c r="R29" i="12"/>
  <c r="S29" i="12" s="1"/>
  <c r="R81" i="12"/>
  <c r="S81" i="12" s="1"/>
  <c r="R87" i="12"/>
  <c r="S87" i="12" s="1"/>
  <c r="R43" i="12"/>
  <c r="S43" i="12" s="1"/>
  <c r="R47" i="12"/>
  <c r="S47" i="12" s="1"/>
  <c r="R51" i="12"/>
  <c r="S51" i="12" s="1"/>
  <c r="R55" i="12"/>
  <c r="S55" i="12" s="1"/>
  <c r="R59" i="12"/>
  <c r="S59" i="12" s="1"/>
  <c r="R63" i="12"/>
  <c r="S63" i="12" s="1"/>
  <c r="R67" i="12"/>
  <c r="S67" i="12" s="1"/>
  <c r="R71" i="12"/>
  <c r="S71" i="12" s="1"/>
  <c r="R75" i="12"/>
  <c r="S75" i="12" s="1"/>
  <c r="O5" i="12"/>
  <c r="T70" i="12" s="1"/>
  <c r="J26" i="12"/>
  <c r="F16" i="12"/>
  <c r="F18" i="12" s="1"/>
  <c r="B92" i="12"/>
  <c r="R92" i="12" s="1"/>
  <c r="S92" i="12" s="1"/>
  <c r="J27" i="12"/>
  <c r="D8" i="1" l="1"/>
  <c r="D17" i="1" s="1"/>
  <c r="C6" i="7"/>
  <c r="I10" i="7" s="1"/>
  <c r="W9" i="17"/>
  <c r="X9" i="17" s="1"/>
  <c r="O9" i="17" s="1"/>
  <c r="O10" i="17"/>
  <c r="Q7" i="6"/>
  <c r="W6" i="6"/>
  <c r="K6" i="6"/>
  <c r="S6" i="6" s="1"/>
  <c r="X6" i="6" s="1"/>
  <c r="E6" i="6" s="1"/>
  <c r="R230" i="14"/>
  <c r="AA229" i="14"/>
  <c r="R258" i="14"/>
  <c r="E7" i="14"/>
  <c r="AB37" i="14"/>
  <c r="X10" i="17"/>
  <c r="X256" i="1"/>
  <c r="AA256" i="1" s="1"/>
  <c r="B19" i="14"/>
  <c r="D9" i="14"/>
  <c r="D8" i="14" s="1"/>
  <c r="G9" i="14"/>
  <c r="P3" i="14"/>
  <c r="D18" i="16"/>
  <c r="O11" i="17"/>
  <c r="N225" i="1"/>
  <c r="X225" i="1" s="1"/>
  <c r="AA225" i="1" s="1"/>
  <c r="AA207" i="14"/>
  <c r="M227" i="1"/>
  <c r="N227" i="1" s="1"/>
  <c r="X227" i="1" s="1"/>
  <c r="AA227" i="1" s="1"/>
  <c r="D26" i="1"/>
  <c r="D28" i="1"/>
  <c r="D5" i="5"/>
  <c r="D5" i="1"/>
  <c r="D4" i="1" s="1"/>
  <c r="D25" i="1"/>
  <c r="D27" i="1"/>
  <c r="J10" i="8"/>
  <c r="W23" i="17"/>
  <c r="X23" i="17" s="1"/>
  <c r="X230" i="1"/>
  <c r="AA230" i="1" s="1"/>
  <c r="C7" i="1"/>
  <c r="C18" i="1"/>
  <c r="D18" i="1" s="1"/>
  <c r="U70" i="12"/>
  <c r="X70" i="12" s="1"/>
  <c r="C140" i="12"/>
  <c r="K76" i="12" s="1"/>
  <c r="C145" i="12"/>
  <c r="K81" i="12" s="1"/>
  <c r="C150" i="12"/>
  <c r="K86" i="12" s="1"/>
  <c r="C134" i="12"/>
  <c r="K70" i="12" s="1"/>
  <c r="C147" i="12"/>
  <c r="K83" i="12" s="1"/>
  <c r="C152" i="12"/>
  <c r="K88" i="12" s="1"/>
  <c r="C136" i="12"/>
  <c r="K72" i="12" s="1"/>
  <c r="C141" i="12"/>
  <c r="K77" i="12" s="1"/>
  <c r="C146" i="12"/>
  <c r="K82" i="12" s="1"/>
  <c r="C143" i="12"/>
  <c r="K79" i="12" s="1"/>
  <c r="C148" i="12"/>
  <c r="K84" i="12" s="1"/>
  <c r="C132" i="12"/>
  <c r="K68" i="12" s="1"/>
  <c r="C153" i="12"/>
  <c r="K89" i="12" s="1"/>
  <c r="C137" i="12"/>
  <c r="K73" i="12" s="1"/>
  <c r="C142" i="12"/>
  <c r="K78" i="12" s="1"/>
  <c r="C139" i="12"/>
  <c r="K75" i="12" s="1"/>
  <c r="D141" i="12"/>
  <c r="L77" i="12" s="1"/>
  <c r="D142" i="12"/>
  <c r="L78" i="12" s="1"/>
  <c r="C144" i="12"/>
  <c r="K80" i="12" s="1"/>
  <c r="C149" i="12"/>
  <c r="K85" i="12" s="1"/>
  <c r="C133" i="12"/>
  <c r="K69" i="12" s="1"/>
  <c r="C138" i="12"/>
  <c r="K74" i="12" s="1"/>
  <c r="C151" i="12"/>
  <c r="K87" i="12" s="1"/>
  <c r="C135" i="12"/>
  <c r="K71" i="12" s="1"/>
  <c r="D149" i="12"/>
  <c r="L85" i="12" s="1"/>
  <c r="D138" i="12"/>
  <c r="L74" i="12" s="1"/>
  <c r="D143" i="12"/>
  <c r="L79" i="12" s="1"/>
  <c r="D140" i="12"/>
  <c r="L76" i="12" s="1"/>
  <c r="D145" i="12"/>
  <c r="L81" i="12" s="1"/>
  <c r="D134" i="12"/>
  <c r="L70" i="12" s="1"/>
  <c r="D139" i="12"/>
  <c r="L75" i="12" s="1"/>
  <c r="D152" i="12"/>
  <c r="L88" i="12" s="1"/>
  <c r="D136" i="12"/>
  <c r="L72" i="12" s="1"/>
  <c r="D137" i="12"/>
  <c r="L73" i="12" s="1"/>
  <c r="D150" i="12"/>
  <c r="L86" i="12" s="1"/>
  <c r="D151" i="12"/>
  <c r="L87" i="12" s="1"/>
  <c r="D135" i="12"/>
  <c r="L71" i="12" s="1"/>
  <c r="D148" i="12"/>
  <c r="L84" i="12" s="1"/>
  <c r="D132" i="12"/>
  <c r="L68" i="12" s="1"/>
  <c r="D153" i="12"/>
  <c r="L89" i="12" s="1"/>
  <c r="D133" i="12"/>
  <c r="L69" i="12" s="1"/>
  <c r="D146" i="12"/>
  <c r="L82" i="12" s="1"/>
  <c r="D147" i="12"/>
  <c r="L83" i="12" s="1"/>
  <c r="D144" i="12"/>
  <c r="L80" i="12" s="1"/>
  <c r="T53" i="12"/>
  <c r="T67" i="12"/>
  <c r="T26" i="12"/>
  <c r="T71" i="12"/>
  <c r="T36" i="12"/>
  <c r="T49" i="12"/>
  <c r="T57" i="12"/>
  <c r="O9" i="12"/>
  <c r="V119" i="12"/>
  <c r="T131" i="12"/>
  <c r="T127" i="12"/>
  <c r="V121" i="12"/>
  <c r="V131" i="12"/>
  <c r="T122" i="12"/>
  <c r="V112" i="12"/>
  <c r="V108" i="12"/>
  <c r="V111" i="12"/>
  <c r="T97" i="12"/>
  <c r="T117" i="12"/>
  <c r="T108" i="12"/>
  <c r="T126" i="12"/>
  <c r="V105" i="12"/>
  <c r="T98" i="12"/>
  <c r="V127" i="12"/>
  <c r="T112" i="12"/>
  <c r="T99" i="12"/>
  <c r="V78" i="12"/>
  <c r="T128" i="12"/>
  <c r="T124" i="12"/>
  <c r="V129" i="12"/>
  <c r="T123" i="12"/>
  <c r="T115" i="12"/>
  <c r="V120" i="12"/>
  <c r="V116" i="12"/>
  <c r="T129" i="12"/>
  <c r="V110" i="12"/>
  <c r="T105" i="12"/>
  <c r="T101" i="12"/>
  <c r="V95" i="12"/>
  <c r="V91" i="12"/>
  <c r="T89" i="12"/>
  <c r="V115" i="12"/>
  <c r="T107" i="12"/>
  <c r="T96" i="12"/>
  <c r="T92" i="12"/>
  <c r="V104" i="12"/>
  <c r="V96" i="12"/>
  <c r="T111" i="12"/>
  <c r="V97" i="12"/>
  <c r="V89" i="12"/>
  <c r="T85" i="12"/>
  <c r="T81" i="12"/>
  <c r="T77" i="12"/>
  <c r="T103" i="12"/>
  <c r="V80" i="12"/>
  <c r="T102" i="12"/>
  <c r="V82" i="12"/>
  <c r="V100" i="12"/>
  <c r="V86" i="12"/>
  <c r="V126" i="12"/>
  <c r="V125" i="12"/>
  <c r="T130" i="12"/>
  <c r="T119" i="12"/>
  <c r="V113" i="12"/>
  <c r="T125" i="12"/>
  <c r="T116" i="12"/>
  <c r="V109" i="12"/>
  <c r="V103" i="12"/>
  <c r="V99" i="12"/>
  <c r="T88" i="12"/>
  <c r="V124" i="12"/>
  <c r="T104" i="12"/>
  <c r="T100" i="12"/>
  <c r="V94" i="12"/>
  <c r="V90" i="12"/>
  <c r="T121" i="12"/>
  <c r="V107" i="12"/>
  <c r="T120" i="12"/>
  <c r="T84" i="12"/>
  <c r="T80" i="12"/>
  <c r="T76" i="12"/>
  <c r="V84" i="12"/>
  <c r="V74" i="12"/>
  <c r="V72" i="12"/>
  <c r="V70" i="12"/>
  <c r="V68" i="12"/>
  <c r="V66" i="12"/>
  <c r="V64" i="12"/>
  <c r="V62" i="12"/>
  <c r="V60" i="12"/>
  <c r="V58" i="12"/>
  <c r="V56" i="12"/>
  <c r="V54" i="12"/>
  <c r="V52" i="12"/>
  <c r="V50" i="12"/>
  <c r="V48" i="12"/>
  <c r="V46" i="12"/>
  <c r="V44" i="12"/>
  <c r="V42" i="12"/>
  <c r="V40" i="12"/>
  <c r="V85" i="12"/>
  <c r="V77" i="12"/>
  <c r="V130" i="12"/>
  <c r="V128" i="12"/>
  <c r="V122" i="12"/>
  <c r="V117" i="12"/>
  <c r="V123" i="12"/>
  <c r="T118" i="12"/>
  <c r="T114" i="12"/>
  <c r="T110" i="12"/>
  <c r="T106" i="12"/>
  <c r="V114" i="12"/>
  <c r="T93" i="12"/>
  <c r="T109" i="12"/>
  <c r="V102" i="12"/>
  <c r="V98" i="12"/>
  <c r="V106" i="12"/>
  <c r="T90" i="12"/>
  <c r="T87" i="12"/>
  <c r="T83" i="12"/>
  <c r="T79" i="12"/>
  <c r="V93" i="12"/>
  <c r="V76" i="12"/>
  <c r="T82" i="12"/>
  <c r="V69" i="12"/>
  <c r="V61" i="12"/>
  <c r="V53" i="12"/>
  <c r="V45" i="12"/>
  <c r="T46" i="12"/>
  <c r="T54" i="12"/>
  <c r="T62" i="12"/>
  <c r="T73" i="12"/>
  <c r="V27" i="12"/>
  <c r="V31" i="12"/>
  <c r="V35" i="12"/>
  <c r="T72" i="12"/>
  <c r="T42" i="12"/>
  <c r="T91" i="12"/>
  <c r="T78" i="12"/>
  <c r="V71" i="12"/>
  <c r="V63" i="12"/>
  <c r="V55" i="12"/>
  <c r="V47" i="12"/>
  <c r="V39" i="12"/>
  <c r="T40" i="12"/>
  <c r="T48" i="12"/>
  <c r="T56" i="12"/>
  <c r="T64" i="12"/>
  <c r="T69" i="12"/>
  <c r="V26" i="12"/>
  <c r="V30" i="12"/>
  <c r="V34" i="12"/>
  <c r="V38" i="12"/>
  <c r="T68" i="12"/>
  <c r="V79" i="12"/>
  <c r="V83" i="12"/>
  <c r="V87" i="12"/>
  <c r="T95" i="12"/>
  <c r="V118" i="12"/>
  <c r="T58" i="12"/>
  <c r="V73" i="12"/>
  <c r="V65" i="12"/>
  <c r="V57" i="12"/>
  <c r="V49" i="12"/>
  <c r="V41" i="12"/>
  <c r="V81" i="12"/>
  <c r="T50" i="12"/>
  <c r="V88" i="12"/>
  <c r="T86" i="12"/>
  <c r="V75" i="12"/>
  <c r="V67" i="12"/>
  <c r="V59" i="12"/>
  <c r="V51" i="12"/>
  <c r="V43" i="12"/>
  <c r="V92" i="12"/>
  <c r="T44" i="12"/>
  <c r="T52" i="12"/>
  <c r="T60" i="12"/>
  <c r="V28" i="12"/>
  <c r="V32" i="12"/>
  <c r="V36" i="12"/>
  <c r="V101" i="12"/>
  <c r="T66" i="12"/>
  <c r="V29" i="12"/>
  <c r="V33" i="12"/>
  <c r="V37" i="12"/>
  <c r="T65" i="12"/>
  <c r="T74" i="12"/>
  <c r="T39" i="12"/>
  <c r="T31" i="12"/>
  <c r="T94" i="12"/>
  <c r="T33" i="12"/>
  <c r="T34" i="12"/>
  <c r="T27" i="12"/>
  <c r="T32" i="12"/>
  <c r="T29" i="12"/>
  <c r="T113" i="12"/>
  <c r="T43" i="12"/>
  <c r="T30" i="12"/>
  <c r="T51" i="12"/>
  <c r="T63" i="12"/>
  <c r="T35" i="12"/>
  <c r="T45" i="12"/>
  <c r="T55" i="12"/>
  <c r="T37" i="12"/>
  <c r="T28" i="12"/>
  <c r="T41" i="12"/>
  <c r="T75" i="12"/>
  <c r="T61" i="12"/>
  <c r="T38" i="12"/>
  <c r="T47" i="12"/>
  <c r="T59" i="12"/>
  <c r="B93" i="12"/>
  <c r="R93" i="12" s="1"/>
  <c r="S93" i="12" s="1"/>
  <c r="J28" i="12"/>
  <c r="D22" i="1" l="1"/>
  <c r="D22" i="14"/>
  <c r="M10" i="8"/>
  <c r="M12" i="8" s="1"/>
  <c r="M14" i="8" s="1"/>
  <c r="M9" i="8"/>
  <c r="M11" i="8" s="1"/>
  <c r="M13" i="8" s="1"/>
  <c r="J16" i="8" s="1"/>
  <c r="L16" i="8" s="1"/>
  <c r="B4" i="19"/>
  <c r="C4" i="18" s="1"/>
  <c r="E4" i="1"/>
  <c r="X221" i="14"/>
  <c r="E8" i="14"/>
  <c r="K27" i="14"/>
  <c r="F8" i="15" s="1"/>
  <c r="L230" i="14"/>
  <c r="E5" i="5"/>
  <c r="G5" i="5" s="1"/>
  <c r="H5" i="5" s="1"/>
  <c r="L258" i="14"/>
  <c r="O23" i="17"/>
  <c r="R211" i="14"/>
  <c r="X211" i="14" s="1"/>
  <c r="AA211" i="14" s="1"/>
  <c r="G10" i="14"/>
  <c r="R213" i="14"/>
  <c r="X213" i="14" s="1"/>
  <c r="AA213" i="14" s="1"/>
  <c r="Q8" i="6"/>
  <c r="W7" i="6"/>
  <c r="K7" i="6"/>
  <c r="S7" i="6" s="1"/>
  <c r="X7" i="6" s="1"/>
  <c r="E7" i="6" s="1"/>
  <c r="U93" i="12"/>
  <c r="X93" i="12" s="1"/>
  <c r="U59" i="12"/>
  <c r="X59" i="12" s="1"/>
  <c r="U75" i="12"/>
  <c r="X75" i="12" s="1"/>
  <c r="U55" i="12"/>
  <c r="X55" i="12" s="1"/>
  <c r="U63" i="12"/>
  <c r="X63" i="12" s="1"/>
  <c r="U34" i="12"/>
  <c r="X34" i="12" s="1"/>
  <c r="U39" i="12"/>
  <c r="X39" i="12" s="1"/>
  <c r="U52" i="12"/>
  <c r="U86" i="12"/>
  <c r="X86" i="12" s="1"/>
  <c r="U69" i="12"/>
  <c r="X69" i="12" s="1"/>
  <c r="U40" i="12"/>
  <c r="U42" i="12"/>
  <c r="U46" i="12"/>
  <c r="X46" i="12" s="1"/>
  <c r="U79" i="12"/>
  <c r="X79" i="12" s="1"/>
  <c r="U76" i="12"/>
  <c r="X76" i="12" s="1"/>
  <c r="U77" i="12"/>
  <c r="D77" i="12" s="1"/>
  <c r="U89" i="12"/>
  <c r="X89" i="12" s="1"/>
  <c r="U71" i="12"/>
  <c r="X71" i="12" s="1"/>
  <c r="U92" i="12"/>
  <c r="X92" i="12" s="1"/>
  <c r="U47" i="12"/>
  <c r="X47" i="12" s="1"/>
  <c r="U41" i="12"/>
  <c r="X41" i="12" s="1"/>
  <c r="U51" i="12"/>
  <c r="X51" i="12" s="1"/>
  <c r="U29" i="12"/>
  <c r="X29" i="12" s="1"/>
  <c r="U33" i="12"/>
  <c r="X33" i="12" s="1"/>
  <c r="U74" i="12"/>
  <c r="X74" i="12" s="1"/>
  <c r="U44" i="12"/>
  <c r="D44" i="12" s="1"/>
  <c r="U58" i="12"/>
  <c r="X58" i="12" s="1"/>
  <c r="U64" i="12"/>
  <c r="X64" i="12" s="1"/>
  <c r="U72" i="12"/>
  <c r="U73" i="12"/>
  <c r="X73" i="12" s="1"/>
  <c r="U82" i="12"/>
  <c r="X82" i="12" s="1"/>
  <c r="U83" i="12"/>
  <c r="X83" i="12" s="1"/>
  <c r="U80" i="12"/>
  <c r="X80" i="12" s="1"/>
  <c r="U81" i="12"/>
  <c r="U57" i="12"/>
  <c r="X57" i="12" s="1"/>
  <c r="U26" i="12"/>
  <c r="C58" i="12"/>
  <c r="W58" i="12" s="1"/>
  <c r="U38" i="12"/>
  <c r="X38" i="12" s="1"/>
  <c r="U28" i="12"/>
  <c r="X28" i="12" s="1"/>
  <c r="U45" i="12"/>
  <c r="X45" i="12" s="1"/>
  <c r="U30" i="12"/>
  <c r="X30" i="12" s="1"/>
  <c r="U32" i="12"/>
  <c r="X32" i="12" s="1"/>
  <c r="U65" i="12"/>
  <c r="X65" i="12" s="1"/>
  <c r="U66" i="12"/>
  <c r="D66" i="12" s="1"/>
  <c r="U50" i="12"/>
  <c r="D50" i="12" s="1"/>
  <c r="U56" i="12"/>
  <c r="D56" i="12" s="1"/>
  <c r="U78" i="12"/>
  <c r="X78" i="12" s="1"/>
  <c r="U62" i="12"/>
  <c r="X62" i="12" s="1"/>
  <c r="U87" i="12"/>
  <c r="X87" i="12" s="1"/>
  <c r="U84" i="12"/>
  <c r="X84" i="12" s="1"/>
  <c r="U85" i="12"/>
  <c r="D85" i="12" s="1"/>
  <c r="J30" i="10"/>
  <c r="U49" i="12"/>
  <c r="X49" i="12" s="1"/>
  <c r="U67" i="12"/>
  <c r="X67" i="12" s="1"/>
  <c r="C70" i="12"/>
  <c r="W70" i="12" s="1"/>
  <c r="U61" i="12"/>
  <c r="X61" i="12" s="1"/>
  <c r="U37" i="12"/>
  <c r="X37" i="12" s="1"/>
  <c r="U35" i="12"/>
  <c r="X35" i="12" s="1"/>
  <c r="U43" i="12"/>
  <c r="X43" i="12" s="1"/>
  <c r="U27" i="12"/>
  <c r="X27" i="12" s="1"/>
  <c r="U31" i="12"/>
  <c r="X31" i="12" s="1"/>
  <c r="U60" i="12"/>
  <c r="D60" i="12" s="1"/>
  <c r="U68" i="12"/>
  <c r="D68" i="12" s="1"/>
  <c r="U48" i="12"/>
  <c r="U91" i="12"/>
  <c r="X91" i="12" s="1"/>
  <c r="U54" i="12"/>
  <c r="X54" i="12" s="1"/>
  <c r="U90" i="12"/>
  <c r="X90" i="12" s="1"/>
  <c r="U88" i="12"/>
  <c r="X88" i="12" s="1"/>
  <c r="U36" i="12"/>
  <c r="X36" i="12" s="1"/>
  <c r="U53" i="12"/>
  <c r="X53" i="12" s="1"/>
  <c r="D70" i="12"/>
  <c r="B94" i="12"/>
  <c r="R94" i="12" s="1"/>
  <c r="S94" i="12" s="1"/>
  <c r="U94" i="12" s="1"/>
  <c r="X94" i="12" s="1"/>
  <c r="J29" i="12"/>
  <c r="J17" i="8" l="1"/>
  <c r="D16" i="14"/>
  <c r="D16" i="1"/>
  <c r="I5" i="5"/>
  <c r="D15" i="1" s="1"/>
  <c r="E15" i="1" s="1"/>
  <c r="X268" i="1" s="1"/>
  <c r="AA268" i="1" s="1"/>
  <c r="M258" i="14"/>
  <c r="N258" i="14" s="1"/>
  <c r="Q9" i="6"/>
  <c r="W8" i="6"/>
  <c r="K8" i="6"/>
  <c r="S8" i="6" s="1"/>
  <c r="X8" i="6" s="1"/>
  <c r="E8" i="6" s="1"/>
  <c r="R225" i="14"/>
  <c r="AA221" i="14"/>
  <c r="R227" i="14"/>
  <c r="L17" i="8"/>
  <c r="J18" i="8"/>
  <c r="L18" i="8" s="1"/>
  <c r="E15" i="8" s="1"/>
  <c r="M230" i="14"/>
  <c r="N230" i="14" s="1"/>
  <c r="E6" i="10"/>
  <c r="C6" i="10" s="1"/>
  <c r="J9" i="17"/>
  <c r="B4" i="14"/>
  <c r="X215" i="1"/>
  <c r="K25" i="1"/>
  <c r="E5" i="1"/>
  <c r="K24" i="1"/>
  <c r="C32" i="12"/>
  <c r="W32" i="12" s="1"/>
  <c r="C59" i="12"/>
  <c r="W59" i="12" s="1"/>
  <c r="C93" i="12"/>
  <c r="W93" i="12" s="1"/>
  <c r="C45" i="12"/>
  <c r="W45" i="12" s="1"/>
  <c r="D33" i="12"/>
  <c r="D32" i="12"/>
  <c r="D45" i="12"/>
  <c r="C30" i="12"/>
  <c r="W30" i="12" s="1"/>
  <c r="D51" i="12"/>
  <c r="D93" i="12"/>
  <c r="L29" i="12" s="1"/>
  <c r="D46" i="12"/>
  <c r="C63" i="12"/>
  <c r="W63" i="12" s="1"/>
  <c r="D75" i="12"/>
  <c r="C35" i="12"/>
  <c r="W35" i="12" s="1"/>
  <c r="D87" i="12"/>
  <c r="D74" i="12"/>
  <c r="D71" i="12"/>
  <c r="D53" i="12"/>
  <c r="D27" i="12"/>
  <c r="D35" i="12"/>
  <c r="D38" i="12"/>
  <c r="D58" i="12"/>
  <c r="C33" i="12"/>
  <c r="W33" i="12" s="1"/>
  <c r="C89" i="12"/>
  <c r="W89" i="12" s="1"/>
  <c r="D79" i="12"/>
  <c r="C87" i="12"/>
  <c r="W87" i="12" s="1"/>
  <c r="C64" i="12"/>
  <c r="W64" i="12" s="1"/>
  <c r="C71" i="12"/>
  <c r="W71" i="12" s="1"/>
  <c r="C88" i="12"/>
  <c r="W88" i="12" s="1"/>
  <c r="D31" i="12"/>
  <c r="D61" i="12"/>
  <c r="D67" i="12"/>
  <c r="C29" i="12"/>
  <c r="W29" i="12" s="1"/>
  <c r="C76" i="12"/>
  <c r="W76" i="12" s="1"/>
  <c r="D55" i="12"/>
  <c r="C53" i="12"/>
  <c r="W53" i="12" s="1"/>
  <c r="C36" i="12"/>
  <c r="W36" i="12" s="1"/>
  <c r="D88" i="12"/>
  <c r="C91" i="12"/>
  <c r="K27" i="12" s="1"/>
  <c r="C27" i="12"/>
  <c r="W27" i="12" s="1"/>
  <c r="D37" i="12"/>
  <c r="C84" i="12"/>
  <c r="W84" i="12" s="1"/>
  <c r="C28" i="12"/>
  <c r="W28" i="12" s="1"/>
  <c r="C38" i="12"/>
  <c r="W38" i="12" s="1"/>
  <c r="C83" i="12"/>
  <c r="W83" i="12" s="1"/>
  <c r="D64" i="12"/>
  <c r="C51" i="12"/>
  <c r="W51" i="12" s="1"/>
  <c r="C47" i="12"/>
  <c r="W47" i="12" s="1"/>
  <c r="D89" i="12"/>
  <c r="D76" i="12"/>
  <c r="C79" i="12"/>
  <c r="W79" i="12" s="1"/>
  <c r="C46" i="12"/>
  <c r="W46" i="12" s="1"/>
  <c r="C69" i="12"/>
  <c r="W69" i="12" s="1"/>
  <c r="C39" i="12"/>
  <c r="W39" i="12" s="1"/>
  <c r="C75" i="12"/>
  <c r="W75" i="12" s="1"/>
  <c r="D91" i="12"/>
  <c r="L27" i="12" s="1"/>
  <c r="C61" i="12"/>
  <c r="W61" i="12" s="1"/>
  <c r="C67" i="12"/>
  <c r="W67" i="12" s="1"/>
  <c r="D84" i="12"/>
  <c r="C65" i="12"/>
  <c r="W65" i="12" s="1"/>
  <c r="D28" i="12"/>
  <c r="D83" i="12"/>
  <c r="C55" i="12"/>
  <c r="W55" i="12" s="1"/>
  <c r="D36" i="12"/>
  <c r="D90" i="12"/>
  <c r="L26" i="12" s="1"/>
  <c r="D54" i="12"/>
  <c r="X48" i="12"/>
  <c r="C48" i="12"/>
  <c r="W48" i="12" s="1"/>
  <c r="C43" i="12"/>
  <c r="W43" i="12" s="1"/>
  <c r="C49" i="12"/>
  <c r="W49" i="12" s="1"/>
  <c r="C62" i="12"/>
  <c r="W62" i="12" s="1"/>
  <c r="D78" i="12"/>
  <c r="X26" i="12"/>
  <c r="C26" i="12"/>
  <c r="W26" i="12" s="1"/>
  <c r="D57" i="12"/>
  <c r="X81" i="12"/>
  <c r="C81" i="12"/>
  <c r="W81" i="12" s="1"/>
  <c r="D82" i="12"/>
  <c r="X72" i="12"/>
  <c r="C72" i="12"/>
  <c r="W72" i="12" s="1"/>
  <c r="X42" i="12"/>
  <c r="C42" i="12"/>
  <c r="W42" i="12" s="1"/>
  <c r="C90" i="12"/>
  <c r="D48" i="12"/>
  <c r="C31" i="12"/>
  <c r="W31" i="12" s="1"/>
  <c r="D43" i="12"/>
  <c r="C37" i="12"/>
  <c r="W37" i="12" s="1"/>
  <c r="D49" i="12"/>
  <c r="D62" i="12"/>
  <c r="X56" i="12"/>
  <c r="C56" i="12"/>
  <c r="W56" i="12" s="1"/>
  <c r="X66" i="12"/>
  <c r="C66" i="12"/>
  <c r="W66" i="12" s="1"/>
  <c r="D65" i="12"/>
  <c r="D30" i="12"/>
  <c r="D26" i="12"/>
  <c r="D81" i="12"/>
  <c r="C80" i="12"/>
  <c r="W80" i="12" s="1"/>
  <c r="C73" i="12"/>
  <c r="W73" i="12" s="1"/>
  <c r="D72" i="12"/>
  <c r="C74" i="12"/>
  <c r="W74" i="12" s="1"/>
  <c r="D29" i="12"/>
  <c r="C41" i="12"/>
  <c r="W41" i="12" s="1"/>
  <c r="D47" i="12"/>
  <c r="C92" i="12"/>
  <c r="D42" i="12"/>
  <c r="D69" i="12"/>
  <c r="D86" i="12"/>
  <c r="D39" i="12"/>
  <c r="C34" i="12"/>
  <c r="W34" i="12" s="1"/>
  <c r="D63" i="12"/>
  <c r="C54" i="12"/>
  <c r="W54" i="12" s="1"/>
  <c r="X68" i="12"/>
  <c r="C68" i="12"/>
  <c r="W68" i="12" s="1"/>
  <c r="X85" i="12"/>
  <c r="C85" i="12"/>
  <c r="W85" i="12" s="1"/>
  <c r="C78" i="12"/>
  <c r="W78" i="12" s="1"/>
  <c r="C94" i="12"/>
  <c r="C57" i="12"/>
  <c r="W57" i="12" s="1"/>
  <c r="D80" i="12"/>
  <c r="C82" i="12"/>
  <c r="W82" i="12" s="1"/>
  <c r="D73" i="12"/>
  <c r="D92" i="12"/>
  <c r="L28" i="12" s="1"/>
  <c r="X40" i="12"/>
  <c r="C40" i="12"/>
  <c r="W40" i="12" s="1"/>
  <c r="X52" i="12"/>
  <c r="C52" i="12"/>
  <c r="W52" i="12" s="1"/>
  <c r="X60" i="12"/>
  <c r="C60" i="12"/>
  <c r="W60" i="12" s="1"/>
  <c r="X50" i="12"/>
  <c r="C50" i="12"/>
  <c r="W50" i="12" s="1"/>
  <c r="D94" i="12"/>
  <c r="L30" i="12" s="1"/>
  <c r="X44" i="12"/>
  <c r="C44" i="12"/>
  <c r="W44" i="12" s="1"/>
  <c r="D41" i="12"/>
  <c r="X77" i="12"/>
  <c r="C77" i="12"/>
  <c r="W77" i="12" s="1"/>
  <c r="D40" i="12"/>
  <c r="C86" i="12"/>
  <c r="W86" i="12" s="1"/>
  <c r="D52" i="12"/>
  <c r="D34" i="12"/>
  <c r="D59" i="12"/>
  <c r="B95" i="12"/>
  <c r="R95" i="12" s="1"/>
  <c r="S95" i="12" s="1"/>
  <c r="U95" i="12" s="1"/>
  <c r="J30" i="12"/>
  <c r="K29" i="12" l="1"/>
  <c r="B8" i="5"/>
  <c r="K26" i="1"/>
  <c r="C8" i="5" s="1"/>
  <c r="K5" i="12"/>
  <c r="O7" i="12" s="1"/>
  <c r="H6" i="10"/>
  <c r="D43" i="14"/>
  <c r="D43" i="1"/>
  <c r="L225" i="14"/>
  <c r="Q10" i="6"/>
  <c r="W9" i="6"/>
  <c r="K9" i="6"/>
  <c r="S9" i="6" s="1"/>
  <c r="X9" i="6" s="1"/>
  <c r="E9" i="6" s="1"/>
  <c r="X258" i="14"/>
  <c r="AA258" i="14" s="1"/>
  <c r="I39" i="1"/>
  <c r="E17" i="1"/>
  <c r="R237" i="1"/>
  <c r="X237" i="1" s="1"/>
  <c r="R217" i="1"/>
  <c r="X217" i="1" s="1"/>
  <c r="AA217" i="1" s="1"/>
  <c r="AA215" i="1"/>
  <c r="X230" i="14"/>
  <c r="AA230" i="14" s="1"/>
  <c r="M21" i="12"/>
  <c r="K21" i="12" s="1"/>
  <c r="H30" i="1"/>
  <c r="H31" i="1" s="1"/>
  <c r="H24" i="1"/>
  <c r="X264" i="1"/>
  <c r="AA264" i="1" s="1"/>
  <c r="AC33" i="1"/>
  <c r="E16" i="1"/>
  <c r="D20" i="16"/>
  <c r="D30" i="1"/>
  <c r="B5" i="14"/>
  <c r="B17" i="14"/>
  <c r="L227" i="14"/>
  <c r="W91" i="12"/>
  <c r="X95" i="12"/>
  <c r="D95" i="12"/>
  <c r="L31" i="12" s="1"/>
  <c r="C95" i="12"/>
  <c r="K30" i="12"/>
  <c r="W94" i="12"/>
  <c r="K26" i="12"/>
  <c r="W90" i="12"/>
  <c r="K28" i="12"/>
  <c r="W92" i="12"/>
  <c r="B96" i="12"/>
  <c r="R96" i="12" s="1"/>
  <c r="S96" i="12" s="1"/>
  <c r="U96" i="12" s="1"/>
  <c r="J31" i="12"/>
  <c r="U10570" i="1" l="1"/>
  <c r="V10570" i="1" s="1"/>
  <c r="AA10570" i="1" s="1"/>
  <c r="AA237" i="1"/>
  <c r="M225" i="14"/>
  <c r="H10" i="10"/>
  <c r="K17" i="12" s="1"/>
  <c r="J13" i="10"/>
  <c r="J11" i="10"/>
  <c r="M227" i="14"/>
  <c r="N227" i="14" s="1"/>
  <c r="A8" i="5"/>
  <c r="A12" i="5" s="1"/>
  <c r="B12" i="5" s="1"/>
  <c r="E38" i="1" s="1"/>
  <c r="C38" i="1"/>
  <c r="C15" i="14" s="1"/>
  <c r="N225" i="14"/>
  <c r="M19" i="12"/>
  <c r="K19" i="12" s="1"/>
  <c r="Y27" i="12" s="1"/>
  <c r="Z27" i="12" s="1"/>
  <c r="AA27" i="12" s="1"/>
  <c r="AB27" i="12" s="1"/>
  <c r="Y70" i="12"/>
  <c r="Z70" i="12" s="1"/>
  <c r="AA70" i="12" s="1"/>
  <c r="AB70" i="12" s="1"/>
  <c r="G149" i="12"/>
  <c r="O85" i="12" s="1"/>
  <c r="G136" i="12"/>
  <c r="O72" i="12" s="1"/>
  <c r="G135" i="12"/>
  <c r="O71" i="12" s="1"/>
  <c r="G150" i="12"/>
  <c r="O86" i="12" s="1"/>
  <c r="G137" i="12"/>
  <c r="O73" i="12" s="1"/>
  <c r="G134" i="12"/>
  <c r="O70" i="12" s="1"/>
  <c r="G140" i="12"/>
  <c r="O76" i="12" s="1"/>
  <c r="G138" i="12"/>
  <c r="O74" i="12" s="1"/>
  <c r="G145" i="12"/>
  <c r="O81" i="12" s="1"/>
  <c r="G141" i="12"/>
  <c r="O77" i="12" s="1"/>
  <c r="G153" i="12"/>
  <c r="O89" i="12" s="1"/>
  <c r="G143" i="12"/>
  <c r="O79" i="12" s="1"/>
  <c r="G133" i="12"/>
  <c r="O69" i="12" s="1"/>
  <c r="G151" i="12"/>
  <c r="O87" i="12" s="1"/>
  <c r="G148" i="12"/>
  <c r="O84" i="12" s="1"/>
  <c r="G142" i="12"/>
  <c r="O78" i="12" s="1"/>
  <c r="G147" i="12"/>
  <c r="O83" i="12" s="1"/>
  <c r="G146" i="12"/>
  <c r="O82" i="12" s="1"/>
  <c r="G152" i="12"/>
  <c r="O88" i="12" s="1"/>
  <c r="G132" i="12"/>
  <c r="O68" i="12" s="1"/>
  <c r="G144" i="12"/>
  <c r="O80" i="12" s="1"/>
  <c r="G139" i="12"/>
  <c r="O75" i="12" s="1"/>
  <c r="Y92" i="12"/>
  <c r="Z92" i="12" s="1"/>
  <c r="AA92" i="12" s="1"/>
  <c r="AB92" i="12" s="1"/>
  <c r="Y63" i="12"/>
  <c r="Z63" i="12" s="1"/>
  <c r="AA63" i="12" s="1"/>
  <c r="AB63" i="12" s="1"/>
  <c r="Y61" i="12"/>
  <c r="Z61" i="12" s="1"/>
  <c r="AA61" i="12" s="1"/>
  <c r="AB61" i="12" s="1"/>
  <c r="Y51" i="12"/>
  <c r="Z51" i="12" s="1"/>
  <c r="AA51" i="12" s="1"/>
  <c r="AB51" i="12" s="1"/>
  <c r="Y29" i="12"/>
  <c r="Z29" i="12" s="1"/>
  <c r="AA29" i="12" s="1"/>
  <c r="AB29" i="12" s="1"/>
  <c r="Y54" i="12"/>
  <c r="Z54" i="12" s="1"/>
  <c r="AA54" i="12" s="1"/>
  <c r="AB54" i="12" s="1"/>
  <c r="Y74" i="12"/>
  <c r="Z74" i="12" s="1"/>
  <c r="AA74" i="12" s="1"/>
  <c r="AB74" i="12" s="1"/>
  <c r="Y86" i="12"/>
  <c r="Z86" i="12" s="1"/>
  <c r="AA86" i="12" s="1"/>
  <c r="AB86" i="12" s="1"/>
  <c r="Y62" i="12"/>
  <c r="Z62" i="12" s="1"/>
  <c r="AA62" i="12" s="1"/>
  <c r="AB62" i="12" s="1"/>
  <c r="Y71" i="12"/>
  <c r="Z71" i="12" s="1"/>
  <c r="AA71" i="12" s="1"/>
  <c r="AB71" i="12" s="1"/>
  <c r="Y35" i="12"/>
  <c r="Z35" i="12" s="1"/>
  <c r="AA35" i="12" s="1"/>
  <c r="AB35" i="12" s="1"/>
  <c r="Y38" i="12"/>
  <c r="Z38" i="12" s="1"/>
  <c r="AA38" i="12" s="1"/>
  <c r="AB38" i="12" s="1"/>
  <c r="B5" i="15"/>
  <c r="B18" i="14"/>
  <c r="B29" i="14"/>
  <c r="C9" i="14" s="1"/>
  <c r="C4" i="14" s="1"/>
  <c r="E11" i="1"/>
  <c r="E10" i="1"/>
  <c r="E13" i="1"/>
  <c r="X306" i="1" s="1"/>
  <c r="AA306" i="1" s="1"/>
  <c r="E18" i="1"/>
  <c r="Q11" i="6"/>
  <c r="W10" i="6"/>
  <c r="K10" i="6"/>
  <c r="S10" i="6" s="1"/>
  <c r="X10" i="6" s="1"/>
  <c r="E10" i="6" s="1"/>
  <c r="X96" i="12"/>
  <c r="C96" i="12"/>
  <c r="D96" i="12"/>
  <c r="L32" i="12" s="1"/>
  <c r="K31" i="12"/>
  <c r="W95" i="12"/>
  <c r="B97" i="12"/>
  <c r="R97" i="12" s="1"/>
  <c r="S97" i="12" s="1"/>
  <c r="U97" i="12" s="1"/>
  <c r="J32" i="12"/>
  <c r="Y66" i="12" l="1"/>
  <c r="Z66" i="12" s="1"/>
  <c r="AA66" i="12" s="1"/>
  <c r="AB66" i="12" s="1"/>
  <c r="Y80" i="12"/>
  <c r="Z80" i="12" s="1"/>
  <c r="AA80" i="12" s="1"/>
  <c r="AB80" i="12" s="1"/>
  <c r="Y83" i="12"/>
  <c r="Z83" i="12" s="1"/>
  <c r="AA83" i="12" s="1"/>
  <c r="AB83" i="12" s="1"/>
  <c r="Y79" i="12"/>
  <c r="Z79" i="12" s="1"/>
  <c r="AA79" i="12" s="1"/>
  <c r="AB79" i="12" s="1"/>
  <c r="AC79" i="12" s="1"/>
  <c r="Y57" i="12"/>
  <c r="Z57" i="12" s="1"/>
  <c r="AA57" i="12" s="1"/>
  <c r="AB57" i="12" s="1"/>
  <c r="Y64" i="12"/>
  <c r="Z64" i="12" s="1"/>
  <c r="AA64" i="12" s="1"/>
  <c r="AB64" i="12" s="1"/>
  <c r="Y91" i="12"/>
  <c r="Z91" i="12" s="1"/>
  <c r="AA91" i="12" s="1"/>
  <c r="AB91" i="12" s="1"/>
  <c r="Y41" i="12"/>
  <c r="Z41" i="12" s="1"/>
  <c r="AA41" i="12" s="1"/>
  <c r="AB41" i="12" s="1"/>
  <c r="AC41" i="12" s="1"/>
  <c r="Y94" i="12"/>
  <c r="Z94" i="12" s="1"/>
  <c r="AA94" i="12" s="1"/>
  <c r="AB94" i="12" s="1"/>
  <c r="Y52" i="12"/>
  <c r="Z52" i="12" s="1"/>
  <c r="AA52" i="12" s="1"/>
  <c r="AB52" i="12" s="1"/>
  <c r="Y45" i="12"/>
  <c r="Z45" i="12" s="1"/>
  <c r="AA45" i="12" s="1"/>
  <c r="AB45" i="12" s="1"/>
  <c r="Y43" i="12"/>
  <c r="Z43" i="12" s="1"/>
  <c r="AA43" i="12" s="1"/>
  <c r="AB43" i="12" s="1"/>
  <c r="AD43" i="12" s="1"/>
  <c r="AE43" i="12" s="1"/>
  <c r="H43" i="12" s="1"/>
  <c r="G43" i="12" s="1"/>
  <c r="Y67" i="12"/>
  <c r="Z67" i="12" s="1"/>
  <c r="AA67" i="12" s="1"/>
  <c r="AB67" i="12" s="1"/>
  <c r="Y88" i="12"/>
  <c r="Z88" i="12" s="1"/>
  <c r="AA88" i="12" s="1"/>
  <c r="AB88" i="12" s="1"/>
  <c r="Y53" i="12"/>
  <c r="Z53" i="12" s="1"/>
  <c r="AA53" i="12" s="1"/>
  <c r="AB53" i="12" s="1"/>
  <c r="Y84" i="12"/>
  <c r="Z84" i="12" s="1"/>
  <c r="AA84" i="12" s="1"/>
  <c r="AB84" i="12" s="1"/>
  <c r="AD84" i="12" s="1"/>
  <c r="AE84" i="12" s="1"/>
  <c r="H84" i="12" s="1"/>
  <c r="G84" i="12" s="1"/>
  <c r="Y69" i="12"/>
  <c r="Z69" i="12" s="1"/>
  <c r="AA69" i="12" s="1"/>
  <c r="AB69" i="12" s="1"/>
  <c r="Y82" i="12"/>
  <c r="Z82" i="12" s="1"/>
  <c r="AA82" i="12" s="1"/>
  <c r="AB82" i="12" s="1"/>
  <c r="Y90" i="12"/>
  <c r="Z90" i="12" s="1"/>
  <c r="AA90" i="12" s="1"/>
  <c r="AB90" i="12" s="1"/>
  <c r="AD90" i="12" s="1"/>
  <c r="AE90" i="12" s="1"/>
  <c r="H90" i="12" s="1"/>
  <c r="Y58" i="12"/>
  <c r="Z58" i="12" s="1"/>
  <c r="AA58" i="12" s="1"/>
  <c r="AB58" i="12" s="1"/>
  <c r="AC58" i="12" s="1"/>
  <c r="Y30" i="12"/>
  <c r="Z30" i="12" s="1"/>
  <c r="AA30" i="12" s="1"/>
  <c r="AB30" i="12" s="1"/>
  <c r="AD30" i="12" s="1"/>
  <c r="AE30" i="12" s="1"/>
  <c r="H30" i="12" s="1"/>
  <c r="G30" i="12" s="1"/>
  <c r="Y78" i="12"/>
  <c r="Z78" i="12" s="1"/>
  <c r="AA78" i="12" s="1"/>
  <c r="AB78" i="12" s="1"/>
  <c r="Y65" i="12"/>
  <c r="Z65" i="12" s="1"/>
  <c r="AA65" i="12" s="1"/>
  <c r="AB65" i="12" s="1"/>
  <c r="Y33" i="12"/>
  <c r="Z33" i="12" s="1"/>
  <c r="AA33" i="12" s="1"/>
  <c r="AB33" i="12" s="1"/>
  <c r="AD33" i="12" s="1"/>
  <c r="AE33" i="12" s="1"/>
  <c r="H33" i="12" s="1"/>
  <c r="G33" i="12" s="1"/>
  <c r="Y93" i="12"/>
  <c r="Z93" i="12" s="1"/>
  <c r="AA93" i="12" s="1"/>
  <c r="AB93" i="12" s="1"/>
  <c r="AD93" i="12" s="1"/>
  <c r="AE93" i="12" s="1"/>
  <c r="H93" i="12" s="1"/>
  <c r="Y49" i="12"/>
  <c r="Z49" i="12" s="1"/>
  <c r="AA49" i="12" s="1"/>
  <c r="AB49" i="12" s="1"/>
  <c r="Y39" i="12"/>
  <c r="Z39" i="12" s="1"/>
  <c r="AA39" i="12" s="1"/>
  <c r="AB39" i="12" s="1"/>
  <c r="AD39" i="12" s="1"/>
  <c r="AE39" i="12" s="1"/>
  <c r="H39" i="12" s="1"/>
  <c r="G39" i="12" s="1"/>
  <c r="Y36" i="12"/>
  <c r="Z36" i="12" s="1"/>
  <c r="AA36" i="12" s="1"/>
  <c r="AB36" i="12" s="1"/>
  <c r="AC36" i="12" s="1"/>
  <c r="Y28" i="12"/>
  <c r="Z28" i="12" s="1"/>
  <c r="AA28" i="12" s="1"/>
  <c r="AB28" i="12" s="1"/>
  <c r="AC28" i="12" s="1"/>
  <c r="Y73" i="12"/>
  <c r="Z73" i="12" s="1"/>
  <c r="AA73" i="12" s="1"/>
  <c r="AB73" i="12" s="1"/>
  <c r="Y96" i="12"/>
  <c r="Z96" i="12" s="1"/>
  <c r="AA96" i="12" s="1"/>
  <c r="AB96" i="12" s="1"/>
  <c r="Y95" i="12"/>
  <c r="Z95" i="12" s="1"/>
  <c r="AA95" i="12" s="1"/>
  <c r="AB95" i="12" s="1"/>
  <c r="AD95" i="12" s="1"/>
  <c r="AE95" i="12" s="1"/>
  <c r="H95" i="12" s="1"/>
  <c r="G95" i="12" s="1"/>
  <c r="O31" i="12" s="1"/>
  <c r="Y47" i="12"/>
  <c r="Z47" i="12" s="1"/>
  <c r="AA47" i="12" s="1"/>
  <c r="AB47" i="12" s="1"/>
  <c r="AD47" i="12" s="1"/>
  <c r="AE47" i="12" s="1"/>
  <c r="H47" i="12" s="1"/>
  <c r="G47" i="12" s="1"/>
  <c r="Y46" i="12"/>
  <c r="Z46" i="12" s="1"/>
  <c r="Y59" i="12"/>
  <c r="Z59" i="12" s="1"/>
  <c r="AA59" i="12" s="1"/>
  <c r="AB59" i="12" s="1"/>
  <c r="Y55" i="12"/>
  <c r="Z55" i="12" s="1"/>
  <c r="AA55" i="12" s="1"/>
  <c r="AB55" i="12" s="1"/>
  <c r="AD55" i="12" s="1"/>
  <c r="AE55" i="12" s="1"/>
  <c r="H55" i="12" s="1"/>
  <c r="G55" i="12" s="1"/>
  <c r="Y37" i="12"/>
  <c r="Z37" i="12" s="1"/>
  <c r="AA37" i="12" s="1"/>
  <c r="AB37" i="12" s="1"/>
  <c r="AC37" i="12" s="1"/>
  <c r="Y76" i="12"/>
  <c r="Z76" i="12" s="1"/>
  <c r="AA76" i="12" s="1"/>
  <c r="AB76" i="12" s="1"/>
  <c r="Y32" i="12"/>
  <c r="Z32" i="12" s="1"/>
  <c r="AA32" i="12" s="1"/>
  <c r="AB32" i="12" s="1"/>
  <c r="AC32" i="12" s="1"/>
  <c r="Y89" i="12"/>
  <c r="Z89" i="12" s="1"/>
  <c r="AA89" i="12" s="1"/>
  <c r="AB89" i="12" s="1"/>
  <c r="AC89" i="12" s="1"/>
  <c r="Y34" i="12"/>
  <c r="Z34" i="12" s="1"/>
  <c r="AA34" i="12" s="1"/>
  <c r="AB34" i="12" s="1"/>
  <c r="AC34" i="12" s="1"/>
  <c r="Y31" i="12"/>
  <c r="Z31" i="12" s="1"/>
  <c r="AA31" i="12" s="1"/>
  <c r="AB31" i="12" s="1"/>
  <c r="Y87" i="12"/>
  <c r="Z87" i="12" s="1"/>
  <c r="AA87" i="12" s="1"/>
  <c r="AB87" i="12" s="1"/>
  <c r="AC87" i="12" s="1"/>
  <c r="Y75" i="12"/>
  <c r="Z75" i="12" s="1"/>
  <c r="AA75" i="12" s="1"/>
  <c r="AB75" i="12" s="1"/>
  <c r="AD75" i="12" s="1"/>
  <c r="AE75" i="12" s="1"/>
  <c r="H75" i="12" s="1"/>
  <c r="G75" i="12" s="1"/>
  <c r="X225" i="14"/>
  <c r="AA225" i="14" s="1"/>
  <c r="AC38" i="12"/>
  <c r="AD38" i="12"/>
  <c r="AE38" i="12" s="1"/>
  <c r="H38" i="12" s="1"/>
  <c r="G38" i="12" s="1"/>
  <c r="AC86" i="12"/>
  <c r="AD86" i="12"/>
  <c r="AE86" i="12" s="1"/>
  <c r="H86" i="12" s="1"/>
  <c r="G86" i="12" s="1"/>
  <c r="AC57" i="12"/>
  <c r="AD57" i="12"/>
  <c r="AE57" i="12" s="1"/>
  <c r="H57" i="12" s="1"/>
  <c r="G57" i="12" s="1"/>
  <c r="AD63" i="12"/>
  <c r="AE63" i="12" s="1"/>
  <c r="H63" i="12" s="1"/>
  <c r="G63" i="12" s="1"/>
  <c r="AC63" i="12"/>
  <c r="AC35" i="12"/>
  <c r="AD35" i="12"/>
  <c r="AE35" i="12" s="1"/>
  <c r="H35" i="12" s="1"/>
  <c r="G35" i="12" s="1"/>
  <c r="AC43" i="12"/>
  <c r="AD62" i="12"/>
  <c r="AE62" i="12" s="1"/>
  <c r="H62" i="12" s="1"/>
  <c r="G62" i="12" s="1"/>
  <c r="AC62" i="12"/>
  <c r="AC67" i="12"/>
  <c r="AD67" i="12"/>
  <c r="AE67" i="12" s="1"/>
  <c r="H67" i="12" s="1"/>
  <c r="G67" i="12" s="1"/>
  <c r="AC74" i="12"/>
  <c r="AD74" i="12"/>
  <c r="AE74" i="12" s="1"/>
  <c r="H74" i="12" s="1"/>
  <c r="G74" i="12" s="1"/>
  <c r="AC88" i="12"/>
  <c r="AD88" i="12"/>
  <c r="AE88" i="12" s="1"/>
  <c r="H88" i="12" s="1"/>
  <c r="G88" i="12" s="1"/>
  <c r="AC29" i="12"/>
  <c r="AD29" i="12"/>
  <c r="AE29" i="12" s="1"/>
  <c r="H29" i="12" s="1"/>
  <c r="G29" i="12" s="1"/>
  <c r="AD53" i="12"/>
  <c r="AE53" i="12" s="1"/>
  <c r="H53" i="12" s="1"/>
  <c r="G53" i="12" s="1"/>
  <c r="AC53" i="12"/>
  <c r="AC61" i="12"/>
  <c r="AD61" i="12"/>
  <c r="AE61" i="12" s="1"/>
  <c r="H61" i="12" s="1"/>
  <c r="G61" i="12" s="1"/>
  <c r="AC84" i="12"/>
  <c r="AC69" i="12"/>
  <c r="AD69" i="12"/>
  <c r="AE69" i="12" s="1"/>
  <c r="H69" i="12" s="1"/>
  <c r="G69" i="12" s="1"/>
  <c r="AD94" i="12"/>
  <c r="AE94" i="12" s="1"/>
  <c r="H94" i="12" s="1"/>
  <c r="AC94" i="12"/>
  <c r="Y85" i="12"/>
  <c r="Z85" i="12" s="1"/>
  <c r="AA85" i="12" s="1"/>
  <c r="AB85" i="12" s="1"/>
  <c r="Y72" i="12"/>
  <c r="Z72" i="12" s="1"/>
  <c r="AA72" i="12" s="1"/>
  <c r="AB72" i="12" s="1"/>
  <c r="Y56" i="12"/>
  <c r="Z56" i="12" s="1"/>
  <c r="AA56" i="12" s="1"/>
  <c r="AB56" i="12" s="1"/>
  <c r="Y26" i="12"/>
  <c r="Z26" i="12" s="1"/>
  <c r="AA26" i="12" s="1"/>
  <c r="AB26" i="12" s="1"/>
  <c r="Y50" i="12"/>
  <c r="Z50" i="12" s="1"/>
  <c r="AA50" i="12" s="1"/>
  <c r="AB50" i="12" s="1"/>
  <c r="Y48" i="12"/>
  <c r="Z48" i="12" s="1"/>
  <c r="AA48" i="12" s="1"/>
  <c r="AB48" i="12" s="1"/>
  <c r="Y77" i="12"/>
  <c r="Z77" i="12" s="1"/>
  <c r="AA77" i="12" s="1"/>
  <c r="AB77" i="12" s="1"/>
  <c r="Y40" i="12"/>
  <c r="Z40" i="12" s="1"/>
  <c r="AA40" i="12" s="1"/>
  <c r="AB40" i="12" s="1"/>
  <c r="Y44" i="12"/>
  <c r="Z44" i="12" s="1"/>
  <c r="AA44" i="12" s="1"/>
  <c r="AB44" i="12" s="1"/>
  <c r="Y42" i="12"/>
  <c r="Z42" i="12" s="1"/>
  <c r="AA42" i="12" s="1"/>
  <c r="AB42" i="12" s="1"/>
  <c r="Y60" i="12"/>
  <c r="Z60" i="12" s="1"/>
  <c r="AA60" i="12" s="1"/>
  <c r="AB60" i="12" s="1"/>
  <c r="Y68" i="12"/>
  <c r="Z68" i="12" s="1"/>
  <c r="AA68" i="12" s="1"/>
  <c r="AB68" i="12" s="1"/>
  <c r="X227" i="14"/>
  <c r="AA227" i="14" s="1"/>
  <c r="C5" i="15"/>
  <c r="D17" i="14"/>
  <c r="C8" i="14"/>
  <c r="AD80" i="12"/>
  <c r="AE80" i="12" s="1"/>
  <c r="H80" i="12" s="1"/>
  <c r="G80" i="12" s="1"/>
  <c r="AC80" i="12"/>
  <c r="AD51" i="12"/>
  <c r="AE51" i="12" s="1"/>
  <c r="H51" i="12" s="1"/>
  <c r="G51" i="12" s="1"/>
  <c r="AC51" i="12"/>
  <c r="AC91" i="12"/>
  <c r="AD91" i="12"/>
  <c r="AE91" i="12" s="1"/>
  <c r="H91" i="12" s="1"/>
  <c r="Q12" i="6"/>
  <c r="W11" i="6"/>
  <c r="K11" i="6"/>
  <c r="S11" i="6" s="1"/>
  <c r="X11" i="6" s="1"/>
  <c r="E11" i="6" s="1"/>
  <c r="X246" i="1"/>
  <c r="AA246" i="1" s="1"/>
  <c r="AG32" i="1"/>
  <c r="AC90" i="12"/>
  <c r="AC30" i="12"/>
  <c r="AD78" i="12"/>
  <c r="AE78" i="12" s="1"/>
  <c r="H78" i="12" s="1"/>
  <c r="G78" i="12" s="1"/>
  <c r="AC78" i="12"/>
  <c r="AC65" i="12"/>
  <c r="AD65" i="12"/>
  <c r="AE65" i="12" s="1"/>
  <c r="H65" i="12" s="1"/>
  <c r="G65" i="12" s="1"/>
  <c r="AC93" i="12"/>
  <c r="AD49" i="12"/>
  <c r="AE49" i="12" s="1"/>
  <c r="H49" i="12" s="1"/>
  <c r="G49" i="12" s="1"/>
  <c r="AC49" i="12"/>
  <c r="AC39" i="12"/>
  <c r="AD28" i="12"/>
  <c r="AE28" i="12" s="1"/>
  <c r="H28" i="12" s="1"/>
  <c r="G28" i="12" s="1"/>
  <c r="AD73" i="12"/>
  <c r="AE73" i="12" s="1"/>
  <c r="H73" i="12" s="1"/>
  <c r="G73" i="12" s="1"/>
  <c r="AC73" i="12"/>
  <c r="AC45" i="12"/>
  <c r="AD45" i="12"/>
  <c r="AE45" i="12" s="1"/>
  <c r="H45" i="12" s="1"/>
  <c r="G45" i="12" s="1"/>
  <c r="AD71" i="12"/>
  <c r="AE71" i="12" s="1"/>
  <c r="H71" i="12" s="1"/>
  <c r="G71" i="12" s="1"/>
  <c r="AC71" i="12"/>
  <c r="AC83" i="12"/>
  <c r="AD83" i="12"/>
  <c r="AE83" i="12" s="1"/>
  <c r="H83" i="12" s="1"/>
  <c r="G83" i="12" s="1"/>
  <c r="AC54" i="12"/>
  <c r="AD54" i="12"/>
  <c r="AE54" i="12" s="1"/>
  <c r="H54" i="12" s="1"/>
  <c r="G54" i="12" s="1"/>
  <c r="AD64" i="12"/>
  <c r="AE64" i="12" s="1"/>
  <c r="H64" i="12" s="1"/>
  <c r="G64" i="12" s="1"/>
  <c r="AC64" i="12"/>
  <c r="AD92" i="12"/>
  <c r="AE92" i="12" s="1"/>
  <c r="H92" i="12" s="1"/>
  <c r="AC92" i="12"/>
  <c r="AC70" i="12"/>
  <c r="AD70" i="12"/>
  <c r="AE70" i="12" s="1"/>
  <c r="H70" i="12" s="1"/>
  <c r="G70" i="12" s="1"/>
  <c r="AC52" i="12"/>
  <c r="AD52" i="12"/>
  <c r="AE52" i="12" s="1"/>
  <c r="H52" i="12" s="1"/>
  <c r="G52" i="12" s="1"/>
  <c r="AD82" i="12"/>
  <c r="AE82" i="12" s="1"/>
  <c r="H82" i="12" s="1"/>
  <c r="G82" i="12" s="1"/>
  <c r="AC82" i="12"/>
  <c r="E12" i="10"/>
  <c r="C12" i="10" s="1"/>
  <c r="I38" i="1"/>
  <c r="X248" i="1"/>
  <c r="AA248" i="1" s="1"/>
  <c r="AF31" i="1"/>
  <c r="K22" i="1"/>
  <c r="AE30" i="1"/>
  <c r="AE27" i="1" s="1"/>
  <c r="AD66" i="12"/>
  <c r="AE66" i="12" s="1"/>
  <c r="H66" i="12" s="1"/>
  <c r="G66" i="12" s="1"/>
  <c r="AC66" i="12"/>
  <c r="AC47" i="12"/>
  <c r="AA46" i="12"/>
  <c r="AB46" i="12" s="1"/>
  <c r="J33" i="1"/>
  <c r="AC59" i="12"/>
  <c r="AD59" i="12"/>
  <c r="AE59" i="12" s="1"/>
  <c r="H59" i="12" s="1"/>
  <c r="G59" i="12" s="1"/>
  <c r="AD37" i="12"/>
  <c r="AE37" i="12" s="1"/>
  <c r="H37" i="12" s="1"/>
  <c r="G37" i="12" s="1"/>
  <c r="AC76" i="12"/>
  <c r="AD76" i="12"/>
  <c r="AE76" i="12" s="1"/>
  <c r="H76" i="12" s="1"/>
  <c r="G76" i="12" s="1"/>
  <c r="AD32" i="12"/>
  <c r="AE32" i="12" s="1"/>
  <c r="H32" i="12" s="1"/>
  <c r="G32" i="12" s="1"/>
  <c r="AD34" i="12"/>
  <c r="AE34" i="12" s="1"/>
  <c r="H34" i="12" s="1"/>
  <c r="G34" i="12" s="1"/>
  <c r="AC31" i="12"/>
  <c r="AD31" i="12"/>
  <c r="AE31" i="12" s="1"/>
  <c r="H31" i="12" s="1"/>
  <c r="G31" i="12" s="1"/>
  <c r="AD87" i="12"/>
  <c r="AE87" i="12" s="1"/>
  <c r="H87" i="12" s="1"/>
  <c r="G87" i="12" s="1"/>
  <c r="AD27" i="12"/>
  <c r="AE27" i="12" s="1"/>
  <c r="H27" i="12" s="1"/>
  <c r="G27" i="12" s="1"/>
  <c r="AC27" i="12"/>
  <c r="Y81" i="12"/>
  <c r="Z81" i="12" s="1"/>
  <c r="AA81" i="12" s="1"/>
  <c r="AB81" i="12" s="1"/>
  <c r="C97" i="12"/>
  <c r="X97" i="12"/>
  <c r="Y97" i="12" s="1"/>
  <c r="Z97" i="12" s="1"/>
  <c r="AA97" i="12" s="1"/>
  <c r="AB97" i="12" s="1"/>
  <c r="D97" i="12"/>
  <c r="L33" i="12" s="1"/>
  <c r="K32" i="12"/>
  <c r="W96" i="12"/>
  <c r="AD96" i="12"/>
  <c r="AE96" i="12" s="1"/>
  <c r="H96" i="12" s="1"/>
  <c r="AC96" i="12"/>
  <c r="B98" i="12"/>
  <c r="R98" i="12" s="1"/>
  <c r="S98" i="12" s="1"/>
  <c r="U98" i="12" s="1"/>
  <c r="J33" i="12"/>
  <c r="AD36" i="12" l="1"/>
  <c r="AE36" i="12" s="1"/>
  <c r="H36" i="12" s="1"/>
  <c r="G36" i="12" s="1"/>
  <c r="AD79" i="12"/>
  <c r="AE79" i="12" s="1"/>
  <c r="H79" i="12" s="1"/>
  <c r="G79" i="12" s="1"/>
  <c r="AD58" i="12"/>
  <c r="AE58" i="12" s="1"/>
  <c r="H58" i="12" s="1"/>
  <c r="G58" i="12" s="1"/>
  <c r="AD41" i="12"/>
  <c r="AE41" i="12" s="1"/>
  <c r="H41" i="12" s="1"/>
  <c r="G41" i="12" s="1"/>
  <c r="AC33" i="12"/>
  <c r="AC75" i="12"/>
  <c r="AC55" i="12"/>
  <c r="P31" i="12"/>
  <c r="AD89" i="12"/>
  <c r="AE89" i="12" s="1"/>
  <c r="H89" i="12" s="1"/>
  <c r="G89" i="12" s="1"/>
  <c r="AC95" i="12"/>
  <c r="AC81" i="12"/>
  <c r="AD81" i="12"/>
  <c r="AE81" i="12" s="1"/>
  <c r="H81" i="12" s="1"/>
  <c r="G81" i="12" s="1"/>
  <c r="AC48" i="12"/>
  <c r="AD48" i="12"/>
  <c r="AE48" i="12" s="1"/>
  <c r="H48" i="12" s="1"/>
  <c r="G48" i="12" s="1"/>
  <c r="AC46" i="12"/>
  <c r="AD46" i="12"/>
  <c r="AE46" i="12" s="1"/>
  <c r="H46" i="12" s="1"/>
  <c r="G46" i="12" s="1"/>
  <c r="P28" i="12"/>
  <c r="G92" i="12"/>
  <c r="O28" i="12" s="1"/>
  <c r="G91" i="12"/>
  <c r="O27" i="12" s="1"/>
  <c r="P27" i="12"/>
  <c r="C7" i="14"/>
  <c r="C18" i="14"/>
  <c r="D18" i="14" s="1"/>
  <c r="AC44" i="12"/>
  <c r="AD44" i="12"/>
  <c r="AE44" i="12" s="1"/>
  <c r="H44" i="12" s="1"/>
  <c r="G44" i="12" s="1"/>
  <c r="AC50" i="12"/>
  <c r="AD50" i="12"/>
  <c r="AE50" i="12" s="1"/>
  <c r="H50" i="12" s="1"/>
  <c r="G50" i="12" s="1"/>
  <c r="AC85" i="12"/>
  <c r="AD85" i="12"/>
  <c r="AE85" i="12" s="1"/>
  <c r="H85" i="12" s="1"/>
  <c r="G85" i="12" s="1"/>
  <c r="AD72" i="12"/>
  <c r="AE72" i="12" s="1"/>
  <c r="H72" i="12" s="1"/>
  <c r="G72" i="12" s="1"/>
  <c r="AC72" i="12"/>
  <c r="P29" i="12"/>
  <c r="G93" i="12"/>
  <c r="O29" i="12" s="1"/>
  <c r="G90" i="12"/>
  <c r="O26" i="12" s="1"/>
  <c r="P26" i="12"/>
  <c r="D5" i="15"/>
  <c r="D5" i="14"/>
  <c r="D4" i="14" s="1"/>
  <c r="E4" i="14" s="1"/>
  <c r="D26" i="14"/>
  <c r="D25" i="14"/>
  <c r="D27" i="14"/>
  <c r="AD68" i="12"/>
  <c r="AE68" i="12" s="1"/>
  <c r="H68" i="12" s="1"/>
  <c r="G68" i="12" s="1"/>
  <c r="AC68" i="12"/>
  <c r="AC40" i="12"/>
  <c r="AD40" i="12"/>
  <c r="AE40" i="12" s="1"/>
  <c r="H40" i="12" s="1"/>
  <c r="G40" i="12" s="1"/>
  <c r="AD26" i="12"/>
  <c r="AE26" i="12" s="1"/>
  <c r="H26" i="12" s="1"/>
  <c r="G26" i="12" s="1"/>
  <c r="AC26" i="12"/>
  <c r="Q13" i="6"/>
  <c r="W12" i="6"/>
  <c r="K12" i="6"/>
  <c r="S12" i="6" s="1"/>
  <c r="X12" i="6" s="1"/>
  <c r="E12" i="6" s="1"/>
  <c r="AD42" i="12"/>
  <c r="AE42" i="12" s="1"/>
  <c r="H42" i="12" s="1"/>
  <c r="G42" i="12" s="1"/>
  <c r="AC42" i="12"/>
  <c r="D8" i="5"/>
  <c r="K23" i="1"/>
  <c r="A39" i="1" s="1"/>
  <c r="A38" i="1"/>
  <c r="E29" i="1"/>
  <c r="K13" i="12"/>
  <c r="J7" i="10"/>
  <c r="H12" i="10" s="1"/>
  <c r="J9" i="10" s="1"/>
  <c r="C31" i="10" s="1"/>
  <c r="AC60" i="12"/>
  <c r="AD60" i="12"/>
  <c r="AE60" i="12" s="1"/>
  <c r="H60" i="12" s="1"/>
  <c r="G60" i="12" s="1"/>
  <c r="AC77" i="12"/>
  <c r="AD77" i="12"/>
  <c r="AE77" i="12" s="1"/>
  <c r="H77" i="12" s="1"/>
  <c r="G77" i="12" s="1"/>
  <c r="AD56" i="12"/>
  <c r="AE56" i="12" s="1"/>
  <c r="H56" i="12" s="1"/>
  <c r="G56" i="12" s="1"/>
  <c r="AC56" i="12"/>
  <c r="G94" i="12"/>
  <c r="O30" i="12" s="1"/>
  <c r="P30" i="12"/>
  <c r="G96" i="12"/>
  <c r="O32" i="12" s="1"/>
  <c r="P32" i="12"/>
  <c r="AD97" i="12"/>
  <c r="AE97" i="12" s="1"/>
  <c r="H97" i="12" s="1"/>
  <c r="AC97" i="12"/>
  <c r="X98" i="12"/>
  <c r="Y98" i="12" s="1"/>
  <c r="Z98" i="12" s="1"/>
  <c r="AA98" i="12" s="1"/>
  <c r="AB98" i="12" s="1"/>
  <c r="D98" i="12"/>
  <c r="L34" i="12" s="1"/>
  <c r="C98" i="12"/>
  <c r="K33" i="12"/>
  <c r="W97" i="12"/>
  <c r="B99" i="12"/>
  <c r="R99" i="12" s="1"/>
  <c r="S99" i="12" s="1"/>
  <c r="U99" i="12" s="1"/>
  <c r="J34" i="12"/>
  <c r="K23" i="14" l="1"/>
  <c r="A39" i="14" s="1"/>
  <c r="Q14" i="6"/>
  <c r="W13" i="6"/>
  <c r="K13" i="6"/>
  <c r="S13" i="6" s="1"/>
  <c r="X13" i="6" s="1"/>
  <c r="E13" i="6" s="1"/>
  <c r="X215" i="14"/>
  <c r="K25" i="14"/>
  <c r="E5" i="14"/>
  <c r="K24" i="14"/>
  <c r="H30" i="14"/>
  <c r="H31" i="14" s="1"/>
  <c r="H24" i="14"/>
  <c r="J33" i="14"/>
  <c r="E8" i="5"/>
  <c r="G8" i="5" s="1"/>
  <c r="H8" i="5" s="1"/>
  <c r="I8" i="5" s="1"/>
  <c r="C39" i="1" s="1"/>
  <c r="E5" i="15"/>
  <c r="G5" i="15" s="1"/>
  <c r="H5" i="15" s="1"/>
  <c r="I5" i="15" s="1"/>
  <c r="K34" i="12"/>
  <c r="W98" i="12"/>
  <c r="G97" i="12"/>
  <c r="O33" i="12" s="1"/>
  <c r="P33" i="12"/>
  <c r="X99" i="12"/>
  <c r="Y99" i="12" s="1"/>
  <c r="Z99" i="12" s="1"/>
  <c r="AA99" i="12" s="1"/>
  <c r="AB99" i="12" s="1"/>
  <c r="D99" i="12"/>
  <c r="L35" i="12" s="1"/>
  <c r="C99" i="12"/>
  <c r="AC98" i="12"/>
  <c r="AD98" i="12"/>
  <c r="AE98" i="12" s="1"/>
  <c r="H98" i="12" s="1"/>
  <c r="B100" i="12"/>
  <c r="R100" i="12" s="1"/>
  <c r="S100" i="12" s="1"/>
  <c r="U100" i="12" s="1"/>
  <c r="J35" i="12"/>
  <c r="D30" i="14" l="1"/>
  <c r="AB1" i="14"/>
  <c r="R217" i="14"/>
  <c r="X217" i="14" s="1"/>
  <c r="AA217" i="14" s="1"/>
  <c r="AA215" i="14"/>
  <c r="E17" i="14"/>
  <c r="I39" i="14"/>
  <c r="A8" i="15"/>
  <c r="C38" i="14"/>
  <c r="K26" i="14"/>
  <c r="C8" i="15" s="1"/>
  <c r="E8" i="15" s="1"/>
  <c r="G8" i="15" s="1"/>
  <c r="B8" i="15"/>
  <c r="Q15" i="6"/>
  <c r="W14" i="6"/>
  <c r="K14" i="6"/>
  <c r="S14" i="6" s="1"/>
  <c r="X14" i="6" s="1"/>
  <c r="E14" i="6" s="1"/>
  <c r="K35" i="12"/>
  <c r="W99" i="12"/>
  <c r="X100" i="12"/>
  <c r="Y100" i="12" s="1"/>
  <c r="Z100" i="12" s="1"/>
  <c r="AA100" i="12" s="1"/>
  <c r="AB100" i="12" s="1"/>
  <c r="D100" i="12"/>
  <c r="L36" i="12" s="1"/>
  <c r="C100" i="12"/>
  <c r="G98" i="12"/>
  <c r="O34" i="12" s="1"/>
  <c r="P34" i="12"/>
  <c r="AC99" i="12"/>
  <c r="AD99" i="12"/>
  <c r="AE99" i="12" s="1"/>
  <c r="H99" i="12" s="1"/>
  <c r="B101" i="12"/>
  <c r="R101" i="12" s="1"/>
  <c r="S101" i="12" s="1"/>
  <c r="U101" i="12" s="1"/>
  <c r="J36" i="12"/>
  <c r="H8" i="15" l="1"/>
  <c r="I8" i="15" s="1"/>
  <c r="C39" i="14" s="1"/>
  <c r="Q16" i="6"/>
  <c r="W15" i="6"/>
  <c r="K15" i="6"/>
  <c r="S15" i="6" s="1"/>
  <c r="X15" i="6" s="1"/>
  <c r="E15" i="6" s="1"/>
  <c r="E11" i="14"/>
  <c r="E10" i="14"/>
  <c r="E18" i="14"/>
  <c r="AC100" i="12"/>
  <c r="AD100" i="12"/>
  <c r="AE100" i="12" s="1"/>
  <c r="H100" i="12" s="1"/>
  <c r="X101" i="12"/>
  <c r="Y101" i="12" s="1"/>
  <c r="Z101" i="12" s="1"/>
  <c r="AA101" i="12" s="1"/>
  <c r="AB101" i="12" s="1"/>
  <c r="C101" i="12"/>
  <c r="D101" i="12"/>
  <c r="L37" i="12" s="1"/>
  <c r="G99" i="12"/>
  <c r="O35" i="12" s="1"/>
  <c r="P35" i="12"/>
  <c r="W100" i="12"/>
  <c r="K36" i="12"/>
  <c r="B102" i="12"/>
  <c r="R102" i="12" s="1"/>
  <c r="S102" i="12" s="1"/>
  <c r="U102" i="12" s="1"/>
  <c r="J37" i="12"/>
  <c r="X248" i="14" l="1"/>
  <c r="AA248" i="14" s="1"/>
  <c r="I38" i="14"/>
  <c r="AF31" i="14"/>
  <c r="AE30" i="14"/>
  <c r="AE27" i="14" s="1"/>
  <c r="X246" i="14"/>
  <c r="AA246" i="14" s="1"/>
  <c r="AG32" i="14"/>
  <c r="Q17" i="6"/>
  <c r="W16" i="6"/>
  <c r="K16" i="6"/>
  <c r="S16" i="6" s="1"/>
  <c r="X16" i="6" s="1"/>
  <c r="E16" i="6" s="1"/>
  <c r="K37" i="12"/>
  <c r="W101" i="12"/>
  <c r="AD101" i="12"/>
  <c r="AE101" i="12" s="1"/>
  <c r="H101" i="12" s="1"/>
  <c r="AC101" i="12"/>
  <c r="X102" i="12"/>
  <c r="Y102" i="12" s="1"/>
  <c r="Z102" i="12" s="1"/>
  <c r="AA102" i="12" s="1"/>
  <c r="AB102" i="12" s="1"/>
  <c r="D102" i="12"/>
  <c r="L38" i="12" s="1"/>
  <c r="C102" i="12"/>
  <c r="P36" i="12"/>
  <c r="G100" i="12"/>
  <c r="O36" i="12" s="1"/>
  <c r="B103" i="12"/>
  <c r="R103" i="12" s="1"/>
  <c r="S103" i="12" s="1"/>
  <c r="U103" i="12" s="1"/>
  <c r="J38" i="12"/>
  <c r="Q18" i="6" l="1"/>
  <c r="W17" i="6"/>
  <c r="K17" i="6"/>
  <c r="S17" i="6" s="1"/>
  <c r="X17" i="6" s="1"/>
  <c r="E17" i="6" s="1"/>
  <c r="K38" i="12"/>
  <c r="W102" i="12"/>
  <c r="P37" i="12"/>
  <c r="G101" i="12"/>
  <c r="O37" i="12" s="1"/>
  <c r="X103" i="12"/>
  <c r="Y103" i="12" s="1"/>
  <c r="Z103" i="12" s="1"/>
  <c r="AA103" i="12" s="1"/>
  <c r="AB103" i="12" s="1"/>
  <c r="D103" i="12"/>
  <c r="L39" i="12" s="1"/>
  <c r="C103" i="12"/>
  <c r="AD102" i="12"/>
  <c r="AE102" i="12" s="1"/>
  <c r="H102" i="12" s="1"/>
  <c r="AC102" i="12"/>
  <c r="B104" i="12"/>
  <c r="R104" i="12" s="1"/>
  <c r="S104" i="12" s="1"/>
  <c r="U104" i="12" s="1"/>
  <c r="J39" i="12"/>
  <c r="Q19" i="6" l="1"/>
  <c r="W18" i="6"/>
  <c r="K18" i="6"/>
  <c r="S18" i="6" s="1"/>
  <c r="X18" i="6" s="1"/>
  <c r="E18" i="6" s="1"/>
  <c r="P38" i="12"/>
  <c r="G102" i="12"/>
  <c r="O38" i="12" s="1"/>
  <c r="W103" i="12"/>
  <c r="K39" i="12"/>
  <c r="X104" i="12"/>
  <c r="Y104" i="12" s="1"/>
  <c r="Z104" i="12" s="1"/>
  <c r="AA104" i="12" s="1"/>
  <c r="AB104" i="12" s="1"/>
  <c r="D104" i="12"/>
  <c r="L40" i="12" s="1"/>
  <c r="C104" i="12"/>
  <c r="AD103" i="12"/>
  <c r="AE103" i="12" s="1"/>
  <c r="H103" i="12" s="1"/>
  <c r="AC103" i="12"/>
  <c r="B105" i="12"/>
  <c r="R105" i="12" s="1"/>
  <c r="S105" i="12" s="1"/>
  <c r="U105" i="12" s="1"/>
  <c r="J40" i="12"/>
  <c r="Q20" i="6" l="1"/>
  <c r="W19" i="6"/>
  <c r="K19" i="6"/>
  <c r="S19" i="6" s="1"/>
  <c r="X19" i="6" s="1"/>
  <c r="E19" i="6" s="1"/>
  <c r="P39" i="12"/>
  <c r="G103" i="12"/>
  <c r="O39" i="12" s="1"/>
  <c r="W104" i="12"/>
  <c r="K40" i="12"/>
  <c r="X105" i="12"/>
  <c r="Y105" i="12" s="1"/>
  <c r="Z105" i="12" s="1"/>
  <c r="AA105" i="12" s="1"/>
  <c r="AB105" i="12" s="1"/>
  <c r="C105" i="12"/>
  <c r="D105" i="12"/>
  <c r="L41" i="12" s="1"/>
  <c r="AC104" i="12"/>
  <c r="AD104" i="12"/>
  <c r="AE104" i="12" s="1"/>
  <c r="H104" i="12" s="1"/>
  <c r="B106" i="12"/>
  <c r="R106" i="12" s="1"/>
  <c r="S106" i="12" s="1"/>
  <c r="U106" i="12" s="1"/>
  <c r="J41" i="12"/>
  <c r="Q21" i="6" l="1"/>
  <c r="W20" i="6"/>
  <c r="K20" i="6"/>
  <c r="S20" i="6" s="1"/>
  <c r="X20" i="6" s="1"/>
  <c r="E20" i="6" s="1"/>
  <c r="X106" i="12"/>
  <c r="Y106" i="12" s="1"/>
  <c r="Z106" i="12" s="1"/>
  <c r="AA106" i="12" s="1"/>
  <c r="AB106" i="12" s="1"/>
  <c r="C106" i="12"/>
  <c r="D106" i="12"/>
  <c r="L42" i="12" s="1"/>
  <c r="K41" i="12"/>
  <c r="W105" i="12"/>
  <c r="P40" i="12"/>
  <c r="G104" i="12"/>
  <c r="O40" i="12" s="1"/>
  <c r="AC105" i="12"/>
  <c r="AD105" i="12"/>
  <c r="AE105" i="12" s="1"/>
  <c r="H105" i="12" s="1"/>
  <c r="B107" i="12"/>
  <c r="R107" i="12" s="1"/>
  <c r="S107" i="12" s="1"/>
  <c r="U107" i="12" s="1"/>
  <c r="J42" i="12"/>
  <c r="Q22" i="6" l="1"/>
  <c r="W21" i="6"/>
  <c r="K21" i="6"/>
  <c r="S21" i="6" s="1"/>
  <c r="X21" i="6" s="1"/>
  <c r="E21" i="6" s="1"/>
  <c r="X107" i="12"/>
  <c r="Y107" i="12" s="1"/>
  <c r="Z107" i="12" s="1"/>
  <c r="AA107" i="12" s="1"/>
  <c r="AB107" i="12" s="1"/>
  <c r="C107" i="12"/>
  <c r="D107" i="12"/>
  <c r="L43" i="12" s="1"/>
  <c r="K42" i="12"/>
  <c r="W106" i="12"/>
  <c r="G105" i="12"/>
  <c r="O41" i="12" s="1"/>
  <c r="P41" i="12"/>
  <c r="AD106" i="12"/>
  <c r="AE106" i="12" s="1"/>
  <c r="H106" i="12" s="1"/>
  <c r="AC106" i="12"/>
  <c r="B108" i="12"/>
  <c r="R108" i="12" s="1"/>
  <c r="S108" i="12" s="1"/>
  <c r="U108" i="12" s="1"/>
  <c r="J43" i="12"/>
  <c r="Q23" i="6" l="1"/>
  <c r="W22" i="6"/>
  <c r="K22" i="6"/>
  <c r="S22" i="6" s="1"/>
  <c r="X22" i="6" s="1"/>
  <c r="E22" i="6" s="1"/>
  <c r="G106" i="12"/>
  <c r="O42" i="12" s="1"/>
  <c r="P42" i="12"/>
  <c r="X108" i="12"/>
  <c r="Y108" i="12" s="1"/>
  <c r="Z108" i="12" s="1"/>
  <c r="AA108" i="12" s="1"/>
  <c r="AB108" i="12" s="1"/>
  <c r="D108" i="12"/>
  <c r="L44" i="12" s="1"/>
  <c r="C108" i="12"/>
  <c r="K43" i="12"/>
  <c r="W107" i="12"/>
  <c r="AC107" i="12"/>
  <c r="AD107" i="12"/>
  <c r="AE107" i="12" s="1"/>
  <c r="H107" i="12" s="1"/>
  <c r="B109" i="12"/>
  <c r="R109" i="12" s="1"/>
  <c r="S109" i="12" s="1"/>
  <c r="U109" i="12" s="1"/>
  <c r="J44" i="12"/>
  <c r="Q24" i="6" l="1"/>
  <c r="W23" i="6"/>
  <c r="K23" i="6"/>
  <c r="S23" i="6" s="1"/>
  <c r="X23" i="6" s="1"/>
  <c r="E23" i="6" s="1"/>
  <c r="AD108" i="12"/>
  <c r="AE108" i="12" s="1"/>
  <c r="H108" i="12" s="1"/>
  <c r="AC108" i="12"/>
  <c r="X109" i="12"/>
  <c r="Y109" i="12" s="1"/>
  <c r="Z109" i="12" s="1"/>
  <c r="AA109" i="12" s="1"/>
  <c r="AB109" i="12" s="1"/>
  <c r="D109" i="12"/>
  <c r="L45" i="12" s="1"/>
  <c r="C109" i="12"/>
  <c r="P43" i="12"/>
  <c r="G107" i="12"/>
  <c r="O43" i="12" s="1"/>
  <c r="K44" i="12"/>
  <c r="W108" i="12"/>
  <c r="B110" i="12"/>
  <c r="R110" i="12" s="1"/>
  <c r="S110" i="12" s="1"/>
  <c r="U110" i="12" s="1"/>
  <c r="J45" i="12"/>
  <c r="Q25" i="6" l="1"/>
  <c r="W24" i="6"/>
  <c r="K24" i="6"/>
  <c r="S24" i="6" s="1"/>
  <c r="X24" i="6" s="1"/>
  <c r="E24" i="6" s="1"/>
  <c r="AC109" i="12"/>
  <c r="AD109" i="12"/>
  <c r="AE109" i="12" s="1"/>
  <c r="H109" i="12" s="1"/>
  <c r="X110" i="12"/>
  <c r="Y110" i="12" s="1"/>
  <c r="Z110" i="12" s="1"/>
  <c r="AA110" i="12" s="1"/>
  <c r="AB110" i="12" s="1"/>
  <c r="D110" i="12"/>
  <c r="L46" i="12" s="1"/>
  <c r="C110" i="12"/>
  <c r="W109" i="12"/>
  <c r="K45" i="12"/>
  <c r="P44" i="12"/>
  <c r="G108" i="12"/>
  <c r="O44" i="12" s="1"/>
  <c r="B111" i="12"/>
  <c r="R111" i="12" s="1"/>
  <c r="S111" i="12" s="1"/>
  <c r="U111" i="12" s="1"/>
  <c r="J46" i="12"/>
  <c r="Q26" i="6" l="1"/>
  <c r="W25" i="6"/>
  <c r="K25" i="6"/>
  <c r="S25" i="6" s="1"/>
  <c r="X25" i="6" s="1"/>
  <c r="E25" i="6" s="1"/>
  <c r="AC110" i="12"/>
  <c r="AD110" i="12"/>
  <c r="AE110" i="12" s="1"/>
  <c r="H110" i="12" s="1"/>
  <c r="P45" i="12"/>
  <c r="G109" i="12"/>
  <c r="O45" i="12" s="1"/>
  <c r="C111" i="12"/>
  <c r="X111" i="12"/>
  <c r="Y111" i="12" s="1"/>
  <c r="Z111" i="12" s="1"/>
  <c r="AA111" i="12" s="1"/>
  <c r="AB111" i="12" s="1"/>
  <c r="D111" i="12"/>
  <c r="L47" i="12" s="1"/>
  <c r="K46" i="12"/>
  <c r="W110" i="12"/>
  <c r="B112" i="12"/>
  <c r="R112" i="12" s="1"/>
  <c r="S112" i="12" s="1"/>
  <c r="U112" i="12" s="1"/>
  <c r="J47" i="12"/>
  <c r="Q27" i="6" l="1"/>
  <c r="W26" i="6"/>
  <c r="K26" i="6"/>
  <c r="S26" i="6" s="1"/>
  <c r="X26" i="6" s="1"/>
  <c r="E26" i="6" s="1"/>
  <c r="AC111" i="12"/>
  <c r="AD111" i="12"/>
  <c r="AE111" i="12" s="1"/>
  <c r="H111" i="12" s="1"/>
  <c r="G110" i="12"/>
  <c r="O46" i="12" s="1"/>
  <c r="P46" i="12"/>
  <c r="X112" i="12"/>
  <c r="Y112" i="12" s="1"/>
  <c r="Z112" i="12" s="1"/>
  <c r="AA112" i="12" s="1"/>
  <c r="AB112" i="12" s="1"/>
  <c r="C112" i="12"/>
  <c r="D112" i="12"/>
  <c r="L48" i="12" s="1"/>
  <c r="K47" i="12"/>
  <c r="W111" i="12"/>
  <c r="B113" i="12"/>
  <c r="R113" i="12" s="1"/>
  <c r="S113" i="12" s="1"/>
  <c r="U113" i="12" s="1"/>
  <c r="J48" i="12"/>
  <c r="Q28" i="6" l="1"/>
  <c r="W27" i="6"/>
  <c r="K27" i="6"/>
  <c r="S27" i="6" s="1"/>
  <c r="X27" i="6" s="1"/>
  <c r="E27" i="6" s="1"/>
  <c r="X113" i="12"/>
  <c r="Y113" i="12" s="1"/>
  <c r="Z113" i="12" s="1"/>
  <c r="AA113" i="12" s="1"/>
  <c r="AB113" i="12" s="1"/>
  <c r="D113" i="12"/>
  <c r="L49" i="12" s="1"/>
  <c r="C113" i="12"/>
  <c r="K48" i="12"/>
  <c r="W112" i="12"/>
  <c r="P47" i="12"/>
  <c r="G111" i="12"/>
  <c r="O47" i="12" s="1"/>
  <c r="AC112" i="12"/>
  <c r="AD112" i="12"/>
  <c r="AE112" i="12" s="1"/>
  <c r="H112" i="12" s="1"/>
  <c r="B114" i="12"/>
  <c r="R114" i="12" s="1"/>
  <c r="S114" i="12" s="1"/>
  <c r="U114" i="12" s="1"/>
  <c r="J49" i="12"/>
  <c r="Q29" i="6" l="1"/>
  <c r="W28" i="6"/>
  <c r="K28" i="6"/>
  <c r="S28" i="6" s="1"/>
  <c r="X28" i="6" s="1"/>
  <c r="E28" i="6" s="1"/>
  <c r="K49" i="12"/>
  <c r="W113" i="12"/>
  <c r="C114" i="12"/>
  <c r="X114" i="12"/>
  <c r="Y114" i="12" s="1"/>
  <c r="Z114" i="12" s="1"/>
  <c r="AA114" i="12" s="1"/>
  <c r="AB114" i="12" s="1"/>
  <c r="D114" i="12"/>
  <c r="L50" i="12" s="1"/>
  <c r="P48" i="12"/>
  <c r="G112" i="12"/>
  <c r="O48" i="12" s="1"/>
  <c r="AC113" i="12"/>
  <c r="AD113" i="12"/>
  <c r="AE113" i="12" s="1"/>
  <c r="H113" i="12" s="1"/>
  <c r="B115" i="12"/>
  <c r="R115" i="12" s="1"/>
  <c r="S115" i="12" s="1"/>
  <c r="U115" i="12" s="1"/>
  <c r="J50" i="12"/>
  <c r="Q30" i="6" l="1"/>
  <c r="W29" i="6"/>
  <c r="K29" i="6"/>
  <c r="S29" i="6" s="1"/>
  <c r="X29" i="6" s="1"/>
  <c r="E29" i="6" s="1"/>
  <c r="AC114" i="12"/>
  <c r="AD114" i="12"/>
  <c r="AE114" i="12" s="1"/>
  <c r="H114" i="12" s="1"/>
  <c r="K50" i="12"/>
  <c r="W114" i="12"/>
  <c r="X115" i="12"/>
  <c r="Y115" i="12" s="1"/>
  <c r="Z115" i="12" s="1"/>
  <c r="AA115" i="12" s="1"/>
  <c r="AB115" i="12" s="1"/>
  <c r="D115" i="12"/>
  <c r="L51" i="12" s="1"/>
  <c r="C115" i="12"/>
  <c r="P49" i="12"/>
  <c r="G113" i="12"/>
  <c r="O49" i="12" s="1"/>
  <c r="B116" i="12"/>
  <c r="R116" i="12" s="1"/>
  <c r="S116" i="12" s="1"/>
  <c r="U116" i="12" s="1"/>
  <c r="J51" i="12"/>
  <c r="Q31" i="6" l="1"/>
  <c r="W30" i="6"/>
  <c r="K30" i="6"/>
  <c r="S30" i="6" s="1"/>
  <c r="X30" i="6" s="1"/>
  <c r="E30" i="6" s="1"/>
  <c r="X116" i="12"/>
  <c r="Y116" i="12" s="1"/>
  <c r="Z116" i="12" s="1"/>
  <c r="AA116" i="12" s="1"/>
  <c r="AB116" i="12" s="1"/>
  <c r="C116" i="12"/>
  <c r="D116" i="12"/>
  <c r="L52" i="12" s="1"/>
  <c r="G114" i="12"/>
  <c r="O50" i="12" s="1"/>
  <c r="P50" i="12"/>
  <c r="W115" i="12"/>
  <c r="K51" i="12"/>
  <c r="AD115" i="12"/>
  <c r="AE115" i="12" s="1"/>
  <c r="H115" i="12" s="1"/>
  <c r="AC115" i="12"/>
  <c r="B117" i="12"/>
  <c r="R117" i="12" s="1"/>
  <c r="S117" i="12" s="1"/>
  <c r="U117" i="12" s="1"/>
  <c r="J52" i="12"/>
  <c r="Q32" i="6" l="1"/>
  <c r="W31" i="6"/>
  <c r="K31" i="6"/>
  <c r="S31" i="6" s="1"/>
  <c r="X31" i="6" s="1"/>
  <c r="E31" i="6" s="1"/>
  <c r="P51" i="12"/>
  <c r="G115" i="12"/>
  <c r="O51" i="12" s="1"/>
  <c r="X117" i="12"/>
  <c r="Y117" i="12" s="1"/>
  <c r="Z117" i="12" s="1"/>
  <c r="AA117" i="12" s="1"/>
  <c r="AB117" i="12" s="1"/>
  <c r="D117" i="12"/>
  <c r="L53" i="12" s="1"/>
  <c r="C117" i="12"/>
  <c r="K52" i="12"/>
  <c r="W116" i="12"/>
  <c r="AC116" i="12"/>
  <c r="AD116" i="12"/>
  <c r="AE116" i="12" s="1"/>
  <c r="H116" i="12" s="1"/>
  <c r="J53" i="12"/>
  <c r="B118" i="12"/>
  <c r="R118" i="12" s="1"/>
  <c r="S118" i="12" s="1"/>
  <c r="U118" i="12" s="1"/>
  <c r="Q33" i="6" l="1"/>
  <c r="W32" i="6"/>
  <c r="K32" i="6"/>
  <c r="S32" i="6" s="1"/>
  <c r="X32" i="6" s="1"/>
  <c r="E32" i="6" s="1"/>
  <c r="AD117" i="12"/>
  <c r="AE117" i="12" s="1"/>
  <c r="H117" i="12" s="1"/>
  <c r="AC117" i="12"/>
  <c r="X118" i="12"/>
  <c r="Y118" i="12" s="1"/>
  <c r="Z118" i="12" s="1"/>
  <c r="AA118" i="12" s="1"/>
  <c r="AB118" i="12" s="1"/>
  <c r="C118" i="12"/>
  <c r="D118" i="12"/>
  <c r="L54" i="12" s="1"/>
  <c r="P52" i="12"/>
  <c r="G116" i="12"/>
  <c r="O52" i="12" s="1"/>
  <c r="W117" i="12"/>
  <c r="K53" i="12"/>
  <c r="B119" i="12"/>
  <c r="R119" i="12" s="1"/>
  <c r="S119" i="12" s="1"/>
  <c r="U119" i="12" s="1"/>
  <c r="J54" i="12"/>
  <c r="Q34" i="6" l="1"/>
  <c r="W33" i="6"/>
  <c r="K33" i="6"/>
  <c r="S33" i="6" s="1"/>
  <c r="X33" i="6" s="1"/>
  <c r="E33" i="6" s="1"/>
  <c r="K54" i="12"/>
  <c r="W118" i="12"/>
  <c r="X119" i="12"/>
  <c r="Y119" i="12" s="1"/>
  <c r="Z119" i="12" s="1"/>
  <c r="AA119" i="12" s="1"/>
  <c r="AB119" i="12" s="1"/>
  <c r="D119" i="12"/>
  <c r="L55" i="12" s="1"/>
  <c r="C119" i="12"/>
  <c r="AC118" i="12"/>
  <c r="AD118" i="12"/>
  <c r="AE118" i="12" s="1"/>
  <c r="H118" i="12" s="1"/>
  <c r="P53" i="12"/>
  <c r="G117" i="12"/>
  <c r="O53" i="12" s="1"/>
  <c r="B120" i="12"/>
  <c r="R120" i="12" s="1"/>
  <c r="S120" i="12" s="1"/>
  <c r="U120" i="12" s="1"/>
  <c r="J55" i="12"/>
  <c r="Q35" i="6" l="1"/>
  <c r="W34" i="6"/>
  <c r="K34" i="6"/>
  <c r="S34" i="6" s="1"/>
  <c r="X34" i="6" s="1"/>
  <c r="E34" i="6" s="1"/>
  <c r="AC119" i="12"/>
  <c r="AD119" i="12"/>
  <c r="AE119" i="12" s="1"/>
  <c r="H119" i="12" s="1"/>
  <c r="X120" i="12"/>
  <c r="Y120" i="12" s="1"/>
  <c r="Z120" i="12" s="1"/>
  <c r="AA120" i="12" s="1"/>
  <c r="AB120" i="12" s="1"/>
  <c r="C120" i="12"/>
  <c r="D120" i="12"/>
  <c r="L56" i="12" s="1"/>
  <c r="G118" i="12"/>
  <c r="O54" i="12" s="1"/>
  <c r="P54" i="12"/>
  <c r="K55" i="12"/>
  <c r="W119" i="12"/>
  <c r="B121" i="12"/>
  <c r="R121" i="12" s="1"/>
  <c r="S121" i="12" s="1"/>
  <c r="U121" i="12" s="1"/>
  <c r="J56" i="12"/>
  <c r="Q36" i="6" l="1"/>
  <c r="W35" i="6"/>
  <c r="K35" i="6"/>
  <c r="S35" i="6" s="1"/>
  <c r="X35" i="6" s="1"/>
  <c r="E35" i="6" s="1"/>
  <c r="K56" i="12"/>
  <c r="W120" i="12"/>
  <c r="AC120" i="12"/>
  <c r="AD120" i="12"/>
  <c r="AE120" i="12" s="1"/>
  <c r="H120" i="12" s="1"/>
  <c r="G119" i="12"/>
  <c r="O55" i="12" s="1"/>
  <c r="P55" i="12"/>
  <c r="X121" i="12"/>
  <c r="Y121" i="12" s="1"/>
  <c r="Z121" i="12" s="1"/>
  <c r="AA121" i="12" s="1"/>
  <c r="AB121" i="12" s="1"/>
  <c r="C121" i="12"/>
  <c r="D121" i="12"/>
  <c r="L57" i="12" s="1"/>
  <c r="B122" i="12"/>
  <c r="R122" i="12" s="1"/>
  <c r="S122" i="12" s="1"/>
  <c r="U122" i="12" s="1"/>
  <c r="J57" i="12"/>
  <c r="Q37" i="6" l="1"/>
  <c r="W36" i="6"/>
  <c r="K36" i="6"/>
  <c r="S36" i="6" s="1"/>
  <c r="X36" i="6" s="1"/>
  <c r="E36" i="6" s="1"/>
  <c r="K57" i="12"/>
  <c r="W121" i="12"/>
  <c r="P56" i="12"/>
  <c r="G120" i="12"/>
  <c r="O56" i="12" s="1"/>
  <c r="X122" i="12"/>
  <c r="Y122" i="12" s="1"/>
  <c r="Z122" i="12" s="1"/>
  <c r="AA122" i="12" s="1"/>
  <c r="AB122" i="12" s="1"/>
  <c r="C122" i="12"/>
  <c r="D122" i="12"/>
  <c r="L58" i="12" s="1"/>
  <c r="AC121" i="12"/>
  <c r="AD121" i="12"/>
  <c r="AE121" i="12" s="1"/>
  <c r="H121" i="12" s="1"/>
  <c r="B123" i="12"/>
  <c r="R123" i="12" s="1"/>
  <c r="S123" i="12" s="1"/>
  <c r="U123" i="12" s="1"/>
  <c r="J58" i="12"/>
  <c r="Q38" i="6" l="1"/>
  <c r="W37" i="6"/>
  <c r="K37" i="6"/>
  <c r="S37" i="6" s="1"/>
  <c r="X37" i="6" s="1"/>
  <c r="E37" i="6" s="1"/>
  <c r="X123" i="12"/>
  <c r="Y123" i="12" s="1"/>
  <c r="Z123" i="12" s="1"/>
  <c r="AA123" i="12" s="1"/>
  <c r="AB123" i="12" s="1"/>
  <c r="C123" i="12"/>
  <c r="D123" i="12"/>
  <c r="L59" i="12" s="1"/>
  <c r="K58" i="12"/>
  <c r="W122" i="12"/>
  <c r="G121" i="12"/>
  <c r="O57" i="12" s="1"/>
  <c r="P57" i="12"/>
  <c r="AC122" i="12"/>
  <c r="AD122" i="12"/>
  <c r="AE122" i="12" s="1"/>
  <c r="H122" i="12" s="1"/>
  <c r="B124" i="12"/>
  <c r="R124" i="12" s="1"/>
  <c r="S124" i="12" s="1"/>
  <c r="U124" i="12" s="1"/>
  <c r="J59" i="12"/>
  <c r="Q39" i="6" l="1"/>
  <c r="W38" i="6"/>
  <c r="K38" i="6"/>
  <c r="S38" i="6" s="1"/>
  <c r="X38" i="6" s="1"/>
  <c r="E38" i="6" s="1"/>
  <c r="X124" i="12"/>
  <c r="Y124" i="12" s="1"/>
  <c r="Z124" i="12" s="1"/>
  <c r="AA124" i="12" s="1"/>
  <c r="AB124" i="12" s="1"/>
  <c r="D124" i="12"/>
  <c r="L60" i="12" s="1"/>
  <c r="C124" i="12"/>
  <c r="K59" i="12"/>
  <c r="W123" i="12"/>
  <c r="G122" i="12"/>
  <c r="O58" i="12" s="1"/>
  <c r="P58" i="12"/>
  <c r="AC123" i="12"/>
  <c r="AD123" i="12"/>
  <c r="AE123" i="12" s="1"/>
  <c r="H123" i="12" s="1"/>
  <c r="B125" i="12"/>
  <c r="R125" i="12" s="1"/>
  <c r="S125" i="12" s="1"/>
  <c r="U125" i="12" s="1"/>
  <c r="J60" i="12"/>
  <c r="Q40" i="6" l="1"/>
  <c r="W39" i="6"/>
  <c r="K39" i="6"/>
  <c r="S39" i="6" s="1"/>
  <c r="X39" i="6" s="1"/>
  <c r="E39" i="6" s="1"/>
  <c r="K60" i="12"/>
  <c r="W124" i="12"/>
  <c r="X125" i="12"/>
  <c r="Y125" i="12" s="1"/>
  <c r="Z125" i="12" s="1"/>
  <c r="AA125" i="12" s="1"/>
  <c r="AB125" i="12" s="1"/>
  <c r="C125" i="12"/>
  <c r="D125" i="12"/>
  <c r="L61" i="12" s="1"/>
  <c r="P59" i="12"/>
  <c r="G123" i="12"/>
  <c r="O59" i="12" s="1"/>
  <c r="AC124" i="12"/>
  <c r="AD124" i="12"/>
  <c r="AE124" i="12" s="1"/>
  <c r="H124" i="12" s="1"/>
  <c r="B126" i="12"/>
  <c r="R126" i="12" s="1"/>
  <c r="S126" i="12" s="1"/>
  <c r="U126" i="12" s="1"/>
  <c r="J61" i="12"/>
  <c r="Q41" i="6" l="1"/>
  <c r="W40" i="6"/>
  <c r="K40" i="6"/>
  <c r="S40" i="6" s="1"/>
  <c r="X40" i="6" s="1"/>
  <c r="E40" i="6" s="1"/>
  <c r="K61" i="12"/>
  <c r="W125" i="12"/>
  <c r="AD125" i="12"/>
  <c r="AE125" i="12" s="1"/>
  <c r="H125" i="12" s="1"/>
  <c r="AC125" i="12"/>
  <c r="X126" i="12"/>
  <c r="Y126" i="12" s="1"/>
  <c r="Z126" i="12" s="1"/>
  <c r="AA126" i="12" s="1"/>
  <c r="AB126" i="12" s="1"/>
  <c r="C126" i="12"/>
  <c r="D126" i="12"/>
  <c r="L62" i="12" s="1"/>
  <c r="P60" i="12"/>
  <c r="G124" i="12"/>
  <c r="O60" i="12" s="1"/>
  <c r="B127" i="12"/>
  <c r="R127" i="12" s="1"/>
  <c r="S127" i="12" s="1"/>
  <c r="U127" i="12" s="1"/>
  <c r="J62" i="12"/>
  <c r="Q42" i="6" l="1"/>
  <c r="W41" i="6"/>
  <c r="K41" i="6"/>
  <c r="S41" i="6" s="1"/>
  <c r="X41" i="6" s="1"/>
  <c r="E41" i="6" s="1"/>
  <c r="G125" i="12"/>
  <c r="O61" i="12" s="1"/>
  <c r="P61" i="12"/>
  <c r="X127" i="12"/>
  <c r="Y127" i="12" s="1"/>
  <c r="Z127" i="12" s="1"/>
  <c r="AA127" i="12" s="1"/>
  <c r="AB127" i="12" s="1"/>
  <c r="C127" i="12"/>
  <c r="D127" i="12"/>
  <c r="L63" i="12" s="1"/>
  <c r="K62" i="12"/>
  <c r="W126" i="12"/>
  <c r="AC126" i="12"/>
  <c r="AD126" i="12"/>
  <c r="AE126" i="12" s="1"/>
  <c r="H126" i="12" s="1"/>
  <c r="B128" i="12"/>
  <c r="R128" i="12" s="1"/>
  <c r="S128" i="12" s="1"/>
  <c r="U128" i="12" s="1"/>
  <c r="J63" i="12"/>
  <c r="Q43" i="6" l="1"/>
  <c r="W42" i="6"/>
  <c r="K42" i="6"/>
  <c r="S42" i="6" s="1"/>
  <c r="X42" i="6" s="1"/>
  <c r="E42" i="6" s="1"/>
  <c r="K63" i="12"/>
  <c r="W127" i="12"/>
  <c r="AC127" i="12"/>
  <c r="AD127" i="12"/>
  <c r="AE127" i="12" s="1"/>
  <c r="H127" i="12" s="1"/>
  <c r="X128" i="12"/>
  <c r="Y128" i="12" s="1"/>
  <c r="Z128" i="12" s="1"/>
  <c r="AA128" i="12" s="1"/>
  <c r="AB128" i="12" s="1"/>
  <c r="D128" i="12"/>
  <c r="L64" i="12" s="1"/>
  <c r="C128" i="12"/>
  <c r="P62" i="12"/>
  <c r="G126" i="12"/>
  <c r="O62" i="12" s="1"/>
  <c r="B129" i="12"/>
  <c r="R129" i="12" s="1"/>
  <c r="S129" i="12" s="1"/>
  <c r="U129" i="12" s="1"/>
  <c r="J64" i="12"/>
  <c r="Q44" i="6" l="1"/>
  <c r="W43" i="6"/>
  <c r="K43" i="6"/>
  <c r="S43" i="6" s="1"/>
  <c r="X43" i="6" s="1"/>
  <c r="E43" i="6" s="1"/>
  <c r="P63" i="12"/>
  <c r="G127" i="12"/>
  <c r="O63" i="12" s="1"/>
  <c r="K64" i="12"/>
  <c r="W128" i="12"/>
  <c r="X129" i="12"/>
  <c r="Y129" i="12" s="1"/>
  <c r="Z129" i="12" s="1"/>
  <c r="AA129" i="12" s="1"/>
  <c r="AB129" i="12" s="1"/>
  <c r="C129" i="12"/>
  <c r="D129" i="12"/>
  <c r="L65" i="12" s="1"/>
  <c r="AC128" i="12"/>
  <c r="AD128" i="12"/>
  <c r="AE128" i="12" s="1"/>
  <c r="H128" i="12" s="1"/>
  <c r="B130" i="12"/>
  <c r="R130" i="12" s="1"/>
  <c r="S130" i="12" s="1"/>
  <c r="U130" i="12" s="1"/>
  <c r="J65" i="12"/>
  <c r="Q45" i="6" l="1"/>
  <c r="W44" i="6"/>
  <c r="K44" i="6"/>
  <c r="S44" i="6" s="1"/>
  <c r="X44" i="6" s="1"/>
  <c r="E44" i="6" s="1"/>
  <c r="X130" i="12"/>
  <c r="Y130" i="12" s="1"/>
  <c r="Z130" i="12" s="1"/>
  <c r="AA130" i="12" s="1"/>
  <c r="AB130" i="12" s="1"/>
  <c r="C130" i="12"/>
  <c r="D130" i="12"/>
  <c r="L66" i="12" s="1"/>
  <c r="K65" i="12"/>
  <c r="W129" i="12"/>
  <c r="P64" i="12"/>
  <c r="G128" i="12"/>
  <c r="O64" i="12" s="1"/>
  <c r="AD129" i="12"/>
  <c r="AE129" i="12" s="1"/>
  <c r="H129" i="12" s="1"/>
  <c r="AC129" i="12"/>
  <c r="B131" i="12"/>
  <c r="R131" i="12" s="1"/>
  <c r="S131" i="12" s="1"/>
  <c r="U131" i="12" s="1"/>
  <c r="J66" i="12"/>
  <c r="Q46" i="6" l="1"/>
  <c r="W45" i="6"/>
  <c r="K45" i="6"/>
  <c r="S45" i="6" s="1"/>
  <c r="X45" i="6" s="1"/>
  <c r="E45" i="6" s="1"/>
  <c r="G129" i="12"/>
  <c r="O65" i="12" s="1"/>
  <c r="P65" i="12"/>
  <c r="X131" i="12"/>
  <c r="Y131" i="12" s="1"/>
  <c r="Z131" i="12" s="1"/>
  <c r="AA131" i="12" s="1"/>
  <c r="AB131" i="12" s="1"/>
  <c r="D131" i="12"/>
  <c r="L67" i="12" s="1"/>
  <c r="C131" i="12"/>
  <c r="K66" i="12"/>
  <c r="W130" i="12"/>
  <c r="AC130" i="12"/>
  <c r="AD130" i="12"/>
  <c r="AE130" i="12" s="1"/>
  <c r="H130" i="12" s="1"/>
  <c r="B132" i="12"/>
  <c r="J67" i="12"/>
  <c r="Q47" i="6" l="1"/>
  <c r="W46" i="6"/>
  <c r="K46" i="6"/>
  <c r="S46" i="6" s="1"/>
  <c r="X46" i="6" s="1"/>
  <c r="E46" i="6" s="1"/>
  <c r="AC131" i="12"/>
  <c r="AD131" i="12"/>
  <c r="AE131" i="12" s="1"/>
  <c r="H131" i="12" s="1"/>
  <c r="P66" i="12"/>
  <c r="G130" i="12"/>
  <c r="O66" i="12" s="1"/>
  <c r="K67" i="12"/>
  <c r="W131" i="12"/>
  <c r="B133" i="12"/>
  <c r="J68" i="12"/>
  <c r="Q48" i="6" l="1"/>
  <c r="W47" i="6"/>
  <c r="K47" i="6"/>
  <c r="S47" i="6" s="1"/>
  <c r="X47" i="6" s="1"/>
  <c r="E47" i="6" s="1"/>
  <c r="P67" i="12"/>
  <c r="G131" i="12"/>
  <c r="O67" i="12" s="1"/>
  <c r="B134" i="12"/>
  <c r="J69" i="12"/>
  <c r="Q49" i="6" l="1"/>
  <c r="W48" i="6"/>
  <c r="K48" i="6"/>
  <c r="S48" i="6" s="1"/>
  <c r="X48" i="6" s="1"/>
  <c r="E48" i="6" s="1"/>
  <c r="B135" i="12"/>
  <c r="J70" i="12"/>
  <c r="K49" i="6" l="1"/>
  <c r="S49" i="6" s="1"/>
  <c r="X49" i="6" s="1"/>
  <c r="E49" i="6" s="1"/>
  <c r="Q50" i="6"/>
  <c r="W49" i="6"/>
  <c r="B136" i="12"/>
  <c r="J71" i="12"/>
  <c r="K50" i="6" l="1"/>
  <c r="S50" i="6" s="1"/>
  <c r="X50" i="6" s="1"/>
  <c r="E50" i="6" s="1"/>
  <c r="W50" i="6"/>
  <c r="Q51" i="6"/>
  <c r="B137" i="12"/>
  <c r="J72" i="12"/>
  <c r="Q52" i="6" l="1"/>
  <c r="Y3" i="6"/>
  <c r="L3" i="6"/>
  <c r="T3" i="6" s="1"/>
  <c r="Z3" i="6" s="1"/>
  <c r="F3" i="6" s="1"/>
  <c r="B138" i="12"/>
  <c r="J73" i="12"/>
  <c r="Q53" i="6" l="1"/>
  <c r="Y4" i="6"/>
  <c r="L4" i="6"/>
  <c r="T4" i="6" s="1"/>
  <c r="Z4" i="6" s="1"/>
  <c r="F4" i="6" s="1"/>
  <c r="B139" i="12"/>
  <c r="J74" i="12"/>
  <c r="Q54" i="6" l="1"/>
  <c r="Y5" i="6"/>
  <c r="L5" i="6"/>
  <c r="T5" i="6" s="1"/>
  <c r="Z5" i="6" s="1"/>
  <c r="F5" i="6" s="1"/>
  <c r="B140" i="12"/>
  <c r="J75" i="12"/>
  <c r="Q55" i="6" l="1"/>
  <c r="Y6" i="6"/>
  <c r="L6" i="6"/>
  <c r="T6" i="6" s="1"/>
  <c r="Z6" i="6" s="1"/>
  <c r="F6" i="6" s="1"/>
  <c r="B141" i="12"/>
  <c r="J76" i="12"/>
  <c r="Y7" i="6" l="1"/>
  <c r="L7" i="6"/>
  <c r="T7" i="6" s="1"/>
  <c r="Z7" i="6" s="1"/>
  <c r="F7" i="6" s="1"/>
  <c r="Q56" i="6"/>
  <c r="B142" i="12"/>
  <c r="J77" i="12"/>
  <c r="Q57" i="6" l="1"/>
  <c r="Y8" i="6"/>
  <c r="L8" i="6"/>
  <c r="T8" i="6" s="1"/>
  <c r="Z8" i="6" s="1"/>
  <c r="F8" i="6" s="1"/>
  <c r="B143" i="12"/>
  <c r="J78" i="12"/>
  <c r="Q58" i="6" l="1"/>
  <c r="Y9" i="6"/>
  <c r="L9" i="6"/>
  <c r="T9" i="6" s="1"/>
  <c r="Z9" i="6" s="1"/>
  <c r="F9" i="6" s="1"/>
  <c r="B144" i="12"/>
  <c r="J79" i="12"/>
  <c r="Q59" i="6" l="1"/>
  <c r="Y10" i="6"/>
  <c r="L10" i="6"/>
  <c r="T10" i="6" s="1"/>
  <c r="Z10" i="6" s="1"/>
  <c r="F10" i="6" s="1"/>
  <c r="B145" i="12"/>
  <c r="J80" i="12"/>
  <c r="Q60" i="6" l="1"/>
  <c r="Y11" i="6"/>
  <c r="L11" i="6"/>
  <c r="T11" i="6" s="1"/>
  <c r="Z11" i="6" s="1"/>
  <c r="F11" i="6" s="1"/>
  <c r="B146" i="12"/>
  <c r="J81" i="12"/>
  <c r="Q61" i="6" l="1"/>
  <c r="Y12" i="6"/>
  <c r="L12" i="6"/>
  <c r="T12" i="6" s="1"/>
  <c r="Z12" i="6" s="1"/>
  <c r="F12" i="6" s="1"/>
  <c r="B147" i="12"/>
  <c r="J82" i="12"/>
  <c r="Q62" i="6" l="1"/>
  <c r="Y13" i="6"/>
  <c r="L13" i="6"/>
  <c r="T13" i="6" s="1"/>
  <c r="Z13" i="6" s="1"/>
  <c r="F13" i="6" s="1"/>
  <c r="B148" i="12"/>
  <c r="J83" i="12"/>
  <c r="Q63" i="6" l="1"/>
  <c r="Y14" i="6"/>
  <c r="L14" i="6"/>
  <c r="T14" i="6" s="1"/>
  <c r="Z14" i="6" s="1"/>
  <c r="F14" i="6" s="1"/>
  <c r="B149" i="12"/>
  <c r="J84" i="12"/>
  <c r="Q64" i="6" l="1"/>
  <c r="Y15" i="6"/>
  <c r="L15" i="6"/>
  <c r="T15" i="6" s="1"/>
  <c r="Z15" i="6" s="1"/>
  <c r="F15" i="6" s="1"/>
  <c r="B150" i="12"/>
  <c r="J85" i="12"/>
  <c r="Q65" i="6" l="1"/>
  <c r="Y16" i="6"/>
  <c r="L16" i="6"/>
  <c r="T16" i="6" s="1"/>
  <c r="Z16" i="6" s="1"/>
  <c r="F16" i="6" s="1"/>
  <c r="B151" i="12"/>
  <c r="J86" i="12"/>
  <c r="Q66" i="6" l="1"/>
  <c r="Y17" i="6"/>
  <c r="L17" i="6"/>
  <c r="T17" i="6" s="1"/>
  <c r="Z17" i="6" s="1"/>
  <c r="F17" i="6" s="1"/>
  <c r="B152" i="12"/>
  <c r="J87" i="12"/>
  <c r="Q67" i="6" l="1"/>
  <c r="Y18" i="6"/>
  <c r="L18" i="6"/>
  <c r="T18" i="6" s="1"/>
  <c r="Z18" i="6" s="1"/>
  <c r="F18" i="6" s="1"/>
  <c r="B153" i="12"/>
  <c r="J89" i="12" s="1"/>
  <c r="J88" i="12"/>
  <c r="Y19" i="6" l="1"/>
  <c r="L19" i="6"/>
  <c r="T19" i="6" s="1"/>
  <c r="Z19" i="6" s="1"/>
  <c r="F19" i="6" s="1"/>
  <c r="Q68" i="6"/>
  <c r="Y20" i="6" l="1"/>
  <c r="Q69" i="6"/>
  <c r="L20" i="6"/>
  <c r="T20" i="6" s="1"/>
  <c r="Z20" i="6" s="1"/>
  <c r="F20" i="6" s="1"/>
  <c r="Q70" i="6" l="1"/>
  <c r="Y21" i="6"/>
  <c r="L21" i="6"/>
  <c r="T21" i="6" s="1"/>
  <c r="Z21" i="6" s="1"/>
  <c r="F21" i="6" s="1"/>
  <c r="Q71" i="6" l="1"/>
  <c r="Y22" i="6"/>
  <c r="L22" i="6"/>
  <c r="T22" i="6" s="1"/>
  <c r="Z22" i="6" s="1"/>
  <c r="F22" i="6" s="1"/>
  <c r="Q72" i="6" l="1"/>
  <c r="Y23" i="6"/>
  <c r="L23" i="6"/>
  <c r="T23" i="6" s="1"/>
  <c r="Z23" i="6" s="1"/>
  <c r="F23" i="6" s="1"/>
  <c r="Q73" i="6" l="1"/>
  <c r="Y24" i="6"/>
  <c r="L24" i="6"/>
  <c r="T24" i="6" s="1"/>
  <c r="Z24" i="6" s="1"/>
  <c r="F24" i="6" s="1"/>
  <c r="Q74" i="6" l="1"/>
  <c r="Y25" i="6"/>
  <c r="L25" i="6"/>
  <c r="T25" i="6" s="1"/>
  <c r="Z25" i="6" s="1"/>
  <c r="F25" i="6" s="1"/>
  <c r="Y26" i="6" l="1"/>
  <c r="Q75" i="6"/>
  <c r="L26" i="6"/>
  <c r="T26" i="6" s="1"/>
  <c r="Z26" i="6" s="1"/>
  <c r="F26" i="6" s="1"/>
  <c r="Q76" i="6" l="1"/>
  <c r="Y27" i="6"/>
  <c r="L27" i="6"/>
  <c r="T27" i="6" s="1"/>
  <c r="Z27" i="6" s="1"/>
  <c r="F27" i="6" s="1"/>
  <c r="Q77" i="6" l="1"/>
  <c r="Y28" i="6"/>
  <c r="L28" i="6"/>
  <c r="T28" i="6" s="1"/>
  <c r="Z28" i="6" s="1"/>
  <c r="F28" i="6" s="1"/>
  <c r="Q78" i="6" l="1"/>
  <c r="Y29" i="6"/>
  <c r="L29" i="6"/>
  <c r="T29" i="6" s="1"/>
  <c r="Z29" i="6" s="1"/>
  <c r="F29" i="6" s="1"/>
  <c r="Y30" i="6" l="1"/>
  <c r="Q79" i="6"/>
  <c r="L30" i="6"/>
  <c r="T30" i="6" s="1"/>
  <c r="Z30" i="6" s="1"/>
  <c r="F30" i="6" s="1"/>
  <c r="Y31" i="6" l="1"/>
  <c r="L31" i="6"/>
  <c r="T31" i="6" s="1"/>
  <c r="Z31" i="6" s="1"/>
  <c r="F31" i="6" s="1"/>
  <c r="Q80" i="6"/>
  <c r="Q81" i="6" l="1"/>
  <c r="Y32" i="6"/>
  <c r="L32" i="6"/>
  <c r="T32" i="6" s="1"/>
  <c r="Z32" i="6" s="1"/>
  <c r="F32" i="6" s="1"/>
  <c r="Q82" i="6" l="1"/>
  <c r="Y33" i="6"/>
  <c r="L33" i="6"/>
  <c r="T33" i="6" s="1"/>
  <c r="Z33" i="6" s="1"/>
  <c r="F33" i="6" s="1"/>
  <c r="Q83" i="6" l="1"/>
  <c r="Y34" i="6"/>
  <c r="L34" i="6"/>
  <c r="T34" i="6" s="1"/>
  <c r="Z34" i="6" s="1"/>
  <c r="F34" i="6" s="1"/>
  <c r="Q84" i="6" l="1"/>
  <c r="Y35" i="6"/>
  <c r="L35" i="6"/>
  <c r="T35" i="6" s="1"/>
  <c r="Z35" i="6" s="1"/>
  <c r="F35" i="6" s="1"/>
  <c r="Y36" i="6" l="1"/>
  <c r="Q85" i="6"/>
  <c r="L36" i="6"/>
  <c r="T36" i="6" s="1"/>
  <c r="Z36" i="6" s="1"/>
  <c r="F36" i="6" s="1"/>
  <c r="Q86" i="6" l="1"/>
  <c r="Y37" i="6"/>
  <c r="L37" i="6"/>
  <c r="T37" i="6" s="1"/>
  <c r="Z37" i="6" s="1"/>
  <c r="F37" i="6" s="1"/>
  <c r="Q87" i="6" l="1"/>
  <c r="Y38" i="6"/>
  <c r="L38" i="6"/>
  <c r="T38" i="6" s="1"/>
  <c r="Z38" i="6" s="1"/>
  <c r="F38" i="6" s="1"/>
  <c r="Q88" i="6" l="1"/>
  <c r="Y39" i="6"/>
  <c r="L39" i="6"/>
  <c r="T39" i="6" s="1"/>
  <c r="Z39" i="6" s="1"/>
  <c r="F39" i="6" s="1"/>
  <c r="Y40" i="6" l="1"/>
  <c r="Q89" i="6"/>
  <c r="L40" i="6"/>
  <c r="T40" i="6" s="1"/>
  <c r="Z40" i="6" s="1"/>
  <c r="F40" i="6" s="1"/>
  <c r="Q90" i="6" l="1"/>
  <c r="Y41" i="6"/>
  <c r="L41" i="6"/>
  <c r="T41" i="6" s="1"/>
  <c r="Z41" i="6" s="1"/>
  <c r="F41" i="6" s="1"/>
  <c r="Y42" i="6" l="1"/>
  <c r="Q91" i="6"/>
  <c r="L42" i="6"/>
  <c r="T42" i="6" s="1"/>
  <c r="Z42" i="6" s="1"/>
  <c r="F42" i="6" s="1"/>
  <c r="Q92" i="6" l="1"/>
  <c r="Y43" i="6"/>
  <c r="L43" i="6"/>
  <c r="T43" i="6" s="1"/>
  <c r="Z43" i="6" s="1"/>
  <c r="F43" i="6" s="1"/>
  <c r="Q93" i="6" l="1"/>
  <c r="Y44" i="6"/>
  <c r="L44" i="6"/>
  <c r="T44" i="6" s="1"/>
  <c r="Z44" i="6" s="1"/>
  <c r="F44" i="6" s="1"/>
  <c r="Q94" i="6" l="1"/>
  <c r="Y45" i="6"/>
  <c r="L45" i="6"/>
  <c r="T45" i="6" s="1"/>
  <c r="Z45" i="6" s="1"/>
  <c r="F45" i="6" s="1"/>
  <c r="Q95" i="6" l="1"/>
  <c r="Y46" i="6"/>
  <c r="L46" i="6"/>
  <c r="T46" i="6" s="1"/>
  <c r="Z46" i="6" s="1"/>
  <c r="F46" i="6" s="1"/>
  <c r="Y47" i="6" l="1"/>
  <c r="L47" i="6"/>
  <c r="T47" i="6" s="1"/>
  <c r="Z47" i="6" s="1"/>
  <c r="F47" i="6" s="1"/>
  <c r="Q96" i="6"/>
  <c r="Q97" i="6" l="1"/>
  <c r="Y48" i="6"/>
  <c r="L48" i="6"/>
  <c r="T48" i="6" s="1"/>
  <c r="Z48" i="6" s="1"/>
  <c r="F48" i="6" s="1"/>
  <c r="Q98" i="6" l="1"/>
  <c r="Y49" i="6"/>
  <c r="L49" i="6"/>
  <c r="T49" i="6" s="1"/>
  <c r="Z49" i="6" s="1"/>
  <c r="F49" i="6" s="1"/>
  <c r="Q99" i="6" l="1"/>
  <c r="Y50" i="6"/>
  <c r="L50" i="6"/>
  <c r="T50" i="6" s="1"/>
  <c r="Z50" i="6" s="1"/>
  <c r="F50" i="6" s="1"/>
  <c r="Q100" i="6" l="1"/>
  <c r="AA3" i="6"/>
  <c r="M3" i="6"/>
  <c r="U3" i="6" s="1"/>
  <c r="AB3" i="6" s="1"/>
  <c r="G3" i="6" s="1"/>
  <c r="Q101" i="6" l="1"/>
  <c r="AA4" i="6"/>
  <c r="M4" i="6"/>
  <c r="U4" i="6" s="1"/>
  <c r="AB4" i="6" s="1"/>
  <c r="G4" i="6" s="1"/>
  <c r="Q102" i="6" l="1"/>
  <c r="AA5" i="6"/>
  <c r="M5" i="6"/>
  <c r="U5" i="6" s="1"/>
  <c r="AB5" i="6" s="1"/>
  <c r="G5" i="6" s="1"/>
  <c r="Q103" i="6" l="1"/>
  <c r="AA6" i="6"/>
  <c r="M6" i="6"/>
  <c r="U6" i="6" s="1"/>
  <c r="AB6" i="6" s="1"/>
  <c r="G6" i="6" s="1"/>
  <c r="Q104" i="6" l="1"/>
  <c r="AA7" i="6"/>
  <c r="M7" i="6"/>
  <c r="U7" i="6" s="1"/>
  <c r="AB7" i="6" s="1"/>
  <c r="G7" i="6" s="1"/>
  <c r="Q105" i="6" l="1"/>
  <c r="AA8" i="6"/>
  <c r="M8" i="6"/>
  <c r="U8" i="6" s="1"/>
  <c r="AB8" i="6" s="1"/>
  <c r="G8" i="6" s="1"/>
  <c r="Q106" i="6" l="1"/>
  <c r="AA9" i="6"/>
  <c r="M9" i="6"/>
  <c r="U9" i="6" s="1"/>
  <c r="AB9" i="6" s="1"/>
  <c r="G9" i="6" s="1"/>
  <c r="Q107" i="6" l="1"/>
  <c r="AA10" i="6"/>
  <c r="M10" i="6"/>
  <c r="U10" i="6" s="1"/>
  <c r="AB10" i="6" s="1"/>
  <c r="G10" i="6" s="1"/>
  <c r="Q108" i="6" l="1"/>
  <c r="AA11" i="6"/>
  <c r="M11" i="6"/>
  <c r="U11" i="6" s="1"/>
  <c r="AB11" i="6" s="1"/>
  <c r="G11" i="6" s="1"/>
  <c r="Q109" i="6" l="1"/>
  <c r="AA12" i="6"/>
  <c r="M12" i="6"/>
  <c r="U12" i="6" s="1"/>
  <c r="AB12" i="6" s="1"/>
  <c r="G12" i="6" s="1"/>
  <c r="Q110" i="6" l="1"/>
  <c r="AA13" i="6"/>
  <c r="M13" i="6"/>
  <c r="U13" i="6" s="1"/>
  <c r="AB13" i="6" s="1"/>
  <c r="G13" i="6" s="1"/>
  <c r="AA14" i="6" l="1"/>
  <c r="M14" i="6"/>
  <c r="U14" i="6" s="1"/>
  <c r="AB14" i="6" s="1"/>
  <c r="G14" i="6" s="1"/>
  <c r="Q111" i="6"/>
  <c r="AA15" i="6" l="1"/>
  <c r="M15" i="6"/>
  <c r="U15" i="6" s="1"/>
  <c r="AB15" i="6" s="1"/>
  <c r="G15" i="6" s="1"/>
  <c r="Q112" i="6"/>
  <c r="Q113" i="6" l="1"/>
  <c r="AA16" i="6"/>
  <c r="M16" i="6"/>
  <c r="U16" i="6" s="1"/>
  <c r="AB16" i="6" s="1"/>
  <c r="G16" i="6" s="1"/>
  <c r="Q114" i="6" l="1"/>
  <c r="AA17" i="6"/>
  <c r="M17" i="6"/>
  <c r="U17" i="6" s="1"/>
  <c r="AB17" i="6" s="1"/>
  <c r="G17" i="6" s="1"/>
  <c r="Q115" i="6" l="1"/>
  <c r="AA18" i="6"/>
  <c r="M18" i="6"/>
  <c r="U18" i="6" s="1"/>
  <c r="AB18" i="6" s="1"/>
  <c r="G18" i="6" s="1"/>
  <c r="AA19" i="6" l="1"/>
  <c r="Q116" i="6"/>
  <c r="M19" i="6"/>
  <c r="U19" i="6" s="1"/>
  <c r="AB19" i="6" s="1"/>
  <c r="G19" i="6" s="1"/>
  <c r="AA20" i="6" l="1"/>
  <c r="Q117" i="6"/>
  <c r="M20" i="6"/>
  <c r="U20" i="6" s="1"/>
  <c r="AB20" i="6" s="1"/>
  <c r="G20" i="6" s="1"/>
  <c r="Q118" i="6" l="1"/>
  <c r="AA21" i="6"/>
  <c r="M21" i="6"/>
  <c r="U21" i="6" s="1"/>
  <c r="AB21" i="6" s="1"/>
  <c r="G21" i="6" s="1"/>
  <c r="Q119" i="6" l="1"/>
  <c r="AA22" i="6"/>
  <c r="M22" i="6"/>
  <c r="U22" i="6" s="1"/>
  <c r="AB22" i="6" s="1"/>
  <c r="G22" i="6" s="1"/>
  <c r="Q120" i="6" l="1"/>
  <c r="AA23" i="6"/>
  <c r="M23" i="6"/>
  <c r="U23" i="6" s="1"/>
  <c r="AB23" i="6" s="1"/>
  <c r="G23" i="6" s="1"/>
  <c r="AA24" i="6" l="1"/>
  <c r="Q121" i="6"/>
  <c r="M24" i="6"/>
  <c r="U24" i="6" s="1"/>
  <c r="AB24" i="6" s="1"/>
  <c r="G24" i="6" s="1"/>
  <c r="Q122" i="6" l="1"/>
  <c r="AA25" i="6"/>
  <c r="M25" i="6"/>
  <c r="U25" i="6" s="1"/>
  <c r="AB25" i="6" s="1"/>
  <c r="G25" i="6" s="1"/>
  <c r="AA26" i="6" l="1"/>
  <c r="M26" i="6"/>
  <c r="U26" i="6" s="1"/>
  <c r="AB26" i="6" s="1"/>
  <c r="G26" i="6" s="1"/>
  <c r="Q123" i="6"/>
  <c r="Q124" i="6" l="1"/>
  <c r="AA27" i="6"/>
  <c r="M27" i="6"/>
  <c r="U27" i="6" s="1"/>
  <c r="AB27" i="6" s="1"/>
  <c r="G27" i="6" s="1"/>
  <c r="Q125" i="6" l="1"/>
  <c r="AA28" i="6"/>
  <c r="M28" i="6"/>
  <c r="U28" i="6" s="1"/>
  <c r="AB28" i="6" s="1"/>
  <c r="G28" i="6" s="1"/>
  <c r="Q126" i="6" l="1"/>
  <c r="AA29" i="6"/>
  <c r="M29" i="6"/>
  <c r="U29" i="6" s="1"/>
  <c r="AB29" i="6" s="1"/>
  <c r="G29" i="6" s="1"/>
  <c r="AA30" i="6" l="1"/>
  <c r="Q127" i="6"/>
  <c r="M30" i="6"/>
  <c r="U30" i="6" s="1"/>
  <c r="AB30" i="6" s="1"/>
  <c r="G30" i="6" s="1"/>
  <c r="AA31" i="6" l="1"/>
  <c r="Q128" i="6"/>
  <c r="M31" i="6"/>
  <c r="U31" i="6" s="1"/>
  <c r="AB31" i="6" s="1"/>
  <c r="G31" i="6" s="1"/>
  <c r="Q129" i="6" l="1"/>
  <c r="AA32" i="6"/>
  <c r="M32" i="6"/>
  <c r="U32" i="6" s="1"/>
  <c r="AB32" i="6" s="1"/>
  <c r="G32" i="6" s="1"/>
  <c r="Q130" i="6" l="1"/>
  <c r="AA33" i="6"/>
  <c r="M33" i="6"/>
  <c r="U33" i="6" s="1"/>
  <c r="AB33" i="6" s="1"/>
  <c r="G33" i="6" s="1"/>
  <c r="Q131" i="6" l="1"/>
  <c r="AA34" i="6"/>
  <c r="M34" i="6"/>
  <c r="U34" i="6" s="1"/>
  <c r="AB34" i="6" s="1"/>
  <c r="G34" i="6" s="1"/>
  <c r="AA35" i="6" l="1"/>
  <c r="Q132" i="6"/>
  <c r="M35" i="6"/>
  <c r="U35" i="6" s="1"/>
  <c r="AB35" i="6" s="1"/>
  <c r="G35" i="6" s="1"/>
  <c r="AA36" i="6" l="1"/>
  <c r="Q133" i="6"/>
  <c r="M36" i="6"/>
  <c r="U36" i="6" s="1"/>
  <c r="AB36" i="6" s="1"/>
  <c r="G36" i="6" s="1"/>
  <c r="Q134" i="6" l="1"/>
  <c r="AA37" i="6"/>
  <c r="M37" i="6"/>
  <c r="U37" i="6" s="1"/>
  <c r="AB37" i="6" s="1"/>
  <c r="G37" i="6" s="1"/>
  <c r="Q135" i="6" l="1"/>
  <c r="AA38" i="6"/>
  <c r="M38" i="6"/>
  <c r="U38" i="6" s="1"/>
  <c r="AB38" i="6" s="1"/>
  <c r="G38" i="6" s="1"/>
  <c r="Q136" i="6" l="1"/>
  <c r="AA39" i="6"/>
  <c r="M39" i="6"/>
  <c r="U39" i="6" s="1"/>
  <c r="AB39" i="6" s="1"/>
  <c r="G39" i="6" s="1"/>
  <c r="AA40" i="6" l="1"/>
  <c r="Q137" i="6"/>
  <c r="M40" i="6"/>
  <c r="U40" i="6" s="1"/>
  <c r="AB40" i="6" s="1"/>
  <c r="G40" i="6" s="1"/>
  <c r="Q138" i="6" l="1"/>
  <c r="AA41" i="6"/>
  <c r="M41" i="6"/>
  <c r="U41" i="6" s="1"/>
  <c r="AB41" i="6" s="1"/>
  <c r="G41" i="6" s="1"/>
  <c r="AA42" i="6" l="1"/>
  <c r="M42" i="6"/>
  <c r="U42" i="6" s="1"/>
  <c r="AB42" i="6" s="1"/>
  <c r="G42" i="6" s="1"/>
  <c r="Q139" i="6"/>
  <c r="Q140" i="6" l="1"/>
  <c r="AA43" i="6"/>
  <c r="M43" i="6"/>
  <c r="U43" i="6" s="1"/>
  <c r="AB43" i="6" s="1"/>
  <c r="G43" i="6" s="1"/>
  <c r="Q141" i="6" l="1"/>
  <c r="AA44" i="6"/>
  <c r="M44" i="6"/>
  <c r="U44" i="6" s="1"/>
  <c r="AB44" i="6" s="1"/>
  <c r="G44" i="6" s="1"/>
  <c r="Q142" i="6" l="1"/>
  <c r="AA45" i="6"/>
  <c r="M45" i="6"/>
  <c r="U45" i="6" s="1"/>
  <c r="AB45" i="6" s="1"/>
  <c r="G45" i="6" s="1"/>
  <c r="AA46" i="6" l="1"/>
  <c r="M46" i="6"/>
  <c r="U46" i="6" s="1"/>
  <c r="AB46" i="6" s="1"/>
  <c r="G46" i="6" s="1"/>
  <c r="Q143" i="6"/>
  <c r="AA47" i="6" l="1"/>
  <c r="Q144" i="6"/>
  <c r="M47" i="6"/>
  <c r="U47" i="6" s="1"/>
  <c r="AB47" i="6" s="1"/>
  <c r="G47" i="6" s="1"/>
  <c r="Q145" i="6" l="1"/>
  <c r="AA48" i="6"/>
  <c r="M48" i="6"/>
  <c r="U48" i="6" s="1"/>
  <c r="AB48" i="6" s="1"/>
  <c r="G48" i="6" s="1"/>
  <c r="Q146" i="6" l="1"/>
  <c r="AA49" i="6"/>
  <c r="M49" i="6"/>
  <c r="U49" i="6" s="1"/>
  <c r="AB49" i="6" s="1"/>
  <c r="G49" i="6" s="1"/>
  <c r="Q147" i="6" l="1"/>
  <c r="Q148" i="6" s="1"/>
  <c r="Q149" i="6" s="1"/>
  <c r="Q150" i="6" s="1"/>
  <c r="AA50" i="6"/>
  <c r="M50" i="6"/>
  <c r="U50" i="6" s="1"/>
  <c r="AB50" i="6" s="1"/>
  <c r="G50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Guidolin Sergio (LUT)</author>
    <author>snho</author>
  </authors>
  <commentList>
    <comment ref="B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Dati ingranaggio da realizzare
</t>
        </r>
      </text>
    </comment>
    <comment ref="C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Suggerimento dati ingranaggio da realizzare riferiti a metà altezza dente</t>
        </r>
      </text>
    </comment>
    <comment ref="D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Dati ingranaggio da realizzare riferiti a scelta definitiva</t>
        </r>
      </text>
    </comment>
    <comment ref="E2" authorId="0" shapeId="0" xr:uid="{00000000-0006-0000-0000-000004000000}">
      <text>
        <r>
          <rPr>
            <sz val="8"/>
            <color indexed="81"/>
            <rFont val="Tahoma"/>
            <family val="2"/>
          </rPr>
          <t xml:space="preserve">
CARATTERISTICHE DELLA DENTATURA VIRTUALE AVENTE ELICA UGUALE AL PELATORE, NECESSARIA AD OTTENERE L'INCROCIO ASSI DESIDERATO.</t>
        </r>
      </text>
    </comment>
    <comment ref="G9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SCEGLIERE SENSO ELICA DAL MENU' A TENDINA</t>
        </r>
      </text>
    </comment>
    <comment ref="G12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INSERIRE ANGOLO SEMITOPPING IN FORMATO DECIMALE
</t>
        </r>
      </text>
    </comment>
    <comment ref="D15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Spessore circolare normale (derivato dal SPN dentatura originale) riferito al nuovo primitivo</t>
        </r>
      </text>
    </comment>
    <comment ref="E15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Ingranaggio virtuale con elica idonea alla progettazione del pelatore: lo spessore dente viene mantenuto uguale all' SPN relativo al nuovo riferimento del diametro primitivo.</t>
        </r>
      </text>
    </comment>
    <comment ref="D1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nuovo diametro primitivo di riferimento.
</t>
        </r>
      </text>
    </comment>
    <comment ref="E1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diametro primitivo dentatura virtuale (elica primitiva = a quella del pelatore, per avere l'incrocio assi desiderato)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Guidolin Sergio (LUT)</author>
    <author>snho</author>
  </authors>
  <commentList>
    <comment ref="B2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 xml:space="preserve">Dati ingranaggio da realizzare
</t>
        </r>
      </text>
    </comment>
    <comment ref="C2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Suggerimento dati ingranaggio da realizzare riferiti a metà altezza dente</t>
        </r>
      </text>
    </comment>
    <comment ref="D2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Dati ingranaggio da realizzare riferiti a scelta definitiva</t>
        </r>
      </text>
    </comment>
    <comment ref="E2" authorId="0" shapeId="0" xr:uid="{00000000-0006-0000-0B00-000004000000}">
      <text>
        <r>
          <rPr>
            <sz val="8"/>
            <color indexed="81"/>
            <rFont val="Tahoma"/>
            <family val="2"/>
          </rPr>
          <t xml:space="preserve">
CARATTERISTICHE DELLA DENTATURA VIRTUALE AVENTE ELICA UGUALE AL PELATORE, NECESSARIA AD OTTENERE L'INCROCIO ASSI DESIDERATO.</t>
        </r>
      </text>
    </comment>
    <comment ref="B10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Inserire diametro testa del pelatore da dentare</t>
        </r>
      </text>
    </comment>
    <comment ref="B11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Inserire il diametro fondo del pealtore
da dentare</t>
        </r>
      </text>
    </comment>
    <comment ref="G12" authorId="1" shapeId="0" xr:uid="{00000000-0006-0000-0B00-000007000000}">
      <text>
        <r>
          <rPr>
            <b/>
            <sz val="9"/>
            <color indexed="81"/>
            <rFont val="Tahoma"/>
            <family val="2"/>
          </rPr>
          <t xml:space="preserve">INSERIRE ANGOLO SEMITOPPING IN FORMATO DECIMALE
</t>
        </r>
      </text>
    </comment>
    <comment ref="B15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 xml:space="preserve">Inserire lo spessore dente del pelatore Spn0 + 0.6 mm
</t>
        </r>
      </text>
    </comment>
    <comment ref="D15" authorId="0" shapeId="0" xr:uid="{00000000-0006-0000-0B00-000009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Spessore circolare normale (derivato dal SPN dentatura originale) riferito al nuovo primitivo</t>
        </r>
      </text>
    </comment>
    <comment ref="E15" authorId="0" shapeId="0" xr:uid="{00000000-0006-0000-0B00-00000A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Ingranaggio virtuale con elica idonea alla progettazione del pelatore: lo spessore dente viene mantenuto uguale all' SPN relativo al nuovo riferimento del diametro primitivo.</t>
        </r>
      </text>
    </comment>
    <comment ref="D17" authorId="0" shapeId="0" xr:uid="{00000000-0006-0000-0B00-00000B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nuovo diametro primitivo di riferimento.
</t>
        </r>
      </text>
    </comment>
    <comment ref="E17" authorId="0" shapeId="0" xr:uid="{00000000-0006-0000-0B00-00000C000000}">
      <text>
        <r>
          <rPr>
            <b/>
            <sz val="8"/>
            <color indexed="81"/>
            <rFont val="Tahoma"/>
            <family val="2"/>
          </rPr>
          <t>Guidolin Sergio (LUT):</t>
        </r>
        <r>
          <rPr>
            <sz val="8"/>
            <color indexed="81"/>
            <rFont val="Tahoma"/>
            <family val="2"/>
          </rPr>
          <t xml:space="preserve">
diametro primitivo dentatura virtuale (elica primitiva = a quella del pelatore, per avere l'incrocio assi desiderato)</t>
        </r>
      </text>
    </comment>
  </commentList>
</comments>
</file>

<file path=xl/sharedStrings.xml><?xml version="1.0" encoding="utf-8"?>
<sst xmlns="http://schemas.openxmlformats.org/spreadsheetml/2006/main" count="27906" uniqueCount="14101">
  <si>
    <t>Z</t>
  </si>
  <si>
    <t>INGRANAGGIO</t>
  </si>
  <si>
    <t>Mn</t>
  </si>
  <si>
    <t>Beta</t>
  </si>
  <si>
    <t>da2</t>
  </si>
  <si>
    <t>df2</t>
  </si>
  <si>
    <t>dNa2</t>
  </si>
  <si>
    <t>dNf2</t>
  </si>
  <si>
    <t>dB</t>
  </si>
  <si>
    <t>dp</t>
  </si>
  <si>
    <t>Mc</t>
  </si>
  <si>
    <t>A.P.c</t>
  </si>
  <si>
    <t>A.P.n</t>
  </si>
  <si>
    <t>Add.</t>
  </si>
  <si>
    <t>Ded.</t>
  </si>
  <si>
    <t>h_k</t>
  </si>
  <si>
    <t>DATI</t>
  </si>
  <si>
    <t>INPUT Apn</t>
  </si>
  <si>
    <t>INPUT  ELICA</t>
  </si>
  <si>
    <t>CALCOLO delle SEZIONI</t>
  </si>
  <si>
    <t>h_dNf2</t>
  </si>
  <si>
    <t>B base</t>
  </si>
  <si>
    <t>AEP</t>
  </si>
  <si>
    <t>AEB</t>
  </si>
  <si>
    <t>APN</t>
  </si>
  <si>
    <t>rad</t>
  </si>
  <si>
    <t>Passo Elica</t>
  </si>
  <si>
    <t>*PI.GRECO()/180</t>
  </si>
  <si>
    <t>S/Epn</t>
  </si>
  <si>
    <t>S/Epc</t>
  </si>
  <si>
    <t>Inv (APF_X)</t>
  </si>
  <si>
    <t>APF_X(Rad)</t>
  </si>
  <si>
    <t>Raggio  X</t>
  </si>
  <si>
    <t>Sc_X</t>
  </si>
  <si>
    <t>inv_APc (dp)</t>
  </si>
  <si>
    <t>Inv (APF_DP)</t>
  </si>
  <si>
    <t>Raggio DP</t>
  </si>
  <si>
    <t>Raggio DB</t>
  </si>
  <si>
    <t>Sp_C (Dp)</t>
  </si>
  <si>
    <t>Sn_X</t>
  </si>
  <si>
    <t>MAX DIVISORE</t>
  </si>
  <si>
    <t>Beta 1</t>
  </si>
  <si>
    <t>DX</t>
  </si>
  <si>
    <t>Beta 0</t>
  </si>
  <si>
    <t>Beta incrocio</t>
  </si>
  <si>
    <t>NUOVO  CALCOLO</t>
  </si>
  <si>
    <t>CALCOLO SECONDO DATI PROGETTO</t>
  </si>
  <si>
    <t>LIEBHERR</t>
  </si>
  <si>
    <t>D_prim.</t>
  </si>
  <si>
    <t>Z1</t>
  </si>
  <si>
    <t>alpha_n</t>
  </si>
  <si>
    <t>alpha_c</t>
  </si>
  <si>
    <t>inv_alpha_c</t>
  </si>
  <si>
    <t>cos_alpha_n</t>
  </si>
  <si>
    <t>cos_alpha_c</t>
  </si>
  <si>
    <t>tan_alpha_n</t>
  </si>
  <si>
    <t>cos_Beta</t>
  </si>
  <si>
    <t>passo base</t>
  </si>
  <si>
    <t>Wildhaber</t>
  </si>
  <si>
    <t>s_base</t>
  </si>
  <si>
    <t>cos phi_1 z_pari</t>
  </si>
  <si>
    <t>n_z</t>
  </si>
  <si>
    <t>D_base</t>
  </si>
  <si>
    <t>cos phi_1 z_dispari</t>
  </si>
  <si>
    <t>Beta_base</t>
  </si>
  <si>
    <t xml:space="preserve">        phi_1 z_pari</t>
  </si>
  <si>
    <t>phi_1</t>
  </si>
  <si>
    <t xml:space="preserve">        phi_1 z_dispari</t>
  </si>
  <si>
    <t>cos Beta_base</t>
  </si>
  <si>
    <t>inv phi_1 z_pari</t>
  </si>
  <si>
    <t>inv phi_1 z_dispari</t>
  </si>
  <si>
    <t>Quota rulli</t>
  </si>
  <si>
    <t>diam rulli</t>
  </si>
  <si>
    <t>sc   esterni</t>
  </si>
  <si>
    <t>sn   esterni</t>
  </si>
  <si>
    <t>sc   interni</t>
  </si>
  <si>
    <t>ec   interni</t>
  </si>
  <si>
    <t>Per dentature interne --&gt; Z con segno meno ,  tutti gli altri dati segno positivo.</t>
  </si>
  <si>
    <t>SX</t>
  </si>
  <si>
    <t xml:space="preserve">    TABELLA indicativa  SCELTA Velocità di Taglio</t>
  </si>
  <si>
    <t>Numero di Passate</t>
  </si>
  <si>
    <t>per passata in mm</t>
  </si>
  <si>
    <t>Rm  fino a 700 N/mm2</t>
  </si>
  <si>
    <t xml:space="preserve">Vc  </t>
  </si>
  <si>
    <t>m/min</t>
  </si>
  <si>
    <t>Schrupp</t>
  </si>
  <si>
    <t>Fertig</t>
  </si>
  <si>
    <t>da 0.5 a 1</t>
  </si>
  <si>
    <t xml:space="preserve">Rm da 701 a 1000 N/mm2       </t>
  </si>
  <si>
    <t xml:space="preserve">Vc   </t>
  </si>
  <si>
    <t>da 1.01 a 3</t>
  </si>
  <si>
    <t>da 3.01 a 5</t>
  </si>
  <si>
    <t>Rm da 1001 a 1100 N/mm2</t>
  </si>
  <si>
    <t>Vc</t>
  </si>
  <si>
    <t>inserire valori scelti</t>
  </si>
  <si>
    <t>inserire</t>
  </si>
  <si>
    <t>Z0 tool</t>
  </si>
  <si>
    <t>N° giri pezzo</t>
  </si>
  <si>
    <t>giri/min</t>
  </si>
  <si>
    <t>Z2 gear</t>
  </si>
  <si>
    <t>N° giri utensile</t>
  </si>
  <si>
    <t xml:space="preserve">Ang. incrocio </t>
  </si>
  <si>
    <t>Ang. Elica z2</t>
  </si>
  <si>
    <t>Passate in sgrossatura</t>
  </si>
  <si>
    <t>Da0</t>
  </si>
  <si>
    <t>Passate in Finitura</t>
  </si>
  <si>
    <t>WD</t>
  </si>
  <si>
    <t>Dati ingranaggio :  per dentature interne inserire il numero denti con segno  " - "</t>
  </si>
  <si>
    <t>Sp_colt</t>
  </si>
  <si>
    <t>Df0_teor</t>
  </si>
  <si>
    <t>RIASSUNTO DATI PELATORE</t>
  </si>
  <si>
    <t>Dprim</t>
  </si>
  <si>
    <t>Dbase</t>
  </si>
  <si>
    <t>APF</t>
  </si>
  <si>
    <t>Sp_front coltello</t>
  </si>
  <si>
    <t>RP coltello</t>
  </si>
  <si>
    <t>RB coltello</t>
  </si>
  <si>
    <t>Resterno coltello</t>
  </si>
  <si>
    <t>INV al DP coltello</t>
  </si>
  <si>
    <t>INV al DE coltello</t>
  </si>
  <si>
    <t>APF  coltello</t>
  </si>
  <si>
    <t>S_front al RE coltello</t>
  </si>
  <si>
    <t>S norm. Al RE colt</t>
  </si>
  <si>
    <t>60            !</t>
  </si>
  <si>
    <t>70            ! Il seguente programma deve essere usato con i settaggi di stampa: COURIER NEW - REGULAR -10</t>
  </si>
  <si>
    <t>80            !</t>
  </si>
  <si>
    <t>660                     !</t>
  </si>
  <si>
    <t>690                     !</t>
  </si>
  <si>
    <t>700                     !</t>
  </si>
  <si>
    <t>935 !</t>
  </si>
  <si>
    <t>961   !</t>
  </si>
  <si>
    <t>980 !</t>
  </si>
  <si>
    <t>990         !</t>
  </si>
  <si>
    <t>1260 IF Progettista$=Trueprg$ THEN</t>
  </si>
  <si>
    <t>1401       !</t>
  </si>
  <si>
    <t>2820 !        ELSE</t>
  </si>
  <si>
    <t>11680  !Rasap$=""</t>
  </si>
  <si>
    <t>11690  !</t>
  </si>
  <si>
    <t>11810                 !</t>
  </si>
  <si>
    <t>12270                 !</t>
  </si>
  <si>
    <t>12420                      !</t>
  </si>
  <si>
    <t>15390                !Dk1_f$=VAL$(ABS(Dk1_f);2,3)</t>
  </si>
  <si>
    <t>15410               !</t>
  </si>
  <si>
    <t>15600                    !Rasa=0</t>
  </si>
  <si>
    <t>15610                    !Rasap$=""</t>
  </si>
  <si>
    <t>16740 ! @@@@@@@@@@@@@@@@@@@@@@@@@@@@@@@@@@@@@@@@@@@@@@@@@@@@@@@@@@@@@@@@@@@@@@@@@@@@@@@@@@@@@@@@@@@@@@@@@@@@@@@</t>
  </si>
  <si>
    <t>16750 ! @@@@@@@@@@@@@@@@@@@@@@@@@@@@@@@@@@@@@@@@@@@@@@@@@@@@@@@@@@@@@@@@@@@@@@@@@@@@@@@@@@@@@@@@@@@@@@@@@@@@@@@</t>
  </si>
  <si>
    <t>16760        !</t>
  </si>
  <si>
    <t>16770        !</t>
  </si>
  <si>
    <t>16990                !</t>
  </si>
  <si>
    <t>17210                          ! OUTPUT 705;"IN;IP 0,0,16158,11040;PS 0;VS 30 ;"</t>
  </si>
  <si>
    <t>17280                          ! PLOTTER IS "c:\Programmi\HTBwin83\NEWPROG\newdxf","HPGL;HPGL2;PORTRAIT",0,274.186,0,191.666</t>
  </si>
  <si>
    <t>18060                         !PLOTTER IS "c:\Programmi\HTBwin83\NEWPROG\newdxf","HPGL;HPGL2;PORTRAIT",0,274.186,0,191.666</t>
  </si>
  <si>
    <t>18170                !</t>
  </si>
  <si>
    <t>20220  !</t>
  </si>
  <si>
    <t>20280            !</t>
  </si>
  <si>
    <t>20380                                 !</t>
  </si>
  <si>
    <t>20470                                  !PRINT CHR$(128)</t>
  </si>
  <si>
    <t>20540                                  !</t>
  </si>
  <si>
    <t>20560 !                                BEEP</t>
  </si>
  <si>
    <t>20570                                  !</t>
  </si>
  <si>
    <t>20590                                  !</t>
  </si>
  <si>
    <t>20600                                                 !</t>
  </si>
  <si>
    <t>20650                         !AXES 0,0,0,ABS(M*Z)/2</t>
  </si>
  <si>
    <t>20670                         !Px_sc=(X_1-X_0)/100</t>
  </si>
  <si>
    <t>20680                         !Py_sc=(Y_1-Y_0)/100</t>
  </si>
  <si>
    <t>20830                         !</t>
  </si>
  <si>
    <t>20870                         !CALL Plot_label(X_0+40*Px_sc,Y_0+2*Py_sc,"DISEGNO N."&amp;Dis$)</t>
  </si>
  <si>
    <t>20940                         !CALL Plot_label(X_0+3*Px_sc,Y_1-2*Py_sc,"MOD.N."&amp;VAL$(Mn))</t>
  </si>
  <si>
    <t>20980                         !CALL Plot_label(X_0+3*Px_sc,Y_1-2*Py_sc,"MOD."&amp;VAL$(Mn))</t>
  </si>
  <si>
    <t>21010                         !</t>
  </si>
  <si>
    <t>21030                         !CALL Plot_label(X_0+28*Px_sc,Y_1-2*Py_sc,"Z "&amp;VAL$(ABS(Z1)))</t>
  </si>
  <si>
    <t>21080                         !CALL Plot_label(X_0+51*Px_sc,Y_1-2*Py_sc,"AP.n."&amp;Apn$)</t>
  </si>
  <si>
    <t>21120                         !CALL Plot_label(X_0+51*Px_sc,Y_1-2*Py_sc,"AP."&amp;Apn$)</t>
  </si>
  <si>
    <t>21170                         !CALL Plot_label(X_0+75*Px_sc,Y_1-2*Py_sc,"A.El."&amp;Ael$)</t>
  </si>
  <si>
    <t>21200                         !</t>
  </si>
  <si>
    <t>21210                         !LINPUT "Introdurre il Numero di Ingrandimento",N_ingr$</t>
  </si>
  <si>
    <t>21240                         !CALL Plot_label(X_0+75*Px_sc,Y_0+2*Py_sc,"INGR."&amp;N_ingr$)</t>
  </si>
  <si>
    <t>21260                         !</t>
  </si>
  <si>
    <t>21280                  !GOTO Loop1</t>
  </si>
  <si>
    <t>21290                        ! PAUSE</t>
  </si>
  <si>
    <t>21310                         !EXECUTE "C:\Programmi\HTBwin83\NEWPROG\dxfbat.bat"</t>
  </si>
  <si>
    <t>22480                 !</t>
  </si>
  <si>
    <t>27370                    !D_stc_fprt,D_stc_iprt</t>
  </si>
  <si>
    <t>29410 !</t>
  </si>
  <si>
    <t>29413                   !</t>
  </si>
  <si>
    <t>32180                     !</t>
  </si>
  <si>
    <t>32190                     !   VISUALIZZAZIONE DEL DIAMETRO DI GENERAZIONE DELLA MOLA PER CONTROLLO</t>
  </si>
  <si>
    <t>32200               !</t>
  </si>
  <si>
    <t>32220                   !</t>
  </si>
  <si>
    <t>32290                   !</t>
  </si>
  <si>
    <t>32300               !******************</t>
  </si>
  <si>
    <t>32310                  !</t>
  </si>
  <si>
    <t>32330                  !</t>
  </si>
  <si>
    <t>32350                  !</t>
  </si>
  <si>
    <t>32370                  !</t>
  </si>
  <si>
    <t>32400                     !</t>
  </si>
  <si>
    <t>32430                      !</t>
  </si>
  <si>
    <t>32470                     !</t>
  </si>
  <si>
    <t>32510                     !</t>
  </si>
  <si>
    <t>32560                                !</t>
  </si>
  <si>
    <t>32610 !</t>
  </si>
  <si>
    <t>32670                   !</t>
  </si>
  <si>
    <t>32710                   !</t>
  </si>
  <si>
    <t>32730                   !</t>
  </si>
  <si>
    <t>32760               !</t>
  </si>
  <si>
    <t>32770                   !</t>
  </si>
  <si>
    <t>32790                   !</t>
  </si>
  <si>
    <t>32810                   !</t>
  </si>
  <si>
    <t>32920                   !      CALCOLO DIAMETRO DI FINE EW SUL PIEDE E INTERASSE 2I</t>
  </si>
  <si>
    <t>32930                                                  !</t>
  </si>
  <si>
    <t>32940                                                  ! M_rot=(Da0+Df1)/(Z1+Z0)</t>
  </si>
  <si>
    <t>32950                                                  ! D_rot=M_rot*Z1</t>
  </si>
  <si>
    <t>32960                                                  ! Alfa_rot=(ACS(Db1/D_rot))*180/PI</t>
  </si>
  <si>
    <t>33060         !</t>
  </si>
  <si>
    <t>33070        !</t>
  </si>
  <si>
    <t>33090        !</t>
  </si>
  <si>
    <t>33110         !</t>
  </si>
  <si>
    <t>33120 !</t>
  </si>
  <si>
    <t>33130  !</t>
  </si>
  <si>
    <t>33340                   ! ROUTINE di VARIAZIONE dei DIAMETRI BASE</t>
  </si>
  <si>
    <t>33390 !12 sep 09 : Aggiunta correzione al diametro base per il rivestimento superficiale"</t>
  </si>
  <si>
    <t>33400 !</t>
  </si>
  <si>
    <t>33410 !</t>
  </si>
  <si>
    <t>33420  !Calccor_riv_int: !</t>
  </si>
  <si>
    <t>33430                   !</t>
  </si>
  <si>
    <t>33440                   !D_iewx=0</t>
  </si>
  <si>
    <t>33450                   !Dxw=0</t>
  </si>
  <si>
    <t>33460                   !</t>
  </si>
  <si>
    <t>33470   !                I2w=ABS(Df1)-Da0!+Df1</t>
  </si>
  <si>
    <t>33480    !               Mrw=I2w/(ABS(Z1)-Z0)</t>
  </si>
  <si>
    <t>33490    !               Dr=Mrw*ABS(Z1)</t>
  </si>
  <si>
    <t>33500    !               Alfa_tw=ACS(ABS(Db1)/Dr)</t>
  </si>
  <si>
    <t>33510    !               Db0w=Mt*ABS(Z0)*COS(Apt)</t>
  </si>
  <si>
    <t>33520                   !</t>
  </si>
  <si>
    <t>33530                   !Ruota_accopp=((SQR((Dxw^2-ABS(Db1)^2)))-(I2w*SIN(Alfa_tw)))^2</t>
  </si>
  <si>
    <t>33540                   !D_iewx=SQR((Ruota_accopp+Db0w^2))</t>
  </si>
  <si>
    <t>33550                   !</t>
  </si>
  <si>
    <t>33560           !</t>
  </si>
  <si>
    <t>33570                  !</t>
  </si>
  <si>
    <t>33580  !Calccor_riv_ext: !</t>
  </si>
  <si>
    <t>33590   !                D_iewx=0</t>
  </si>
  <si>
    <t>33600                   !Dxw=0</t>
  </si>
  <si>
    <t>33610                   !</t>
  </si>
  <si>
    <t>33620    !               I2w=Da0w+Df1</t>
  </si>
  <si>
    <t>33630     !              Mrw=I2w/(Z1+Z0)</t>
  </si>
  <si>
    <t>33640      !             Dr=Mrw*Z1</t>
  </si>
  <si>
    <t>33650       !            Alfa_tw=ACS(Db1/Dr)</t>
  </si>
  <si>
    <t>33660        !           Db0w=Mt*Z0*COS(Apt)</t>
  </si>
  <si>
    <t>33670         !          Ruota_accopp=((SQR((Dxw^2-Db1^2)))-(I2w*SIN(Alfa_tw)))^2</t>
  </si>
  <si>
    <t>33680          !         D_iewx=SQR((Ruota_accopp+Db0w^2))</t>
  </si>
  <si>
    <t>33690           !        RETURN</t>
  </si>
  <si>
    <t>33710                              !</t>
  </si>
  <si>
    <t>33720                              !</t>
  </si>
  <si>
    <t>33730                              !</t>
  </si>
  <si>
    <t>33740                              !</t>
  </si>
  <si>
    <t>33760                              !</t>
  </si>
  <si>
    <t>33770                              !</t>
  </si>
  <si>
    <t>38060               !</t>
  </si>
  <si>
    <t>38440                      !IF Db0h&lt;10.001 THEN Aelb0h=(ATN(TAN(Aelb0h*PI/180)*10/Db0h))/PI*180</t>
  </si>
  <si>
    <t>38450                      !IF Db0t&lt;10.001 THEN Aelb0t=(ATN(TAN(Aelb0t*PI/180)*10/Db0t))/PI*180</t>
  </si>
  <si>
    <t>38600                ! INPUT "INTRODUZIONE BASE DI COLLAUDO PER MAAG PH 60 * F.ALTO *",Db0h_m</t>
  </si>
  <si>
    <t>38610                 !INPUT "INTRODUZIONE BASE DI COLLAUDO PER MAAG PH 60 * F.BASSO *",Db0t_m</t>
  </si>
  <si>
    <t>38820                 !INPUT "INTRODUZIONE BASE DI COLLAUDO PER MAAG PH 60 ",Db0h_m</t>
  </si>
  <si>
    <t>40240                 !</t>
  </si>
  <si>
    <t>40250 !</t>
  </si>
  <si>
    <t>40260 !   ***********************   PREPARAZIONE ALLA COPIA DI STAMPA RIEPILOGO  **********************************</t>
  </si>
  <si>
    <t>40270 !   *********************************************************************************************************</t>
  </si>
  <si>
    <t>40280 !</t>
  </si>
  <si>
    <t>40330 !</t>
  </si>
  <si>
    <t>40360                      !</t>
  </si>
  <si>
    <t>40380  !</t>
  </si>
  <si>
    <t>40400  !</t>
  </si>
  <si>
    <t>40420     !CONFIGURE DUMP TO "PCL"  ! PRINTER IS PRT</t>
  </si>
  <si>
    <t>40450     !</t>
  </si>
  <si>
    <t>40500  !</t>
  </si>
  <si>
    <t>40520  !</t>
  </si>
  <si>
    <t>40540 !</t>
  </si>
  <si>
    <t>40570  !Fmt_diam: IMAGE 6D.3D</t>
  </si>
  <si>
    <t>40590  !</t>
  </si>
  <si>
    <t>40600 !PRINT</t>
  </si>
  <si>
    <t>40610 PRINT "*  OPERATORE :",Progettista$;"                      ";"   Data:",DATE$(TIMEDATE);"  Ora";TIME$(TIMEDATE)</t>
  </si>
  <si>
    <t>40620 PRINT</t>
  </si>
  <si>
    <t>40660 PRINT "*************************************************************************************************************************"</t>
  </si>
  <si>
    <t>40740  !</t>
  </si>
  <si>
    <t>40750        !PRINT "****** DATI DENTATURA INTRODOTTI  ****************************************************************"</t>
  </si>
  <si>
    <t>40760 PRINT "*************************************************************************************************************************"</t>
  </si>
  <si>
    <t>40780         !</t>
  </si>
  <si>
    <t>40800         !PRINT</t>
  </si>
  <si>
    <t>40860         !</t>
  </si>
  <si>
    <t>40920         !PRINT TABXY(Hg,Lg+1),"Mod.Normale Mn=",Mn$</t>
  </si>
  <si>
    <t>40930         !PRINT TABXY(Hg,Lg+1),"Modulo Circ.Mt=",</t>
  </si>
  <si>
    <t>40940         !PRINT USING Format_m;Mt</t>
  </si>
  <si>
    <t>40980         !PRINT TABXY(Hg,Lg+1),"Ang.press.norm.=",</t>
  </si>
  <si>
    <t>40990         !PRINT USING "K";Apn$</t>
  </si>
  <si>
    <t>41000         !PRINT TABXY(Hg,Lg+1),"Ang.press.circ.=",</t>
  </si>
  <si>
    <t>41010         !PRINT USING "K";Apt$</t>
  </si>
  <si>
    <t>41020         !PRINT TABXY(Hg,Lg+1),"Ang.elica primitiva=",</t>
  </si>
  <si>
    <t>41030         !PRINT USING "K";Ael$</t>
  </si>
  <si>
    <t>41050         !PRINT TABXY(Hg,Lg+1),"Diametro Primitivo =";</t>
  </si>
  <si>
    <t>41060         !PRINT USING Fmt_diamp;ABS(D1)</t>
  </si>
  <si>
    <t>41070         !PRINT TABXY(Hg,Lg+1),"Diametro Base =";</t>
  </si>
  <si>
    <t>41080         !PRINT USING Fmt_diamp;ABS(Db1)</t>
  </si>
  <si>
    <t>41100         !PRINT TABXY(Hg,Lg+1),"Diametro di Testa =";</t>
  </si>
  <si>
    <t>41110         !PRINT USING Fmt_diamp;ABS(Da1)</t>
  </si>
  <si>
    <t>41120         !PRINT TABXY(Hg,Lg+1),"Diametro di Fondo =";</t>
  </si>
  <si>
    <t>41130         !PRINT USING Fmt_diamp;ABS(Df1)</t>
  </si>
  <si>
    <t>41160         !PRINT TABXY(Hg,Lg+1),"Diam.inizio evolvente =";!Dnf1,"Raggio del raccordo =";</t>
  </si>
  <si>
    <t>41170         !PRINT USING Fmt_diam;ABS(Dnf1)</t>
  </si>
  <si>
    <t>41180         !PRINT TABXY(Hg,Lg+1),"Raggio del raccordo =";</t>
  </si>
  <si>
    <t>41200         !PRINT USING "2D.2D";Rf1p</t>
  </si>
  <si>
    <t>41220         !</t>
  </si>
  <si>
    <t>41260         !</t>
  </si>
  <si>
    <t>41390         !DISP USING "K,K,K,6D.2D,K";"ATT.-Ang.press.mola =";Apwtm$;"--Dna1 generato =";ABS(Dna1_2);"--Trocoide eccessiva variare i dati</t>
  </si>
  <si>
    <t>41440         !PRINT TABXY(Hg,Lg+1),"Diametro attacco Smusso=";</t>
  </si>
  <si>
    <t>41450         !PRINT USING Fmt_diamp;ABS(Dk1)</t>
  </si>
  <si>
    <t>41460         !PRINT TABXY(Hg,Lg+1),"Ang.pr.norm.bis.=",</t>
  </si>
  <si>
    <t>41470         !PRINT USING "K";Apkn$</t>
  </si>
  <si>
    <t>41480         !PRINT TABXY(Hg,Lg+1),"Ang.pr.circ.bis.=",</t>
  </si>
  <si>
    <t>41490         !PRINT USING "K";Apkt$</t>
  </si>
  <si>
    <t>41510         ! STAMPA SPESSORI</t>
  </si>
  <si>
    <t>41610         !</t>
  </si>
  <si>
    <t>41650         !PRINT TABXY(Hg,Lg+1),"Quota su 2 rulli  MDK ===&gt;&gt;&gt; ";Dm;"=";</t>
  </si>
  <si>
    <t>41660         !PRINT USING "4D.3D";ABS(Mdk)</t>
  </si>
  <si>
    <t>41690         !</t>
  </si>
  <si>
    <t>41740         !</t>
  </si>
  <si>
    <t>41790         !PRINT</t>
  </si>
  <si>
    <t>41940         !</t>
  </si>
  <si>
    <t>42000         !Dk1_f1=VAL(Dk1_f$)</t>
  </si>
  <si>
    <t>42020         !PRINT USING "HH.HH";Dk1_f$</t>
  </si>
  <si>
    <t>42070         !</t>
  </si>
  <si>
    <t>42080         !</t>
  </si>
  <si>
    <t>42090 !  STAMPA DATI del COLTELLO</t>
  </si>
  <si>
    <t>42100         !</t>
  </si>
  <si>
    <t>42140         !</t>
  </si>
  <si>
    <t>42160         !PRINT TABXY(Lsd,Lg+1),"Numero di DENTI = ",</t>
  </si>
  <si>
    <t>42170         !PRINT USING "5D";Z0</t>
  </si>
  <si>
    <t>42180         !PRINT TABXY(Lsd,Lg+1);"ADD.di RIFERIMENTO hap0 =";</t>
  </si>
  <si>
    <t>42190         !PRINT USING "DD.DD,K";X_hap0;" Mn"</t>
  </si>
  <si>
    <t>42200         !PRINT TABXY(Lsd,3);"Valore 2X0mn =",</t>
  </si>
  <si>
    <t>42210         !PRINT USING "3D.DD";2*X0*Mn</t>
  </si>
  <si>
    <t>42240         !</t>
  </si>
  <si>
    <t>42250         !PRINT TABXY(Lsd,Lt+1);"DIAM.ESTERNO di RETTIFICA =";</t>
  </si>
  <si>
    <t>42260         !PRINT USING Fmt_diamp;Da0</t>
  </si>
  <si>
    <t>42280         !PRINT</t>
  </si>
  <si>
    <t>42300         !PRINT TABXY(Lsd,Lg+1);"DIAM.TORNERIA                     ===&gt;&gt;&gt; ","SPESSORE IN PUNTA al D.TORNERIA ="</t>
  </si>
  <si>
    <t>42310         !PRINT USING Fmt_diam;Da0t</t>
  </si>
  <si>
    <t>42320         !PRINT TABXY(Lsd,Lg+1);"SPESSORE IN PUNTA al D.TORNERIA =";</t>
  </si>
  <si>
    <t>42330         !PRINT USING Fmt_diam;San0t</t>
  </si>
  <si>
    <t>42350         !</t>
  </si>
  <si>
    <t>42400         !PRINT TABXY(Lsd,Lg+1);"Spess.su DA0--- San0 =";</t>
  </si>
  <si>
    <t>42410         !PRINT USING "MDD.DD";San0</t>
  </si>
  <si>
    <t>42490         !</t>
  </si>
  <si>
    <t>42560         !</t>
  </si>
  <si>
    <t>42620         !</t>
  </si>
  <si>
    <t>42720         !</t>
  </si>
  <si>
    <t>42800         !</t>
  </si>
  <si>
    <t>42930         !IF Ra0=Racc_a0 THEN</t>
  </si>
  <si>
    <t>42940         !PRINT TABXY(Lsd,Lg+1);"RACCORDO COMPLETO testa Dente                          ===&gt;&gt;&gt; ";!"RACCORDO COMPLETO =";</t>
  </si>
  <si>
    <t>42950         !          ELSE</t>
  </si>
  <si>
    <t>42960         !PRINT TABXY(Lsd,Lg+1);"RAGGIO di testa Dente                                  ===&gt;&gt;&gt; ";!"RAGGIO DI TESTA =";</t>
  </si>
  <si>
    <t>42970          !         END IF</t>
  </si>
  <si>
    <t>42980         !PRINT USING "DD.DD";Ra0</t>
  </si>
  <si>
    <t>42990         !</t>
  </si>
  <si>
    <t>43110         !IF Ra0=Racc_a0 THEN</t>
  </si>
  <si>
    <t>43120         !PRINT TABXY(Lsd,Lg+1);"RACCORDO COMPLETO testa Dente                          ===&gt;&gt;&gt;  ";!"RACCORDO COMPLETO =";</t>
  </si>
  <si>
    <t>43130         !          ELSE</t>
  </si>
  <si>
    <t>43140        ! PRINT TABXY(Lsd,Lg+1);"RAGGIO di testa Dente                                  ===&gt;&gt;&gt;  ";!"RAGGIO DI TESTA =";</t>
  </si>
  <si>
    <t>43150         !          END IF</t>
  </si>
  <si>
    <t>43160         !PRINT USING "DD.DD";Ra0</t>
  </si>
  <si>
    <t>43170         !</t>
  </si>
  <si>
    <t>43190         !X_hfp_pr=((Mt*Z1+2*X1*Mn)-Dnf1_pr)/2/Mn</t>
  </si>
  <si>
    <t>43260         !</t>
  </si>
  <si>
    <t>43270         !</t>
  </si>
  <si>
    <t>43280        !      STAMPA ANGOLI DI SPOGLIA</t>
  </si>
  <si>
    <t>43360         !PRINT TABXY(Lsd,Lg+1);"Sp.lat.F.A.="&amp;Zeta_h$</t>
  </si>
  <si>
    <t>43370         !PRINT TABXY(Lsd,Lg+1);"Sp.lat.F.B.="&amp;Zeta_t$</t>
  </si>
  <si>
    <t>43410         !</t>
  </si>
  <si>
    <t>43450         !B_reset$</t>
  </si>
  <si>
    <t>43530         !PRINT</t>
  </si>
  <si>
    <t>43540         !PRINT TABXY(Lsd,Lg+1);"DIAM.BASE F.A.=";</t>
  </si>
  <si>
    <t>43550         !PRINT USING "6D.DDD";Db0h</t>
  </si>
  <si>
    <t>43560         !PRINT TABXY(Lsd,Lg+1);"DIAM.BASE F.B.=";</t>
  </si>
  <si>
    <t>43570         !PRINT USING "6D.DDD";Db0t</t>
  </si>
  <si>
    <t>43640         !PRINT TABXY(Lsd,Lg+1);"DIAMETRO BASE =";</t>
  </si>
  <si>
    <t>43650         !PRINT USING "6D.DDD";Db0h</t>
  </si>
  <si>
    <t>43670         !</t>
  </si>
  <si>
    <t>43690               !</t>
  </si>
  <si>
    <t>43730                         !PRINT TABXY(1,Ys);"Passo elica =";</t>
  </si>
  <si>
    <t>43740                         !PRINT USING "9D.3D";Pz0</t>
  </si>
  <si>
    <t>43750                         !PRINT TABXY(27,Ys);"Passo elica - Passo elica F.A. - Passo elica F.B.";</t>
  </si>
  <si>
    <t>43760                         !PRINT USING "9D.3D";Pz0,Pz0_h,Pz0_t</t>
  </si>
  <si>
    <t>43770                         !PRINT TABXY(54,Ys);"Passo elica F.B.=";</t>
  </si>
  <si>
    <t>43780                         !PRINT USING "9D.3D";Pz0_t</t>
  </si>
  <si>
    <t>43800         !</t>
  </si>
  <si>
    <t>43840         !PRINT TABXY(1,Ys);"W0 =";</t>
  </si>
  <si>
    <t>43850         !PRINT USING "6D.DDDD";W0</t>
  </si>
  <si>
    <t>43860         !                     PRINT TABXY(15.5,Ys);</t>
  </si>
  <si>
    <t>43870         !                     PRINT USING "K,5D,K";" SU ";K;" Denti"</t>
  </si>
  <si>
    <t>43880         !                     PRINT TABXY(29,Ys);"Passo base =";</t>
  </si>
  <si>
    <t>43890         !                     PRINT USING "DDDDD.DDD";Pbt</t>
  </si>
  <si>
    <t>43910         !</t>
  </si>
  <si>
    <t>43920         !PRINT TABXY(Lsd,Lg+1);"Spoglia sul Diametro Esterno                            ===&gt;&gt;&gt; ",Teta$</t>
  </si>
  <si>
    <t>43950         !PRINT TABXY(Lsd,Lg+1);"Err.max.Df.=";</t>
  </si>
  <si>
    <t>43960         !PRINT USING " 5D.DD";ABS(Err_max)</t>
  </si>
  <si>
    <t>43970         !IF Dk1 THEN</t>
  </si>
  <si>
    <t>43980         !PRINT TABXY(Lsd,Lg+1);"Err.max.Dk.=";</t>
  </si>
  <si>
    <t>43990         !PRINT USING "DDD.DD";ABS(Err_max_dk)</t>
  </si>
  <si>
    <t>44000         !END IF</t>
  </si>
  <si>
    <t>44030         !</t>
  </si>
  <si>
    <t>44040         !PRINT</t>
  </si>
  <si>
    <t>44100         !PRINT</t>
  </si>
  <si>
    <t>44110         !</t>
  </si>
  <si>
    <t>44120         !IF Dk1 OR Ra0 OR Vuoi THEN</t>
  </si>
  <si>
    <t>44140                 !</t>
  </si>
  <si>
    <t>44150                   !PRINT TABXY(17,3);"FIANCO BASSO"</t>
  </si>
  <si>
    <t>44160                  ! PRINT TABXY(48,3);"FIANCO ALTO "</t>
  </si>
  <si>
    <t>44170                   !</t>
  </si>
  <si>
    <t>44180                           !PRINT CHR$(132)</t>
  </si>
  <si>
    <t>44190                           !</t>
  </si>
  <si>
    <t>44260                           !</t>
  </si>
  <si>
    <t>44270                           !PRINT</t>
  </si>
  <si>
    <t>44290                           !PRINT USING "K";Apwmnmt$,Apwmnmh$</t>
  </si>
  <si>
    <t>44300                           !</t>
  </si>
  <si>
    <t>44310                           !</t>
  </si>
  <si>
    <t>44320                           !</t>
  </si>
  <si>
    <t>44330                          !PRINT TABXY(46,5),"A.P.DENTE F.A.==&gt;&gt;",</t>
  </si>
  <si>
    <t>44340                          ! PRINT USING "K";Apwmnmh$</t>
  </si>
  <si>
    <t>44350                           !</t>
  </si>
  <si>
    <t>44370                           !</t>
  </si>
  <si>
    <t>44440                           !</t>
  </si>
  <si>
    <t>44460                           !PRINT USING "K";Apkwmnmt$,Apkwmnmh$</t>
  </si>
  <si>
    <t>44470                           !</t>
  </si>
  <si>
    <t>44480                           !</t>
  </si>
  <si>
    <t>44490                           !</t>
  </si>
  <si>
    <t>44500                           !PRINT TABXY(46,7),"A.P.BIS. ==&gt;&gt;",</t>
  </si>
  <si>
    <t>44510                           !PRINT USING "K";Apkwmnmh$</t>
  </si>
  <si>
    <t>44520                           !</t>
  </si>
  <si>
    <t>44570                           !</t>
  </si>
  <si>
    <t>44590                           !PRINT USING "K";Aelwm0$</t>
  </si>
  <si>
    <t>44600                           !</t>
  </si>
  <si>
    <t>44620                           !PRINT TABXY(46,9),"DIAM.ROTOL.=",</t>
  </si>
  <si>
    <t>44640                           !</t>
  </si>
  <si>
    <t>44690                                      !</t>
  </si>
  <si>
    <t>44740                                      !</t>
  </si>
  <si>
    <t>44760                                      !PRINT USING "K";Apwmnmh$</t>
  </si>
  <si>
    <t>44770                                      !PRINT TABXY(46,3),"A.P.BIS.=",</t>
  </si>
  <si>
    <t>44780                                      !PRINT USING "K";Apkwmnmh$</t>
  </si>
  <si>
    <t>44790                                      !</t>
  </si>
  <si>
    <t>44820                                      !PRINT USING "K";Apwmnmh$</t>
  </si>
  <si>
    <t>44840                                      !</t>
  </si>
  <si>
    <t>44860                                      !PRINT TABXY(30,5),"DIAM.ROTOL.=",</t>
  </si>
  <si>
    <t>44880                                      !</t>
  </si>
  <si>
    <t>44900 !</t>
  </si>
  <si>
    <t>44930 !</t>
  </si>
  <si>
    <t>44940 ! ROUTINE di STAMPA SPESSORE DENTE</t>
  </si>
  <si>
    <t>44950 !</t>
  </si>
  <si>
    <t>44970                     !</t>
  </si>
  <si>
    <t>45000                     !PRINT TABXY(1,Lg+1),"Amp.v.norm.=";</t>
  </si>
  <si>
    <t>45010                     !PRINT USING Fmt_sp;En1</t>
  </si>
  <si>
    <t>45020                     !PRINT TABXY(1,Lg+1),"Amp.v.circ.=";</t>
  </si>
  <si>
    <t>45030                     !PRINT USING Fmt_sp;Et1</t>
  </si>
  <si>
    <t>45070                     !PRINT TABXY(1,Lg+1),"Spessore dente =";</t>
  </si>
  <si>
    <t>45080                     !PRINT USING Fmt_sp;Sn1</t>
  </si>
  <si>
    <t>45120                     !PRINT TABXY(1,Lg+1),"Spess.norm.=";</t>
  </si>
  <si>
    <t>45130                     !PRINT USING Fmt_sp;Sn1</t>
  </si>
  <si>
    <t>45140                     !PRINT TABXY(1,Lg+1),"Spess.circ.=";</t>
  </si>
  <si>
    <t>45150                     !PRINT USING Fmt_sp;St1</t>
  </si>
  <si>
    <t>45190                     !PRINT TABXY(1,Lg+1),"Ampiezza vano =";</t>
  </si>
  <si>
    <t>45200                     !PRINT USING Fmt_sp;En1</t>
  </si>
  <si>
    <t>45230                     !</t>
  </si>
  <si>
    <t>45240                     !</t>
  </si>
  <si>
    <t>45260                     !</t>
  </si>
  <si>
    <t>45290                     !PRINT TABXY(1,Lg+1),"Amp.v.norm.FINITA  ===&gt;&gt;&gt; ";</t>
  </si>
  <si>
    <t>45300                     !PRINT USING Fmt_sp;En1</t>
  </si>
  <si>
    <t>45310                     !PRINT TABXY(1,Lg+1),"Amp.v.circ.FINITA  ===&gt;&gt;&gt; ";</t>
  </si>
  <si>
    <t>45320                     !PRINT USING Fmt_sp;Et1</t>
  </si>
  <si>
    <t>45360                     !PRINT TABXY(1,Lg+1),"Spessore dente Finito=";</t>
  </si>
  <si>
    <t>45370                     !PRINT USING Fmt_sp;Sn1</t>
  </si>
  <si>
    <t>45410                     !PRINT TABXY(1,Lg+1),"Spess.norm.Finito=";</t>
  </si>
  <si>
    <t>45420                     !PRINT USING Fmt_sp;Sn1</t>
  </si>
  <si>
    <t>45430                     !PRINT TABXY(1,Lg+1),"Spess.circ.Finito=";</t>
  </si>
  <si>
    <t>45440                     !PRINT USING Fmt_sp;St1</t>
  </si>
  <si>
    <t>45480                     !PRINT TABXY(1,Lg+1),"Ampiezza vano Finito=";</t>
  </si>
  <si>
    <t>45490                     !PRINT USING Fmt_sp;En1</t>
  </si>
  <si>
    <t>45520                     !</t>
  </si>
  <si>
    <t>45530                     !</t>
  </si>
  <si>
    <t>45560                 !</t>
  </si>
  <si>
    <t>45570                 !</t>
  </si>
  <si>
    <t>45600                 !ENTER 2;A$</t>
  </si>
  <si>
    <t>45640                 !</t>
  </si>
  <si>
    <t>45650                 !CONFIGURE DUMP TO "WIN-DUMP"</t>
  </si>
  <si>
    <t>45660                 !</t>
  </si>
  <si>
    <t>45661 !</t>
  </si>
  <si>
    <t>45672        !@@@@@@@@@@@@@@@@@@@@@@@@@@@@@@@@@@@@@@@@@@@@@@@@@@@@@@@@@@@@@@@@@@@@@@@@@@@@@@@@@@@@@@@@@@@@@@@@@@@@@@@@@@@@@@@@@@@@@</t>
  </si>
  <si>
    <t>45673        !                     ricostruzione e aggiornamento files  AUTOCAD       may2002</t>
  </si>
  <si>
    <t>45674        !@@@@@@@@@@@@@@@@@@@@@@@@@@@@@@@@@@@@@@@@@@@@@@@@@@@@@@@@@@@@@@@@@@@@@@@@@@@@@@@@@@@@@@@@@@@@@@@@@@@@@@@@@@@@@@@@@@@@@</t>
  </si>
  <si>
    <t>45676 !</t>
  </si>
  <si>
    <t>45677        !@@@@@@@@@@@@@@@@@@@@@@@@@@@@@@@@@@@@@@@@@@@@@@@@@@@@@@@@@@@@@@@@@@@@@@@@@@@@@@@@@@@@@@@@@@@@@@@@@@@@@@@@@@@@@@@@@@@@@</t>
  </si>
  <si>
    <t>45678 !</t>
  </si>
  <si>
    <t>45679                ! COM Progettista$,Clear$,Home$,Cliente$,Dis$,K1$,Dp$,Mn$,Mt$,Apn$,Apt$,Apkn$,Ael$,Sen_el$,Senso$,N_ingr$,N_sag$,Topping$,Lavor$,Work$,Tip_colt$,Work_b$,Work_c$,Fgtorn$,Tip_colt1$,Carkey$,Rf1p$,Rasap$,Dk1_f$,Apktprt$,Tetaprt$</t>
  </si>
  <si>
    <t>45680 !                COM /Dati_rasatura/Et1_f,En1_f,Sn1_f,Mdk_f,W1_f,Dm_f,D_stc_fprt,D_stc_iprt</t>
  </si>
  <si>
    <t>45681 !                COM REAL Sp,Mn,Mt,Ael,Apn,Apt,Db1,Da1,Df1,Dnf1,Dnf1_pr,Dk1,Apkn,Apkt,Sn1,St1,St1_f,En1,Et1,Skt1,Skn1,Psbt1,X1,W1,Dm,Mdk,Sykes,D_topp,X_hap,X_hfp,X1mn,Dk1_f,Rf1p,Prtmdk,Prtw,Prtsps,Dk1_f1</t>
  </si>
  <si>
    <t>45682 !                COM REAL Mwt,Da0,Dna0,Da0t,Pskbt1,Db0h,Db0t,Dkb0,D_stc_f,D_stc_i,Ra0,X_max,Swmt0,San0,Skwmt0,Dwtm,Apkwtm,Inv_apt,Gm,Zeta_h,Zeta_t,Zeta_kb_f,Dv0</t>
  </si>
  <si>
    <t>45683 !                COM INTEGER Z1,Z0,K1,Int,Elic,Std,Centro,Protuberanzap</t>
  </si>
  <si>
    <t>45686  !Titolo:       !</t>
  </si>
  <si>
    <t>45687    !            OFF KEY</t>
  </si>
  <si>
    <t>45688   !             OUTPUT 2;Clear$;</t>
  </si>
  <si>
    <t>45689                !</t>
  </si>
  <si>
    <t>45690     !                 PRINT TAB(Centro);</t>
  </si>
  <si>
    <t>45691      !                PRINT CHR$(129);"INGRANDIMENTO PROFILO PARTICOLARE"</t>
  </si>
  <si>
    <t>45692       !               PRINT CHR$(128);</t>
  </si>
  <si>
    <t>45693        !              PRINT TABXY(Centro,5);"k0        STAMPA SU VIDEO"</t>
  </si>
  <si>
    <t>45694         !             PRINT TABXY(Centro,8);"k4        STAMPA SU OLD PLOTTER"</t>
  </si>
  <si>
    <t>45695          !            PRINT TABXY(Centro,11);"k7        USCITA PROGRAMMA"</t>
  </si>
  <si>
    <t>45696 !</t>
  </si>
  <si>
    <t>45697 !                     DISP "Premere la SOFTKEY per la scelta della stampa -(Verificare accensione PLOTTER)";</t>
  </si>
  <si>
    <t>45698 !</t>
  </si>
  <si>
    <t>45699 !                     ON KEY 1 LABEL "STAMPA VIDEO" GOTO Video</t>
  </si>
  <si>
    <t>45700  !                    ON KEY 4 LABEL "STAMPA  DATI" GOTO Plotter</t>
  </si>
  <si>
    <t>45701   !                  ON KEY 8 LABEL "USCITA" GOTO Fine</t>
  </si>
  <si>
    <t>45702 !</t>
  </si>
  <si>
    <t>45703 ! Jump: GOTO Jump</t>
  </si>
  <si>
    <t>45704 !</t>
  </si>
  <si>
    <t>45705  !Plotter:          !</t>
  </si>
  <si>
    <t>45706  !                        Printdata$="YYY"</t>
  </si>
  <si>
    <t>45710  !                      INTEGER Plott</t>
  </si>
  <si>
    <t>45711                     !     Plott=1</t>
  </si>
  <si>
    <t>45712                     !     GINIT</t>
  </si>
  <si>
    <t>45713                     !     PLOTTER IS "c:\Programmi\HTBwin83\NEWPROG\dxfPART","HPGL;HPGL2;PORTRAIT",0,410,0,287</t>
  </si>
  <si>
    <t>45714                          ! OUTPUT 705;"IN;IP 0,0,16158,11040;PS 0;VS 30 ;"</t>
  </si>
  <si>
    <t>45715                     !     Gdu_mm=1!Gdu_mm=.02487315</t>
  </si>
  <si>
    <t>45716                     !     GOTO Ann_matr</t>
  </si>
  <si>
    <t>45721                          ! PLOTTER IS "c:\Programmi\HTBwin83\NEWPROG\newdxf","HPGL;HPGL2;PORTRAIT",0,274.186,0,191.666</t>
  </si>
  <si>
    <t>45740  !Prt_ingr:         !</t>
  </si>
  <si>
    <t>45741  !                        PRINT TABXY(Centro,5),"k0     INGRANDIMENTO SEZIONE NORMALE"</t>
  </si>
  <si>
    <t>45742 !                         PRINT TABXY(Centro,8),"k4     INGRANDIMENTO SEZIONE CIRCONFERENZIALE"</t>
  </si>
  <si>
    <t>45743 !</t>
  </si>
  <si>
    <t>45744  !                        DISP "Premere la SOFTKEY corrispondente alla Sezione prescelta"</t>
  </si>
  <si>
    <t>45745 ! Scelta_sez:       !</t>
  </si>
  <si>
    <t>45746   !                       ON KEY 5 LABEL "SEZ.NORMALE" GOTO Sez_norm</t>
  </si>
  <si>
    <t>45747    !                      ON KEY 8 LABEL "SEZ.CIRCONF." GOTO Sez_circ</t>
  </si>
  <si>
    <t>45748 !</t>
  </si>
  <si>
    <t>45749 ! Salto: GOTO Salto</t>
  </si>
  <si>
    <t>45750 !</t>
  </si>
  <si>
    <t>45751 ! Sez_norm:       !</t>
  </si>
  <si>
    <t>45752 !                      INTEGER Norm</t>
  </si>
  <si>
    <t>45753 !                      Norm=1</t>
  </si>
  <si>
    <t>45754 !                      Z=Z1/(COS(Ael)^3)</t>
  </si>
  <si>
    <t>45755 !                      M=Mn</t>
  </si>
  <si>
    <t>45756 !                      Ap=Apn</t>
  </si>
  <si>
    <t>45757 !                      Psb=Sn1/(M*Z)+TAN(Ap)-Ap</t>
  </si>
  <si>
    <t>45758 !                      Db=M*Z*COS(Ap)</t>
  </si>
  <si>
    <t>45759 !                      Da=M*Z+Da1-Mt*Z1</t>
  </si>
  <si>
    <t>45760 !                      Df=M*Z+Df1-Mt*Z1</t>
  </si>
  <si>
    <t>45761 !                      IF Dk1 THEN</t>
  </si>
  <si>
    <t>45762 !                      Dk=M*Z+Dk1-Mt*Z1</t>
  </si>
  <si>
    <t>45763 !                      Dbk=M*Z*COS(Apkn)</t>
  </si>
  <si>
    <t>45764 !                      Inv_apkkn=TAN(ACS(Dbk/Dk))-ACS(Dbk/Dk)</t>
  </si>
  <si>
    <t>45765 !                      Pskb=Skn1/Dk+Inv_apkkn</t>
  </si>
  <si>
    <t>45766 !                      END IF</t>
  </si>
  <si>
    <t>45767 !                      GOTO Graphics</t>
  </si>
  <si>
    <t>45768 !</t>
  </si>
  <si>
    <t>45784 !</t>
  </si>
  <si>
    <t>45791 !         IF Plott=1 THEN GOTO Chktutto</t>
  </si>
  <si>
    <t>45793                        ! INPUT "SCALA  ?",Scala</t>
  </si>
  <si>
    <t>45794       !   IF Scala=0 THEN Scala=1</t>
  </si>
  <si>
    <t>45796 !</t>
  </si>
  <si>
    <t>45797                         !IF Plott THEN</t>
  </si>
  <si>
    <t>45798                          !           GOTO Label_dati</t>
  </si>
  <si>
    <t>45799                         !PLOTTER IS "c:\Programmi\HTBwin83\NEWPROG\newdxf","HPGL;HPGL2;PORTRAIT",0,274.186,0,191.666</t>
  </si>
  <si>
    <t>45801                        ! PLOTTER IS 705,"HPGL"</t>
  </si>
  <si>
    <t>45802                        ! OUTPUT 705;"OP;"</t>
  </si>
  <si>
    <t>45803                        ! ENTER 705;P1x,P1y,P2x,P2y</t>
  </si>
  <si>
    <t>45804                        ! X_min=0</t>
  </si>
  <si>
    <t>45805                        ! Y_min=0</t>
  </si>
  <si>
    <t>45806                        ! INPUT "X Minimo?[RISP.(-);RIF.(-201)]",X_min</t>
  </si>
  <si>
    <t>45807                        ! INPUT "Y Minimo?[RISP.(-);RIF.(-137)]",Y_min</t>
  </si>
  <si>
    <t>45808                        ! IF X_min=0 THEN X_min=-(P2x/2*Gdu_mm)</t>
  </si>
  <si>
    <t>45809                        ! IF Y_min=0 THEN Y_min=-(P2y/2*Gdu_mm)</t>
  </si>
  <si>
    <t>45810 !</t>
  </si>
  <si>
    <t>45811 !         X_0=X_min/Scala</t>
  </si>
  <si>
    <t>45812 !                        X_1=P2x*Gdu_mm/Scala+X_0</t>
  </si>
  <si>
    <t>45813 !                        Y_0=ABS(M*Z)/2+Y_min/Scala</t>
  </si>
  <si>
    <t>45814    !                     Y_1=Y_0+P2y*Gdu_mm/Scala</t>
  </si>
  <si>
    <t>45815     !                    ELSE</t>
  </si>
  <si>
    <t>45818                         !INPUT "X Minimo ? [Risp.(-);Rif.(-80)]",X_min</t>
  </si>
  <si>
    <t>45819                         !INPUT "Y Minimo ? [Risp.(-);Rif.(-60)]",Y_min</t>
  </si>
  <si>
    <t>45820                         !IF X_min=0 THEN X_min=-60*RATIO</t>
  </si>
  <si>
    <t>45821                         !IF Y_min=0 THEN Y_min=-60</t>
  </si>
  <si>
    <t>45829                         !END IF</t>
  </si>
  <si>
    <t>45837                         !ON KEY 5 LABEL "DENTE CENTR." GOTO Z_centr</t>
  </si>
  <si>
    <t>45838                         !ON KEY 8 LABEL "VANO CENTR." GOTO V_centr</t>
  </si>
  <si>
    <t>45839 !</t>
  </si>
  <si>
    <t>45840 ! Giro: GOTO Giro</t>
  </si>
  <si>
    <t>45841 !</t>
  </si>
  <si>
    <t>45842 ! Z_centr:           !</t>
  </si>
  <si>
    <t>45843  !                         OFF KEY</t>
  </si>
  <si>
    <t>45844   !                        Angle=0</t>
  </si>
  <si>
    <t>45845   !                        GOTO N_z</t>
  </si>
  <si>
    <t>45846 !</t>
  </si>
  <si>
    <t>45850 !</t>
  </si>
  <si>
    <t>45851  !N_z:           !</t>
  </si>
  <si>
    <t>45853   !                    INPUT "Numero di denti visualizzato ?",Zv</t>
  </si>
  <si>
    <t>45856 !</t>
  </si>
  <si>
    <t>45881  !Inp_diam: Dp=0</t>
  </si>
  <si>
    <t>45882  !                       INPUT "Diametro da plottare ?",Dp</t>
  </si>
  <si>
    <t>45883  !                       IF Dp THEN</t>
  </si>
  <si>
    <t>45884  !                       LINE TYPE 5</t>
  </si>
  <si>
    <t>45885  !                       IF Int AND Norm THEN Dp=-Dp</t>
  </si>
  <si>
    <t>45886  !                       IF Norm THEN Dp=ABS(M*Z+Dp-Mt*Z1)</t>
  </si>
  <si>
    <t>45887  !                       GOSUB Plt_diam</t>
  </si>
  <si>
    <t>45888  !                       ELSE</t>
  </si>
  <si>
    <t>45889  !                       GOTO Rientro</t>
  </si>
  <si>
    <t>45890  !                       END IF</t>
  </si>
  <si>
    <t>45891  !                       GOTO Inp_diam</t>
  </si>
  <si>
    <t>45892  !Rientro: RETURN</t>
  </si>
  <si>
    <t>45893 !</t>
  </si>
  <si>
    <t>45911 !</t>
  </si>
  <si>
    <t>45916                               !</t>
  </si>
  <si>
    <t>45928 !</t>
  </si>
  <si>
    <t>45930                 !</t>
  </si>
  <si>
    <t>45991 !</t>
  </si>
  <si>
    <t>45993 !</t>
  </si>
  <si>
    <t>45996                                    !INTEGER S,Tt,Tr</t>
  </si>
  <si>
    <t>46001 !</t>
  </si>
  <si>
    <t>46003 !</t>
  </si>
  <si>
    <t>46014 !</t>
  </si>
  <si>
    <t>46035                       !</t>
  </si>
  <si>
    <t>46039 !</t>
  </si>
  <si>
    <t>46040  !Label_dati:       !</t>
  </si>
  <si>
    <t>46041  !</t>
  </si>
  <si>
    <t>46042   !         IF LEN(Printdata$) THEN</t>
  </si>
  <si>
    <t>46043   !                                   GOTO Printdd   !GOTO Neo_ingr</t>
  </si>
  <si>
    <t>46044    !        ELSE</t>
  </si>
  <si>
    <t>46045    !                                  GOTO Neo_ingr1 !GOTO Printdd</t>
  </si>
  <si>
    <t>46046     !       END IF</t>
  </si>
  <si>
    <t>46047            !</t>
  </si>
  <si>
    <t>46054      !            IF NOT Scala THEN</t>
  </si>
  <si>
    <t>46055       !                           INPUT "SCALA  ?",Scala</t>
  </si>
  <si>
    <t>46056        !          ELSE</t>
  </si>
  <si>
    <t>46057 !</t>
  </si>
  <si>
    <t>46058 !                                 BEEP</t>
  </si>
  <si>
    <t>46059  !                                PRINT</t>
  </si>
  <si>
    <t>46060   !                               PRINT</t>
  </si>
  <si>
    <t>46061    !                              PRINT</t>
  </si>
  <si>
    <t>46062     !                             PRINT</t>
  </si>
  <si>
    <t>46063      !                            PRINT</t>
  </si>
  <si>
    <t>46064       !                           PRINT</t>
  </si>
  <si>
    <t>46065        !                          PRINT CHR$(129);!"ESTERNI OD INTERNI"</t>
  </si>
  <si>
    <t>46066         !                        !PRINT CHR$(128)</t>
  </si>
  <si>
    <t>46067          !                        PRINT "RICORDATI!!  che nel CAD IL PROFILO VIENE SEMPRE RIPORTATO X 10 !!!!"</t>
  </si>
  <si>
    <t>46068          !                        PRINT</t>
  </si>
  <si>
    <t>46069           !                       PRINT</t>
  </si>
  <si>
    <t>46070             !                     PRINT "QUI DEVI INSERIRE SOLO IL VALORE DELLA SCALA DI STAMPA !!!"</t>
  </si>
  <si>
    <t>46071            !                      PRINT</t>
  </si>
  <si>
    <t>46072              !                    PRINT CHR$(128)</t>
  </si>
  <si>
    <t>46073 !</t>
  </si>
  <si>
    <t>46074  !                                INPUT "DIGITARE la SCALA da RIPORTARE nel FRAME di INGRANDIMENTO  ?",Scala</t>
  </si>
  <si>
    <t>46075 !                                BEEP</t>
  </si>
  <si>
    <t>46076 !</t>
  </si>
  <si>
    <t>46077 !                 END IF</t>
  </si>
  <si>
    <t>46078                                  !</t>
  </si>
  <si>
    <t>46079 !</t>
  </si>
  <si>
    <t>46080  !                LINPUT "Introdurre il Numero di Ingrandimento",N_ingr$</t>
  </si>
  <si>
    <t>46084                         !AXES 0,0,0,ABS(M*Z)/2</t>
  </si>
  <si>
    <t>46086                         !Px_sc=(X_1-X_0)/100</t>
  </si>
  <si>
    <t>46087                         !Py_sc=(Y_1-Y_0)/100</t>
  </si>
  <si>
    <t>46091                         !</t>
  </si>
  <si>
    <t>46092                    ! LABEL "SCALA x ",Scala</t>
  </si>
  <si>
    <t>46094                         !CALL Plot_move(0,Y_0+7*Py_sc)</t>
  </si>
  <si>
    <t>46095                     !MOVE 160+Sp,30+Sp</t>
  </si>
  <si>
    <t>46096                       !  IF Norm THEN</t>
  </si>
  <si>
    <t>46097                     !LABEL "SEZIONE  NORMALE"</t>
  </si>
  <si>
    <t>46098                      !   ELSE</t>
  </si>
  <si>
    <t>46099                     !LABEL "SEZIONE  CIRCONFERENZIALE"</t>
  </si>
  <si>
    <t>46100                     !    END IF</t>
  </si>
  <si>
    <t>46101                     ! MARZO 2011 : INTRODOTTA AUTOMATIZZAZIONE INGR. PROFILO</t>
  </si>
  <si>
    <t>46104                         !</t>
  </si>
  <si>
    <t>46105                     !MOVE 15+Sp,10+Sp</t>
  </si>
  <si>
    <t>46106                         !</t>
  </si>
  <si>
    <t>46107                     !LABEL "CLIENTE ",Cliente$</t>
  </si>
  <si>
    <t>46108                         !CALL Plot_label(X_0+40*Px_sc,Y_0+2*Py_sc,"DISEGNO N."&amp;Dis$)</t>
  </si>
  <si>
    <t>46109                     !MOVE 165+Sp,10+Sp</t>
  </si>
  <si>
    <t>46110                         !</t>
  </si>
  <si>
    <t>46111                     !LABEL "DISEGNO N.",Dis$</t>
  </si>
  <si>
    <t>46112 !</t>
  </si>
  <si>
    <t>46115                         !CALL Plot_label(X_0+3*Px_sc,Y_1-2*Py_sc,"MOD.N."&amp;VAL$(Mn))</t>
  </si>
  <si>
    <t>46119                         !CALL Plot_label(X_0+3*Px_sc,Y_1-2*Py_sc,"MOD."&amp;VAL$(Mn))</t>
  </si>
  <si>
    <t>46122                         !</t>
  </si>
  <si>
    <t>46124                         !CALL Plot_label(X_0+28*Px_sc,Y_1-2*Py_sc,"Z "&amp;VAL$(ABS(Z1)))</t>
  </si>
  <si>
    <t>46126 !</t>
  </si>
  <si>
    <t>46129                         !CALL Plot_label(X_0+51*Px_sc,Y_1-2*Py_sc,"AP.n."&amp;Apn$)</t>
  </si>
  <si>
    <t>46133                         !CALL Plot_label(X_0+51*Px_sc,Y_1-2*Py_sc,"AP."&amp;Apn$)</t>
  </si>
  <si>
    <t>46138                         !CALL Plot_label(X_0+75*Px_sc,Y_1-2*Py_sc,"A.El."&amp;Ael$)</t>
  </si>
  <si>
    <t>46141                         !</t>
  </si>
  <si>
    <t>46142                         !LINPUT "Introdurre il Numero di Ingrandimento",N_ingr$</t>
  </si>
  <si>
    <t>46143             ! CSIZE 5.5,.5</t>
  </si>
  <si>
    <t>46144                    ! MOVE 315+Sp,10+Sp</t>
  </si>
  <si>
    <t>46145                         !CALL Plot_label(X_0+75*Px_sc,Y_0+2*Py_sc,"INGR."&amp;N_ingr$)</t>
  </si>
  <si>
    <t>46146                     !LABEL USING "K,K";"INGR.";N_ingr$</t>
  </si>
  <si>
    <t>46147                         !</t>
  </si>
  <si>
    <t>46153                         !</t>
  </si>
  <si>
    <t>46161         !</t>
  </si>
  <si>
    <t>46162 IF Dk1 AND Int THEN GOTO Semit</t>
  </si>
  <si>
    <t>46163         !</t>
  </si>
  <si>
    <t>46167                         !* LABEL USING "K,MDDDDD.3D";</t>
  </si>
  <si>
    <t>46169         !PRINT "----------------------------------     SEMITOPPING     ----------------------------------------------------"</t>
  </si>
  <si>
    <t>46187                        !</t>
  </si>
  <si>
    <t>46194         !</t>
  </si>
  <si>
    <t>46201         !</t>
  </si>
  <si>
    <t>46203         !IF NOT Mdk OR W1 THEN</t>
  </si>
  <si>
    <t>46204        ! MOVE Linex+Sp,240+Sp</t>
  </si>
  <si>
    <t>46205                         !LABEL USING "K,5D.3D,K,3D.3D";"Valore  X2mn =&gt;";X1mnp</t>
  </si>
  <si>
    <t>46207        ! END IF</t>
  </si>
  <si>
    <t>46208 !</t>
  </si>
  <si>
    <t>46209                                    !</t>
  </si>
  <si>
    <t>46211     !</t>
  </si>
  <si>
    <t>46212                  !GOTO Loop1</t>
  </si>
  <si>
    <t>46213                        ! PAUSE</t>
  </si>
  <si>
    <t>46214  !Loop1:!</t>
  </si>
  <si>
    <t>46215                         !EXECUTE "C:\Programmi\HTBwin83\NEWPROG\dxfbat.bat"</t>
  </si>
  <si>
    <t>46216  !Neo_ingr1:!</t>
  </si>
  <si>
    <t>46217   !                      DISP "Premere CONTINUE per proseguire"</t>
  </si>
  <si>
    <t>46218    !                 ENTER 2;A$</t>
  </si>
  <si>
    <t>46219     !</t>
  </si>
  <si>
    <t>46221 !</t>
  </si>
  <si>
    <t>46251 !</t>
  </si>
  <si>
    <t>46259 !</t>
  </si>
  <si>
    <t>46286 !</t>
  </si>
  <si>
    <t>46321  !</t>
  </si>
  <si>
    <t>46329                       !INTEGER Neo</t>
  </si>
  <si>
    <t>46330                       !Neo=1</t>
  </si>
  <si>
    <t>46331                       !GOTO Titolo</t>
  </si>
  <si>
    <t>46332 !</t>
  </si>
  <si>
    <t>46334              !</t>
  </si>
  <si>
    <t>46335              !</t>
  </si>
  <si>
    <t>46338                 !ENTER 2;A$</t>
  </si>
  <si>
    <t>46341                 !EXECUTE CHR$(13)&amp;"C:\programmi\HTBwin83\NEWPROG\dxfbat.bat";SAVE ALPHA OFF</t>
  </si>
  <si>
    <t>46342                 !CLOSE "C:\programmi\HTBwin83\NEWPROG\dxfbat.bat"               !EXECUTE "C:\programmi\HTBwin83\NEWPROG\letsmake.dwg;script C:\programmi\HTBwin</t>
  </si>
  <si>
    <t>46343                !EXECUTE "C:\programmi\HTBwin83\NEWPROG\FILESFELLOWS\Ingr_Part.scr"</t>
  </si>
  <si>
    <t>46344                 !QUIT</t>
  </si>
  <si>
    <t>46345                !EXECUTE "C:\programmi\HTBwin83\NEWPROG\DxfPART.dxf"!;SAVE ALPHA OFF   !;script C:\programmi\HTBwin83\NEWPROG\FILESFELLOWS\Ingr_Part.scr"</t>
  </si>
  <si>
    <t>46346                !LOAD "C:\programmi\HTBwin83\NEWPROG\FILESFELLOWS\Ingr_Part.scr"</t>
  </si>
  <si>
    <t>46348                 !ENTER 2;A$</t>
  </si>
  <si>
    <t>46350 !</t>
  </si>
  <si>
    <t>46385                      !ON KEY 7 LABEL " EXECUTE" GOTO P_execute</t>
  </si>
  <si>
    <t>46386                      !</t>
  </si>
  <si>
    <t>46390  !</t>
  </si>
  <si>
    <t>46391 !</t>
  </si>
  <si>
    <t>46392 !</t>
  </si>
  <si>
    <t>46393  !P_execute:         !</t>
  </si>
  <si>
    <t>46394                                          !</t>
  </si>
  <si>
    <t>46395                     !EXECUTE "C:\Programmi\HTBwin83\NEWPROG\DXFBAT.BAT"</t>
  </si>
  <si>
    <t>46396                     !GOTO Jump</t>
  </si>
  <si>
    <t>46397                     !</t>
  </si>
  <si>
    <t>46403                         ! PLOTTER IS "c:\Programmi\HTBwin83\NEWPROG\DxfUTENS","HPGL;HPGL2;PORTRAIT",0,410,0,287</t>
  </si>
  <si>
    <t>46404                          !PLOTTER IS 705,"HPGL"</t>
  </si>
  <si>
    <t>46405                          !OUTPUT 705;"IN;IP 0,0,16158,11040;PS 0;VS 30;"</t>
  </si>
  <si>
    <t>47310                         !</t>
  </si>
  <si>
    <t>49260                         !Px_sc=(X_1-X_0)/100</t>
  </si>
  <si>
    <t>49270                        ! Py_sc=(Y_1-Y_0)/100</t>
  </si>
  <si>
    <t>49490                          !ON KEY 5 LABEL "STAMPA DATI" GOTO Stampa_dati</t>
  </si>
  <si>
    <t>49500                          !ON KEY 8 LABEL "MENU'" GOTO Neo</t>
  </si>
  <si>
    <t>49510  !Viaggio:                 GOTO Viaggio</t>
  </si>
  <si>
    <t>49540                         !LINPUT "Introdurre il Numero di Ingrandimento",N_ingr$</t>
  </si>
  <si>
    <t>49860 !                                BEEP</t>
  </si>
  <si>
    <t>49870                                  !</t>
  </si>
  <si>
    <t>49900 !************************************************************************************************</t>
  </si>
  <si>
    <t>49970                        ! LORG 1</t>
  </si>
  <si>
    <t>49980                         !CSIZE 3,.3</t>
  </si>
  <si>
    <t>49990                         !MOVE 215,Da0t/2  !MOVE J*Px_sc,Da/2</t>
  </si>
  <si>
    <t>50000                         !LABEL USING "K,6D.2D";"Da0 ",N_da0</t>
  </si>
  <si>
    <t>50010                         !</t>
  </si>
  <si>
    <t>50020                         !</t>
  </si>
  <si>
    <t>50030                         !LINPUT "Introdurre il Numero di Ingrandimento",N_ingr$</t>
  </si>
  <si>
    <t>50110 !***************************************************************</t>
  </si>
  <si>
    <t>50220 !</t>
  </si>
  <si>
    <t>50380                                                 !Plot_csize(3)</t>
  </si>
  <si>
    <t>50390                                                 !CALL Plot_lorg(2)</t>
  </si>
  <si>
    <t>50510                         !</t>
  </si>
  <si>
    <t>50530                         !</t>
  </si>
  <si>
    <t>51910                                             !CALL Plot_move(X_centro,Y_centro)</t>
  </si>
  <si>
    <t>51950                                             !POLYLINE Ra0,Tot_lati,Plot_lati</t>
  </si>
  <si>
    <t>51980                                             !CALL Plot_move(-X_centro,Y_centro)</t>
  </si>
  <si>
    <t>52020                                             !POLYLINE Ra0,Tot_lati,Plot_lati</t>
  </si>
  <si>
    <t>52050                                             !</t>
  </si>
  <si>
    <t>52060                                             !CALL Plot_move(0,0)</t>
  </si>
  <si>
    <t>54020                      !DUMP DEVICE IS CRT</t>
  </si>
  <si>
    <t>54290                          !IF NOT Scala THEN</t>
  </si>
  <si>
    <t>54300                                 ! INPUT "SCALA  ?",Scala</t>
  </si>
  <si>
    <t>54310                  !ELSE</t>
  </si>
  <si>
    <t>54320                                 ! BEEP</t>
  </si>
  <si>
    <t>54330                                  !1INPUT "DIGITARE la SCALA da RIPORTARE nel FRAME di INGRANDIMENTO  ?",Scala</t>
  </si>
  <si>
    <t>54340 !                                BEEP</t>
  </si>
  <si>
    <t>54350                                  !DISP "RICORDATI!!  che nel CAD IL PROFILO VIENE SEMPRE RIPORTATO X 10 !!!!"</t>
  </si>
  <si>
    <t>54360                  !END IF</t>
  </si>
  <si>
    <t>62100    ! 02 mar 2010 :  aggiunto avviso raggio r1 più grande di r2</t>
  </si>
  <si>
    <t>62110 IF Ra_1h&gt;=Ra_2h THEN</t>
  </si>
  <si>
    <t>62111  !</t>
  </si>
  <si>
    <t>62131  !</t>
  </si>
  <si>
    <t>62133  !</t>
  </si>
  <si>
    <t>62142  !</t>
  </si>
  <si>
    <t>62143 END IF</t>
  </si>
  <si>
    <t>62144  !</t>
  </si>
  <si>
    <t>62145  !</t>
  </si>
  <si>
    <t>67710                            !</t>
  </si>
  <si>
    <t>67820                            ! PLOTTER IS 705,"HPGL"</t>
  </si>
  <si>
    <t>67830                            ! OUTPUT 705;"IN;IP  0,0,7721,11040,VS 20"</t>
  </si>
  <si>
    <t>67840                            ! PLOTTER IS 705,"HPGL"</t>
  </si>
  <si>
    <t>67850                            ! OUTPUT 705;"IN;IP  0,0,7721,11040,VS 20"</t>
  </si>
  <si>
    <t>67890                            ! PRINT TABXY(Centro-5,10);</t>
  </si>
  <si>
    <t>67900                            ! PRINT CHR$(129);</t>
  </si>
  <si>
    <t>67910            !   PRINT "   Collocare il PENNINO nel CAROSELLO alla POSIZIONE  N.3   "</t>
  </si>
  <si>
    <t>67920             !                PRINT CHR$(128);</t>
  </si>
  <si>
    <t>67940               !              DISP "Sistemare il Foglio A4 .....Premere CONTINUE"</t>
  </si>
  <si>
    <t>67980                !             OUTPUT 2;Clear$;</t>
  </si>
  <si>
    <t>68070                             !SHOW -0,200,-0,285</t>
  </si>
  <si>
    <t>70760                          !OUTPUT 705;"IN;IP 0,0,16158,11040;PS 0;VS 30 ;"</t>
  </si>
  <si>
    <t>70770                          !OUTPUT 705;"IN;IP 0,0,16158,11040;PS 0;VS 30 ;"</t>
  </si>
  <si>
    <t>70820  !</t>
  </si>
  <si>
    <t>70830  !</t>
  </si>
  <si>
    <t>70840                        !PLOTTER IS "c:\Programmi\HTBwin83\NEWPROG\newdxfSIEMENS","HPGL;HPGL2",0,210,0,297</t>
  </si>
  <si>
    <t>70850                        !SHOW 0,210,0,297!SHOW -8,289,-12,408!SHOW 0,401.6,0,274.5!</t>
  </si>
  <si>
    <t>70940                !LINPUT " L'UTENSILE E' TOPPING ?   [NO-CONTINUE]",T$</t>
  </si>
  <si>
    <t>70980               !</t>
  </si>
  <si>
    <t>70990                !</t>
  </si>
  <si>
    <t>71540                     !ENTER 2;A$</t>
  </si>
  <si>
    <t>72220  !Fprt: IMAGE 3D.2D!</t>
  </si>
  <si>
    <t>72270               !PRINT " ANG.MONTANTE    ===&gt;&gt;&gt; ";Teta$,"  DIAM.ROTOLAMENTO ===&gt;&gt;&gt; ";</t>
  </si>
  <si>
    <t>72280               !PRINT " MONTANTE";Tetaprt$</t>
  </si>
  <si>
    <t>72310              !PRINT</t>
  </si>
  <si>
    <t>72320              !PRINT</t>
  </si>
  <si>
    <t>72350              !PRINT</t>
  </si>
  <si>
    <t>81070                 !</t>
  </si>
  <si>
    <t>81130                 ! PLOTTER IS "c:\Programmi\HTBwin83\NEWPROG\newdxf","HPGL;HPGL2;PORTRAIT",0,274.186,0,191.666</t>
  </si>
  <si>
    <t>81290              ! COM Dv0</t>
  </si>
  <si>
    <t>81370                           !</t>
  </si>
  <si>
    <t>81420                       ! DISP "SCEGLIERE LA LINGUA PER LA STAMPA"</t>
  </si>
  <si>
    <t>81440                        ! ON KEY 5 LABEL "TEDESCO" GOTO Ted</t>
  </si>
  <si>
    <t>81450                        ! ON KEY 6 LABEL "INGLESE" GOTO Ingl</t>
  </si>
  <si>
    <t>81460                        ! ON KEY 8 LABEL "ITALIANO" GOTO Ital</t>
  </si>
  <si>
    <t>81470                        ! ON KEY 7 LABEL "FRANCESE" GOTO Fran</t>
  </si>
  <si>
    <t>81490  !Idioma: GOTO Idioma</t>
  </si>
  <si>
    <t>81510  !Ted: Lingua$="TEDESCO"</t>
  </si>
  <si>
    <t>81520   !                      GOTO On_stp</t>
  </si>
  <si>
    <t>81540  !Ingl: Lingua$="INGLESE"</t>
  </si>
  <si>
    <t>81550    !                     GOTO On_stp</t>
  </si>
  <si>
    <t>81560  !Fran: Lingua$="FRANCESE"</t>
  </si>
  <si>
    <t>81570     !                    GOTO On_stp</t>
  </si>
  <si>
    <t>81750                   !ON KEY 0 LABEL "A SCELTA" GOTO Scelta</t>
  </si>
  <si>
    <t>82730 !</t>
  </si>
  <si>
    <t>82750 !</t>
  </si>
  <si>
    <t>83890                     !Printcodolo=1</t>
  </si>
  <si>
    <t>84210                !</t>
  </si>
  <si>
    <t>84310              !</t>
  </si>
  <si>
    <t>84330                     !</t>
  </si>
  <si>
    <t>84360                     !</t>
  </si>
  <si>
    <t>84370                     !</t>
  </si>
  <si>
    <t>84730                          !</t>
  </si>
  <si>
    <t>84740                          !</t>
  </si>
  <si>
    <t>84770                          !</t>
  </si>
  <si>
    <t>84860                           !</t>
  </si>
  <si>
    <t>84970  !</t>
  </si>
  <si>
    <t>87200                             !DISP "SCEGLIERE IL TIPO DI MACCHINA PER LA PROFILATURA [-NILES- Esclude le altre macch.]"</t>
  </si>
  <si>
    <t>87230                            ! ON KEY 2 LABEL "138-MASTER" GOTO Ev_spec</t>
  </si>
  <si>
    <t>87240                            ! ON KEY 3 LABEL "NILES" GOTO Niles</t>
  </si>
  <si>
    <t>87250                            ! ON KEY 4 LABEL "141-BASE" GOTO Base</t>
  </si>
  <si>
    <t>87260                            ! ON KEY 5 LABEL "KD-200" GOTO Kd</t>
  </si>
  <si>
    <t>87320              !</t>
  </si>
  <si>
    <t>87340               !</t>
  </si>
  <si>
    <t>87390               !</t>
  </si>
  <si>
    <t>87410               !</t>
  </si>
  <si>
    <t>88380   !                 Vuoi$=""</t>
  </si>
  <si>
    <t>88390    !                PRINT CHR$(129)</t>
  </si>
  <si>
    <t>88400                    !PRINT CHR$(128)</t>
  </si>
  <si>
    <t>88410     !               LINPUT " VUOI CALCOLARE i PUNTI sull'EVOLVENTE ?  [no-CONTINUE]",Vuoi$</t>
  </si>
  <si>
    <t>88420      !              PRINT CHR$(128)</t>
  </si>
  <si>
    <t>88430                    !</t>
  </si>
  <si>
    <t>88431                    ! indipendente dalla scelta ...</t>
  </si>
  <si>
    <t>88432                    ! calcolo punti di controllo inizio vita e fine vita</t>
  </si>
  <si>
    <t>88433                    !</t>
  </si>
  <si>
    <t>88435                    !</t>
  </si>
  <si>
    <t>88436                    !                                                    ******************** punti INIZIO VITA ********</t>
  </si>
  <si>
    <t>88437                    !</t>
  </si>
  <si>
    <t>88454                        !</t>
  </si>
  <si>
    <t>88457                                                      !</t>
  </si>
  <si>
    <t>88459                                                      !</t>
  </si>
  <si>
    <t>88461                                                      !</t>
  </si>
  <si>
    <t>88464                    !Da0w=Da0  !---- RIFERIMENTO DEL PUNTO DI CONTROLLO</t>
  </si>
  <si>
    <t>88465                    !</t>
  </si>
  <si>
    <t>88466                    ! INIZIO EVOLVENTE INGRANAGGIO</t>
  </si>
  <si>
    <t>88467                    !</t>
  </si>
  <si>
    <t>88473                                       !</t>
  </si>
  <si>
    <t>88481 !</t>
  </si>
  <si>
    <t>88482                    !FINE EVOLVENTE INGRANAGGIO</t>
  </si>
  <si>
    <t>88483                    !</t>
  </si>
  <si>
    <t>88485                    !</t>
  </si>
  <si>
    <t>88491                    !</t>
  </si>
  <si>
    <t>88499                    !</t>
  </si>
  <si>
    <t>88501                    !</t>
  </si>
  <si>
    <t>88502                    !IF LEN(Topping$) OR LEN(T$) THEN</t>
  </si>
  <si>
    <t>88503 !</t>
  </si>
  <si>
    <t>88504                               !Dxw=D_topp        ! CON TOPPING</t>
  </si>
  <si>
    <t>88505                    !ELSE</t>
  </si>
  <si>
    <t>88507                    !</t>
  </si>
  <si>
    <t>88508                    !END IF</t>
  </si>
  <si>
    <t>88509                    !</t>
  </si>
  <si>
    <t>88515                    !</t>
  </si>
  <si>
    <t>88518                    !</t>
  </si>
  <si>
    <t>88520                    !</t>
  </si>
  <si>
    <t>88521 GOSUB Per_fh</t>
  </si>
  <si>
    <t>88524                               !</t>
  </si>
  <si>
    <t>88525             !******************** punti INIZIO VITA ********</t>
  </si>
  <si>
    <t>88526                    !</t>
  </si>
  <si>
    <t>88543                        !</t>
  </si>
  <si>
    <t>88546                                                      !</t>
  </si>
  <si>
    <t>88548                                                      !</t>
  </si>
  <si>
    <t>88550                                                      !</t>
  </si>
  <si>
    <t>88553                    !Da0w=Da0  !---- RIFERIMENTO DEL PUNTO DI CONTROLLO</t>
  </si>
  <si>
    <t>88554                    !</t>
  </si>
  <si>
    <t>88555                    ! INIZIO EVOLVENTE INGRANAGGIO</t>
  </si>
  <si>
    <t>88562                                       !</t>
  </si>
  <si>
    <t>88570                    !</t>
  </si>
  <si>
    <t>88571                    !FINE EVOLVENTE INGRANAGGIO</t>
  </si>
  <si>
    <t>88572                    !</t>
  </si>
  <si>
    <t>88574                    !</t>
  </si>
  <si>
    <t>88590                    !</t>
  </si>
  <si>
    <t>88591                    !IF LEN(Topping$) OR LEN(T$) THEN</t>
  </si>
  <si>
    <t>88592 !</t>
  </si>
  <si>
    <t>88593                              !Dxw=D_topp        ! CON TOPPING</t>
  </si>
  <si>
    <t>88594                    !ELSE</t>
  </si>
  <si>
    <t>88596                    !</t>
  </si>
  <si>
    <t>88597                    !END IF</t>
  </si>
  <si>
    <t>88598                    !</t>
  </si>
  <si>
    <t>88604                    !</t>
  </si>
  <si>
    <t>88607                    !</t>
  </si>
  <si>
    <t>88610                    !</t>
  </si>
  <si>
    <t>88613                    !</t>
  </si>
  <si>
    <t>88616                    !</t>
  </si>
  <si>
    <t>88617                  !                                           *******************  CALCOLO PUNTI A FINE VITA  *******************</t>
  </si>
  <si>
    <t>88619 !</t>
  </si>
  <si>
    <t>88622                    !</t>
  </si>
  <si>
    <t>88626                    !</t>
  </si>
  <si>
    <t>88628                        !</t>
  </si>
  <si>
    <t>88631                                                      !</t>
  </si>
  <si>
    <t>88633                                                      !</t>
  </si>
  <si>
    <t>88635                                                      !</t>
  </si>
  <si>
    <t>88638                    !</t>
  </si>
  <si>
    <t>88639                    !---- RIFERIMENTO DEL PUNTO DI CONTROLLO</t>
  </si>
  <si>
    <t>88640                    !</t>
  </si>
  <si>
    <t>88642                    !</t>
  </si>
  <si>
    <t>88644                    !</t>
  </si>
  <si>
    <t>88645                    ! INIZIO EVOLVENTE INGRANAGGIO</t>
  </si>
  <si>
    <t>88646                    !</t>
  </si>
  <si>
    <t>88652                                       !</t>
  </si>
  <si>
    <t>88661 !</t>
  </si>
  <si>
    <t>88662                    !FINE EVOLVENTE INGRANAGGIO</t>
  </si>
  <si>
    <t>88663                    !</t>
  </si>
  <si>
    <t>88665                    !</t>
  </si>
  <si>
    <t>88671                    !</t>
  </si>
  <si>
    <t>88679                    !</t>
  </si>
  <si>
    <t>88681                    !</t>
  </si>
  <si>
    <t>88682                    !IF LEN(Topping$) OR LEN(T$) THEN</t>
  </si>
  <si>
    <t>88683 !</t>
  </si>
  <si>
    <t>88684                               !Dxw=D_topp        ! CON TOPPING</t>
  </si>
  <si>
    <t>88685                    !ELSE</t>
  </si>
  <si>
    <t>88687                    !</t>
  </si>
  <si>
    <t>88688                    !END IF</t>
  </si>
  <si>
    <t>88689                    !</t>
  </si>
  <si>
    <t>88695                    !</t>
  </si>
  <si>
    <t>88698                    !</t>
  </si>
  <si>
    <t>88700                    !</t>
  </si>
  <si>
    <t>88704                               !</t>
  </si>
  <si>
    <t>88706                    !</t>
  </si>
  <si>
    <t>88708                    !</t>
  </si>
  <si>
    <t>88709                    ! INIZIO EVOLVENTE INGRANAGGIO</t>
  </si>
  <si>
    <t>88710                    !</t>
  </si>
  <si>
    <t>88716                                       !</t>
  </si>
  <si>
    <t>88724                    !</t>
  </si>
  <si>
    <t>88725                    !FINE EVOLVENTE INGRANAGGIO</t>
  </si>
  <si>
    <t>88726                    !</t>
  </si>
  <si>
    <t>88728                    !</t>
  </si>
  <si>
    <t>88734                    !</t>
  </si>
  <si>
    <t>88742                    !</t>
  </si>
  <si>
    <t>88744                    !</t>
  </si>
  <si>
    <t>88745                    !IF LEN(Topping$) OR LEN(T$) THEN</t>
  </si>
  <si>
    <t>88746 !</t>
  </si>
  <si>
    <t>88747                              !Dxw=D_topp        ! CON TOPPING</t>
  </si>
  <si>
    <t>88748                    !ELSE</t>
  </si>
  <si>
    <t>88750                    !</t>
  </si>
  <si>
    <t>88751                    !END IF</t>
  </si>
  <si>
    <t>88752                    !</t>
  </si>
  <si>
    <t>88758                    !</t>
  </si>
  <si>
    <t>88761                    !</t>
  </si>
  <si>
    <t>88763                    !</t>
  </si>
  <si>
    <t>88766                    !</t>
  </si>
  <si>
    <t>88768                    !</t>
  </si>
  <si>
    <t>88770                    !</t>
  </si>
  <si>
    <t>88771 !   ****************************************************************************************************************************</t>
  </si>
  <si>
    <t>88772 !</t>
  </si>
  <si>
    <t>88773 !</t>
  </si>
  <si>
    <t>88774  !Calcolo_punti:   !</t>
  </si>
  <si>
    <t>88777                    !PRINT CHR$(128)</t>
  </si>
  <si>
    <t>88781                                        ! IF Dnf1=0 THEN</t>
  </si>
  <si>
    <t>88782                                        !              GOTO Tolleranze</t>
  </si>
  <si>
    <t>88783                                        ! ELSE</t>
  </si>
  <si>
    <t>88784                                                     ! Vuoidipiu$="kkk"</t>
  </si>
  <si>
    <t>88785                                                      !</t>
  </si>
  <si>
    <t>88786                                                    !  Dxw=ABS(Dnf1)</t>
  </si>
  <si>
    <t>88787                                                     ! GOSUB Calcolo_punto</t>
  </si>
  <si>
    <t>88788                                                    !  Dy1w=D_iewx</t>
  </si>
  <si>
    <t>88789                                                      !</t>
  </si>
  <si>
    <t>88790                                                     ! Dxw=ABS(Da1)</t>
  </si>
  <si>
    <t>88791                                                     ! GOSUB Calcolo_punto</t>
  </si>
  <si>
    <t>88792                                                     ! Dy2w=D_iewx</t>
  </si>
  <si>
    <t>88793                                                      !</t>
  </si>
  <si>
    <t>88794                                                     ! GOTO Tolleranze</t>
  </si>
  <si>
    <t>88795    !</t>
  </si>
  <si>
    <t>88796                                        ! END IF</t>
  </si>
  <si>
    <t>88797                   ! END IF</t>
  </si>
  <si>
    <t>88798                    !</t>
  </si>
  <si>
    <t>88799   !</t>
  </si>
  <si>
    <t>88800                    !</t>
  </si>
  <si>
    <t>88804                    !</t>
  </si>
  <si>
    <t>88806                    !</t>
  </si>
  <si>
    <t>88817                    !</t>
  </si>
  <si>
    <t>88870                    !GOSUB Calcolo_punto</t>
  </si>
  <si>
    <t>88890                    !</t>
  </si>
  <si>
    <t>88910                    !</t>
  </si>
  <si>
    <t>88990                    !GOSUB Calcolo_punto</t>
  </si>
  <si>
    <t>89010                    !</t>
  </si>
  <si>
    <t>89030                    !</t>
  </si>
  <si>
    <t>89050                   !</t>
  </si>
  <si>
    <t>89060 !</t>
  </si>
  <si>
    <t>89080                   !Dxw=0</t>
  </si>
  <si>
    <t>89090                   !</t>
  </si>
  <si>
    <t>89200                   !Dxw=0</t>
  </si>
  <si>
    <t>89210                   !</t>
  </si>
  <si>
    <t>89300          !</t>
  </si>
  <si>
    <t>89310                 !</t>
  </si>
  <si>
    <t>89410                  !</t>
  </si>
  <si>
    <t>89450                  !</t>
  </si>
  <si>
    <t>89470                  !</t>
  </si>
  <si>
    <t>89480           !</t>
  </si>
  <si>
    <t>89530                  !</t>
  </si>
  <si>
    <t>89690                  !</t>
  </si>
  <si>
    <t>89760                  !</t>
  </si>
  <si>
    <t>89810                  !</t>
  </si>
  <si>
    <t>89870                                   !</t>
  </si>
  <si>
    <t>89890                  !</t>
  </si>
  <si>
    <t>90070                  !</t>
  </si>
  <si>
    <t>90110                  !</t>
  </si>
  <si>
    <t>90160                  !</t>
  </si>
  <si>
    <t>90270                                   !</t>
  </si>
  <si>
    <t>90300                                   !</t>
  </si>
  <si>
    <t>90320                  !</t>
  </si>
  <si>
    <t>90470                   !</t>
  </si>
  <si>
    <t>90480                   !</t>
  </si>
  <si>
    <t>90490                   !PAUSE</t>
  </si>
  <si>
    <t>90500                   !</t>
  </si>
  <si>
    <t>90510 !</t>
  </si>
  <si>
    <t>90540                  !</t>
  </si>
  <si>
    <t>90560                  !</t>
  </si>
  <si>
    <t>90630                         !</t>
  </si>
  <si>
    <t>91990                          !File$="C:\programmi\htbwin83\newprog\filesfellows\Stampa_dati.scr"! @@@@@@@@@inizializzazione File$</t>
  </si>
  <si>
    <t>92000                       ! PLOTTER IS "c:\Programmi\HTBwin83\NEWPROG\newdxf","HPGL;HPGL2;PORTRAIT",0,274.186,0,191.666</t>
  </si>
  <si>
    <t>92130  !</t>
  </si>
  <si>
    <t>92140                        !</t>
  </si>
  <si>
    <t>92210                                                           !</t>
  </si>
  <si>
    <t>92300                                                           !</t>
  </si>
  <si>
    <t>92500                                                    !</t>
  </si>
  <si>
    <t>92650                           !IMAGE 5D.3D</t>
  </si>
  <si>
    <t>92680                           !</t>
  </si>
  <si>
    <t>92780                           !</t>
  </si>
  <si>
    <t>92810                           !CALL Plot_label(P,228,VAL$(Db1))</t>
  </si>
  <si>
    <t>93770                           !</t>
  </si>
  <si>
    <t>95110                            !</t>
  </si>
  <si>
    <t>95150                            !</t>
  </si>
  <si>
    <t>95190 !</t>
  </si>
  <si>
    <t>95200             !</t>
  </si>
  <si>
    <t>95210 !   STAMPA del CODICE</t>
  </si>
  <si>
    <t>95220                           ! CSIZE 2,.45</t>
  </si>
  <si>
    <t>95230                           ! FOR Fox=-.1 TO .1 STEP .1</t>
  </si>
  <si>
    <t>95240                           ! MOVE 391+Fox,50+Fox</t>
  </si>
  <si>
    <t>95250                           ! LABEL "tipo:";Cod_colt$</t>
  </si>
  <si>
    <t>95260                           ! NEXT Fox</t>
  </si>
  <si>
    <t>95400                           !</t>
  </si>
  <si>
    <t>95440                           !</t>
  </si>
  <si>
    <t>96000                                                         !</t>
  </si>
  <si>
    <t>96040                                    !</t>
  </si>
  <si>
    <t>96260                          !</t>
  </si>
  <si>
    <t>96673 !</t>
  </si>
  <si>
    <t>96691                      !</t>
  </si>
  <si>
    <t>96692 !</t>
  </si>
  <si>
    <t>98370                                  !</t>
  </si>
  <si>
    <t>98420                                                         !</t>
  </si>
  <si>
    <t>98440                                               !</t>
  </si>
  <si>
    <t>98450                                         !</t>
  </si>
  <si>
    <t>98670                            !</t>
  </si>
  <si>
    <t>98810                      !</t>
  </si>
  <si>
    <t>98820 !</t>
  </si>
  <si>
    <t>98830 !</t>
  </si>
  <si>
    <t>98850 !</t>
  </si>
  <si>
    <t>98880                                                                !</t>
  </si>
  <si>
    <t>99000                                    !</t>
  </si>
  <si>
    <t>99030                 !</t>
  </si>
  <si>
    <t>99040                             !Ad2bis=Ad2bis*180/PI</t>
  </si>
  <si>
    <t>99050                             !</t>
  </si>
  <si>
    <t>99070                             !</t>
  </si>
  <si>
    <t>99090                             !</t>
  </si>
  <si>
    <t>99260                             !</t>
  </si>
  <si>
    <t>99270                             !</t>
  </si>
  <si>
    <t>99360                             !LDIR 0</t>
  </si>
  <si>
    <t>99390                                                         !</t>
  </si>
  <si>
    <t>99400                             !</t>
  </si>
  <si>
    <t>99420                             !</t>
  </si>
  <si>
    <t>99550                             !</t>
  </si>
  <si>
    <t>99640                             !</t>
  </si>
  <si>
    <t>99700                             !</t>
  </si>
  <si>
    <t>99710                             !</t>
  </si>
  <si>
    <t>99720    ! Printcodolo=0</t>
  </si>
  <si>
    <t>99780                !     OUTPUT 705;"VS 15;"</t>
  </si>
  <si>
    <t>100051                                 !</t>
  </si>
  <si>
    <t>100052                 ! 09 OCT 2012: POSSIBILITA DI SPOSTAMENTO FIGURA PER INSERIMENTO PUNTI DI CONTROLLO EVOLVENTE</t>
  </si>
  <si>
    <t>100053                 !</t>
  </si>
  <si>
    <t>100055                 !</t>
  </si>
  <si>
    <t>100121 !</t>
  </si>
  <si>
    <t>100122                 !</t>
  </si>
  <si>
    <t>100123 !**************** OCT 2012 AGGIUNTA STAMPA PUNTI LUNGHEZZE UTILI *******************************</t>
  </si>
  <si>
    <t>100124 !</t>
  </si>
  <si>
    <t>100125 !                 DISEGNO LA FIGURA...</t>
  </si>
  <si>
    <t>100126 !</t>
  </si>
  <si>
    <t>100137                      !</t>
  </si>
  <si>
    <t>100138 !                 STAMPO I VOLORI DEL DIAM DI CONTROLLO E H_UT</t>
  </si>
  <si>
    <t>100139 !</t>
  </si>
  <si>
    <t>100143                      !</t>
  </si>
  <si>
    <t>100146                      !</t>
  </si>
  <si>
    <t>100147 !                 STAMPO I VALORI DELLE LUNGHEZZE</t>
  </si>
  <si>
    <t>100148 !</t>
  </si>
  <si>
    <t>100154                      !</t>
  </si>
  <si>
    <t>100171                !</t>
  </si>
  <si>
    <t>100175                !</t>
  </si>
  <si>
    <t>100178                !</t>
  </si>
  <si>
    <t>100181                !</t>
  </si>
  <si>
    <t>100184                !</t>
  </si>
  <si>
    <t>100186           ! NESSUNA STAMPA</t>
  </si>
  <si>
    <t>100187            !</t>
  </si>
  <si>
    <t>100189     !</t>
  </si>
  <si>
    <t>100191     !</t>
  </si>
  <si>
    <t>100192                  !</t>
  </si>
  <si>
    <t>100195                    !</t>
  </si>
  <si>
    <t>100198                    !</t>
  </si>
  <si>
    <t>100201                    !</t>
  </si>
  <si>
    <t>100204                    !</t>
  </si>
  <si>
    <t>100206 !</t>
  </si>
  <si>
    <t>100207 CSIZE 1.75,.5</t>
  </si>
  <si>
    <t>100364 !</t>
  </si>
  <si>
    <t>100365 !</t>
  </si>
  <si>
    <t>103310 PRINT</t>
  </si>
  <si>
    <t>103320 PRINT</t>
  </si>
  <si>
    <t>103330 PRINT</t>
  </si>
  <si>
    <t>103340 PRINT</t>
  </si>
  <si>
    <t>104580 GOTO Reg_spess_lvt</t>
  </si>
  <si>
    <t>107241 !</t>
  </si>
  <si>
    <t>107252                                       !</t>
  </si>
  <si>
    <t>107262                          !</t>
  </si>
  <si>
    <t>107263                          !</t>
  </si>
  <si>
    <t>107940                                            ! LABEL Toll_diam$</t>
  </si>
  <si>
    <t>110020                                                       !</t>
  </si>
  <si>
    <t>110270                           !</t>
  </si>
  <si>
    <t>110290                                    !</t>
  </si>
  <si>
    <t>110740                                                !IF LEN(Collarino$) THEN Collarino1$="Pruefbund"</t>
  </si>
  <si>
    <t>110750                                                !</t>
  </si>
  <si>
    <t>111140                                                !</t>
  </si>
  <si>
    <t>111180                                                !</t>
  </si>
  <si>
    <t>111220                                                !</t>
  </si>
  <si>
    <t>111260                                                !</t>
  </si>
  <si>
    <t>111340                                                          !</t>
  </si>
  <si>
    <t>112521 ! PREPARAZIONE DEL DISEGNO GEOMETRICO DELL'UTENSILE IN SCALA - AUG 2010</t>
  </si>
  <si>
    <t>112523   !</t>
  </si>
  <si>
    <t>112524 IF LEN(Cono$) THEN</t>
  </si>
  <si>
    <t>112526 ELSE</t>
  </si>
  <si>
    <t>112529                       !CREATE "geoform",1</t>
  </si>
  <si>
    <t>112531                       ! PLOTTER IS 705,"HPGL"</t>
  </si>
  <si>
    <t>112532                       ! OUTPUT 705;"IN;IP 0,0,16158,11040;PS 0;VS 30;"</t>
  </si>
  <si>
    <t>112533                       ! PLOTTER IS 705,"HPGL"</t>
  </si>
  <si>
    <t>112536                       !</t>
  </si>
  <si>
    <t>112538                       ! OFF SET</t>
  </si>
  <si>
    <t>112541                       !</t>
  </si>
  <si>
    <t>112542                       ! TRACCIATURA ASSE UTENSILE</t>
  </si>
  <si>
    <t>112543                       !</t>
  </si>
  <si>
    <t>112550                       !</t>
  </si>
  <si>
    <t>112552                       !</t>
  </si>
  <si>
    <t>112554                       !</t>
  </si>
  <si>
    <t>112555                       ! CALCOLO  COORDINATE E PUNTI</t>
  </si>
  <si>
    <t>112556                       !  LATO SX</t>
  </si>
  <si>
    <t>112557                       !</t>
  </si>
  <si>
    <t>112560                       !</t>
  </si>
  <si>
    <t>112563                       !</t>
  </si>
  <si>
    <t>112569                       !</t>
  </si>
  <si>
    <t>112570                       ! parte sopra da piano di appoggio</t>
  </si>
  <si>
    <t>112571                       !</t>
  </si>
  <si>
    <t>112574                       ! ANGOLO su D1</t>
  </si>
  <si>
    <t>112578                       !</t>
  </si>
  <si>
    <t>112579                       ! LATO DX</t>
  </si>
  <si>
    <t>112580                       !</t>
  </si>
  <si>
    <t>112583                       !</t>
  </si>
  <si>
    <t>112586                       !</t>
  </si>
  <si>
    <t>112589                       !</t>
  </si>
  <si>
    <t>112592                       !</t>
  </si>
  <si>
    <t>112595                       !</t>
  </si>
  <si>
    <t>112598                       !</t>
  </si>
  <si>
    <t>112601                       !</t>
  </si>
  <si>
    <t>112604                       !</t>
  </si>
  <si>
    <t>112607                       !</t>
  </si>
  <si>
    <t>112610                       !</t>
  </si>
  <si>
    <t>112613                       !</t>
  </si>
  <si>
    <t>112616                       !</t>
  </si>
  <si>
    <t>112619                       !</t>
  </si>
  <si>
    <t>112620                       !FORO</t>
  </si>
  <si>
    <t>112621                       !</t>
  </si>
  <si>
    <t>112622                       !</t>
  </si>
  <si>
    <t>112623                       !</t>
  </si>
  <si>
    <t>112624                       !DISEGNO IL PROFILO GEOMETRICO</t>
  </si>
  <si>
    <t>112625                       !</t>
  </si>
  <si>
    <t>112645                       !</t>
  </si>
  <si>
    <t>112646                       !</t>
  </si>
  <si>
    <t>112647                       !</t>
  </si>
  <si>
    <t>112648                       !</t>
  </si>
  <si>
    <t>112649                       !DRAW P1x-P2x,Yoffset+B3</t>
  </si>
  <si>
    <t>112650                       !</t>
  </si>
  <si>
    <t>112651                       !</t>
  </si>
  <si>
    <t>112652 END IF</t>
  </si>
  <si>
    <t>112653       !</t>
  </si>
  <si>
    <t>118791         !</t>
  </si>
  <si>
    <t>118792         !</t>
  </si>
  <si>
    <t>10            ! RE-STORE "C:\programmi\htbwin83\newprog\cadFELLOWS"</t>
  </si>
  <si>
    <t>20            !______________________________PROMEMORIA delle VARIAZIONI____________________________</t>
  </si>
  <si>
    <t>30            !</t>
  </si>
  <si>
    <t>40            !</t>
  </si>
  <si>
    <t>50            ! 16 MARZO 1999:MODIFICATO IL SISTEMA KEY,ELIMINATE LE PAUSE INTRODUCENTO IL VALORE ENTER</t>
  </si>
  <si>
    <t>130             !</t>
  </si>
  <si>
    <t>260        !</t>
  </si>
  <si>
    <t>1010            ! INPUT Q$</t>
  </si>
  <si>
    <t>1170                          !</t>
  </si>
  <si>
    <t>1190              !</t>
  </si>
  <si>
    <t>1220              !</t>
  </si>
  <si>
    <t>1230              !</t>
  </si>
  <si>
    <t>1340                                                               !</t>
  </si>
  <si>
    <t>1410 !</t>
  </si>
  <si>
    <t>1470               !</t>
  </si>
  <si>
    <t>1480               !</t>
  </si>
  <si>
    <t>1510 !</t>
  </si>
  <si>
    <t>1540  !</t>
  </si>
  <si>
    <t>1550          !</t>
  </si>
  <si>
    <t>1560         !</t>
  </si>
  <si>
    <t>1810            !</t>
  </si>
  <si>
    <t>1900              !ON KEY 7 LABEL "DIS.TORNERIA" GOTO Torneria</t>
  </si>
  <si>
    <t>1930              !ON KEY 8 LABEL "CARTELLINO" GOTO P_cart</t>
  </si>
  <si>
    <t>1940               !</t>
  </si>
  <si>
    <t>1960               !</t>
  </si>
  <si>
    <t>1962  !</t>
  </si>
  <si>
    <t>1964 !</t>
  </si>
  <si>
    <t>1966 !</t>
  </si>
  <si>
    <t>1968 !</t>
  </si>
  <si>
    <t>1970 !</t>
  </si>
  <si>
    <t>1972 !</t>
  </si>
  <si>
    <t>2170               !</t>
  </si>
  <si>
    <t>2280                !</t>
  </si>
  <si>
    <t>2380                !</t>
  </si>
  <si>
    <t>2480                !</t>
  </si>
  <si>
    <t>2580                !</t>
  </si>
  <si>
    <t>2670                !</t>
  </si>
  <si>
    <t>2720                         !</t>
  </si>
  <si>
    <t>2970        ! @@@@@@@@@@@@@@@@@@@@@@@@@@@@@@@@@@@@@@@@@@@@@@@@@@@@@@@@@@@@@@@@@@@@@@@@@@@@@@@@@@</t>
  </si>
  <si>
    <t>2980       !</t>
  </si>
  <si>
    <t>3000                !</t>
  </si>
  <si>
    <t>3240                !</t>
  </si>
  <si>
    <t>3260                !</t>
  </si>
  <si>
    <t>3330                !</t>
  </si>
  <si>
    <t>3350                !</t>
  </si>
  <si>
    <t>3370                !</t>
  </si>
  <si>
    <t>3510                           !</t>
  </si>
  <si>
    <t>4440               !</t>
  </si>
  <si>
    <t>4490                 !</t>
  </si>
  <si>
    <t>4550                  !</t>
  </si>
  <si>
    <t>4610                  !</t>
  </si>
  <si>
    <t>4680                  !</t>
  </si>
  <si>
    <t>4700                        !</t>
  </si>
  <si>
    <t>4820                            !</t>
  </si>
  <si>
    <t>4840                        !</t>
  </si>
  <si>
    <t>4880                       !</t>
  </si>
  <si>
    <t>4900                       !</t>
  </si>
  <si>
    <t>5080                       !</t>
  </si>
  <si>
    <t>5120                !</t>
  </si>
  <si>
    <t>5140                !</t>
  </si>
  <si>
    <t>5180                !</t>
  </si>
  <si>
    <t>5200                !</t>
  </si>
  <si>
    <t>5230                !</t>
  </si>
  <si>
    <t>5260                !</t>
  </si>
  <si>
    <t>5300               !</t>
  </si>
  <si>
    <t>5320               !</t>
  </si>
  <si>
    <t>5340                     !</t>
  </si>
  <si>
    <t>5360                     !</t>
  </si>
  <si>
    <t>5420                          !</t>
  </si>
  <si>
    <t>5460                !</t>
  </si>
  <si>
    <t>5490                !</t>
  </si>
  <si>
    <t>5510                !</t>
  </si>
  <si>
    <t>5650                !</t>
  </si>
  <si>
    <t>5810                      !</t>
  </si>
  <si>
    <t>5820                    !</t>
  </si>
  <si>
    <t>5840                 !</t>
  </si>
  <si>
    <t>5850                 !</t>
  </si>
  <si>
    <t>5900                 !</t>
  </si>
  <si>
    <t>5920                 !</t>
  </si>
  <si>
    <t>6170                          !</t>
  </si>
  <si>
    <t>6200                               !</t>
  </si>
  <si>
    <t>6240                               !</t>
  </si>
  <si>
    <t>6260                          !</t>
  </si>
  <si>
    <t>6360                          !</t>
  </si>
  <si>
    <t>6460                          !</t>
  </si>
  <si>
    <t>6710                  !</t>
  </si>
  <si>
    <t>6730                  !</t>
  </si>
  <si>
    <t>7090                      !</t>
  </si>
  <si>
    <t>7590                    !</t>
  </si>
  <si>
    <t>7630                    !</t>
  </si>
  <si>
    <t>7650               !</t>
  </si>
  <si>
    <t>7870                   !</t>
  </si>
  <si>
    <t>8010                    !</t>
  </si>
  <si>
    <t>8030                    !</t>
  </si>
  <si>
    <t>8150                    !</t>
  </si>
  <si>
    <t>8170                      !</t>
  </si>
  <si>
    <t>8330                      !</t>
  </si>
  <si>
    <t>8350                      !</t>
  </si>
  <si>
    <t>8420                      !</t>
  </si>
  <si>
    <t>8440                   !</t>
  </si>
  <si>
    <t>8580                      !</t>
  </si>
  <si>
    <t>8660                      !</t>
  </si>
  <si>
    <t>8730                        !</t>
  </si>
  <si>
    <t>8760                        !</t>
  </si>
  <si>
    <t>8780                        !</t>
  </si>
  <si>
    <t>8800                        !</t>
  </si>
  <si>
    <t>8940                      !</t>
  </si>
  <si>
    <t>8960                      !</t>
  </si>
  <si>
    <t>9070                      !</t>
  </si>
  <si>
    <t>9100                 !</t>
  </si>
  <si>
    <t>9150                        !</t>
  </si>
  <si>
    <t>9320                          !</t>
  </si>
  <si>
    <t>9350                          !</t>
  </si>
  <si>
    <t>9390                          !</t>
  </si>
  <si>
    <t>9520               !</t>
  </si>
  <si>
    <t>9580                          !</t>
  </si>
  <si>
    <t>9850                 !</t>
  </si>
  <si>
    <t>9950                                   !</t>
  </si>
  <si>
    <t>9970                          !</t>
  </si>
  <si>
    <t>9990                          !</t>
  </si>
  <si>
    <t>10140                             !</t>
  </si>
  <si>
    <t>10180                          !</t>
  </si>
  <si>
    <t>10230                        !</t>
  </si>
  <si>
    <t>10270                        !</t>
  </si>
  <si>
    <t>10300                        !</t>
  </si>
  <si>
    <t>10320                        !</t>
  </si>
  <si>
    <t>10360                      !</t>
  </si>
  <si>
    <t>10390                       !</t>
  </si>
  <si>
    <t>10500                       !</t>
  </si>
  <si>
    <t>10520                      !</t>
  </si>
  <si>
    <t>10620                      !</t>
  </si>
  <si>
    <t>10640                       !</t>
  </si>
  <si>
    <t>10730                       !</t>
  </si>
  <si>
    <t>10750                     !</t>
  </si>
  <si>
    <t>11260                       !</t>
  </si>
  <si>
    <t>11480                 !</t>
  </si>
  <si>
    <t>11630                       !</t>
  </si>
  <si>
    <t>11650                    !</t>
  </si>
  <si>
    <t>11700                        !</t>
  </si>
  <si>
    <t>11720                 !</t>
  </si>
  <si>
    <t>11770                              !</t>
  </si>
  <si>
    <t>11790                       !</t>
  </si>
  <si>
    <t>12070                  !</t>
  </si>
  <si>
    <t>12100                       !</t>
  </si>
  <si>
    <t>12170                       !</t>
  </si>
  <si>
    <t>12190                       !</t>
  </si>
  <si>
    <t>12210                 !</t>
  </si>
  <si>
    <t>12220                 !</t>
  </si>
  <si>
    <t>12450                         !</t>
  </si>
  <si>
    <t>12570                         !</t>
  </si>
  <si>
    <t>12590                         !</t>
  </si>
  <si>
    <t>12610                         !</t>
  </si>
  <si>
    <t>13040              !</t>
  </si>
  <si>
    <t>13150                        !</t>
  </si>
  <si>
    <t>13170                        !</t>
  </si>
  <si>
    <t>13190                        !</t>
  </si>
  <si>
    <t>13210                        !</t>
  </si>
  <si>
    <t>13230                     !</t>
  </si>
  <si>
    <t>13440                     !</t>
  </si>
  <si>
    <t>13460                        !</t>
  </si>
  <si>
    <t>13660                        !</t>
  </si>
  <si>
    <t>13710                      !</t>
  </si>
  <si>
    <t>13730                           !</t>
  </si>
  <si>
    <t>13770                           !</t>
  </si>
  <si>
    <t>13790                     !</t>
  </si>
  <si>
    <t>13830                        !</t>
  </si>
  <si>
    <t>13860                              !</t>
  </si>
  <si>
    <t>13930                !</t>
  </si>
  <si>
    <t>13950                !</t>
  </si>
  <si>
    <t>14000                !</t>
  </si>
  <si>
    <t>14020                !</t>
  </si>
  <si>
    <t>14040                 !</t>
  </si>
  <si>
    <t>14090                              !</t>
  </si>
  <si>
    <t>14110                       !</t>
  </si>
  <si>
    <t>14130                              !</t>
  </si>
  <si>
    <t>14350                  !</t>
  </si>
  <si>
    <t>14390                       !</t>
  </si>
  <si>
    <t>14410                 !</t>
  </si>
  <si>
    <t>14590                 !</t>
  </si>
  <si>
    <t>14630                         !</t>
  </si>
  <si>
    <t>14650                         !</t>
  </si>
  <si>
    <t>15030              !</t>
  </si>
  <si>
    <t>15080                        !</t>
  </si>
  <si>
    <t>15100                        !</t>
  </si>
  <si>
    <t>15130                        !</t>
  </si>
  <si>
    <t>15150                        !</t>
  </si>
  <si>
    <t>15170                        !</t>
  </si>
  <si>
    <t>15190                        !</t>
  </si>
  <si>
    <t>15250                        !</t>
  </si>
  <si>
    <t>15270                         !</t>
  </si>
  <si>
    <t>15300                         !</t>
  </si>
  <si>
    <t>15320                !</t>
  </si>
  <si>
    <t>15360                !</t>
  </si>
  <si>
    <t>15430                        !</t>
  </si>
  <si>
    <t>15460                        !</t>
  </si>
  <si>
    <t>15480                        !</t>
  </si>
  <si>
    <t>15560                        !</t>
  </si>
  <si>
    <t>15580                        !</t>
  </si>
  <si>
    <t>15630                        !</t>
  </si>
  <si>
    <t>15670                        !</t>
  </si>
  <si>
    <t>15700                        !</t>
  </si>
  <si>
    <t>15760                     !</t>
  </si>
  <si>
    <t>15780                        !</t>
  </si>
  <si>
    <t>15800                        !</t>
  </si>
  <si>
    <t>15850                        !</t>
  </si>
  <si>
    <t>15870                        !</t>
  </si>
  <si>
    <t>15930                        !</t>
  </si>
  <si>
    <t>15950                        !</t>
  </si>
  <si>
    <t>16150                        !</t>
  </si>
  <si>
    <t>16170                        !</t>
  </si>
  <si>
    <t>16270                        !</t>
  </si>
  <si>
    <t>16290                        !</t>
  </si>
  <si>
    <t>16480                        !</t>
  </si>
  <si>
    <t>16600                           !</t>
  </si>
  <si>
    <t>16640                           !</t>
  </si>
  <si>
    <t>16660                           !</t>
  </si>
  <si>
    <t>16680                           !</t>
  </si>
  <si>
    <t>16690                        !</t>
  </si>
  <si>
    <t>16700              !    DETERMINAZIONE SPOSTAMENTO DI PROFILO REALMENTE GENERATO SULLA RUOTA</t>
  </si>
  <si>
    <t>16780        !</t>
  </si>
  <si>
    <t>16790                 !</t>
  </si>
  <si>
    <t>16810                 !</t>
  </si>
  <si>
    <t>16820        !@@@@@@@@@@@@@@@@@@@@@@@@@@@@@@@@@@@@@@@@@@@@@@@@@@@@@@@@@@@@@@@@@@@@@@@@@@@@@@@@@@@@@@@@@@@@@@@@@@@@@@@@@@@@@@@@@@@@@</t>
  </si>
  <si>
    <t>16830        !                     ricostruzione e aggiornamento files  AUTOCAD       may2002</t>
  </si>
  <si>
    <t>16840        !@@@@@@@@@@@@@@@@@@@@@@@@@@@@@@@@@@@@@@@@@@@@@@@@@@@@@@@@@@@@@@@@@@@@@@@@@@@@@@@@@@@@@@@@@@@@@@@@@@@@@@@@@@@@@@@@@@@@@</t>
  </si>
  <si>
    <t>16860              !</t>
  </si>
  <si>
    <t>16870        !@@@@@@@@@@@@@@@@@@@@@@@@@@@@@@@@@@@@@@@@@@@@@@@@@@@@@@@@@@@@@@@@@@@@@@@@@@@@@@@@@@@@@@@@@@@@@@@@@@@@@@@@@@@@@@@@@@@@@</t>
  </si>
  <si>
    <t>16880        !</t>
  </si>
  <si>
    <t>17060                      !</t>
  </si>
  <si>
    <t>17080                      !</t>
  </si>
  <si>
    <t>17120                      !</t>
  </si>
  <si>
    <t>17140                       !</t>
  </si>
  <si>
    <t>17500                          !</t>
  </si>
  <si>
    <t>17550                          !</t>
  </si>
  <si>
    <t>17570                          !</t>
  </si>
  <si>
    <t>17750                       !</t>
  </si>
  <si>
    <t>17910                       !</t>
  </si>
  <si>
    <t>18030                         !</t>
  </si>
  <si>
    <t>18430                         !</t>
  </si>
  <si>
    <t>18450                         !</t>
  </si>
  <si>
    <t>18500                           !</t>
  </si>
  <si>
    <t>18540                           !</t>
  </si>
  <si>
    <t>18590                       !</t>
  </si>
  <si>
    <t>18960                      !</t>
  </si>
  <si>
    <t>19140                      !</t>
  </si>
  <si>
    <t>19760                      !</t>
  </si>
  <si>
    <t>19780                         !</t>
  </si>
  <si>
    <t>19860                                    !</t>
  </si>
  <si>
    <t>19880                          !</t>
  </si>
  <si>
    <t>19990                                            !</t>
  </si>
  <si>
    <t>20200                       !</t>
  </si>
  <si>
    <t>20740                         !CALL Plot_move(0,Y_0+7*Py_sc)</t>
  </si>
  <si>
    <t>20910                         !</t>
  </si>
  <si>
    <t>21050                         !</t>
  </si>
  <si>
    <t>21360                       !</t>
  </si>
  <si>
    <t>21660                                   !</t>
  </si>
  <si>
    <t>21740                                   !</t>
  </si>
  <si>
    <t>22010                        !</t>
  </si>
  <si>
    <t>22360                       !</t>
  </si>
  <si>
    <t>22430                       !</t>
  </si>
  <si>
    <t>22500                 !</t>
  </si>
  <si>
    <t>22520                 !</t>
  </si>
  <si>
    <t>22540                     !</t>
  </si>
  <si>
    <t>22650              !</t>
  </si>
  <si>
    <t>22740                         !</t>
  </si>
  <si>
    <t>22760                       !</t>
  </si>
  <si>
    <t>22780                        !</t>
  </si>
  <si>
    <t>22860                       !</t>
  </si>
  <si>
    <t>22900                       !</t>
  </si>
  <si>
    <t>22920                           !</t>
  </si>
  <si>
    <t>23150                    !</t>
  </si>
  <si>
    <t>23170                           !</t>
  </si>
  <si>
    <t>23230                           !</t>
  </si>
  <si>
    <t>23280                           !</t>
  </si>
  <si>
    <t>23310                 !</t>
  </si>
  <si>
    <t>23390                      !</t>
  </si>
  <si>
    <t>23410                      !</t>
  </si>
  <si>
    <t>23490                      !</t>
  </si>
  <si>
    <t>23510                 !</t>
  </si>
  <si>
    <t>23530                      !</t>
  </si>
  <si>
    <t>23610                  !</t>
  </si>
  <si>
    <t>23630                  !</t>
  </si>
  <si>
    <t>23700                               !</t>
  </si>
  <si>
    <t>23720                  !</t>
  </si>
  <si>
    <t>23780                   !</t>
  </si>
  <si>
    <t>23800                           !</t>
  </si>
  <si>
    <t>23830                           !</t>
  </si>
  <si>
    <t>23850                           !</t>
  </si>
  <si>
    <t>23910                              !</t>
  </si>
  <si>
    <t>23920                !      ROUTINE PER VARIAZIONE DATI INTRODOTTI</t>
  </si>
  <si>
    <t>23930                !</t>
  </si>
  <si>
    <t>24040                 !      CALCOLO DEL RACCORDO COMPLETO IN TESTA ALL'UTENSILE</t>
  </si>
  <si>
    <t>24050                 !</t>
  </si>
  <si>
    <t>24130                      !</t>
  </si>
  <si>
    <t>24150               !</t>
  </si>
  <si>
    <t>24300                  !</t>
  </si>
  <si>
    <t>24310                  !     CALCOLO DEL MAX.RAGGIO ACCETTABILE IN TESTA ALL'UTENSILE</t>
  </si>
  <si>
    <t>24320                  !</t>
  </si>
  <si>
    <t>24380                           !</t>
  </si>
  <si>
    <t>24410               !    CALCOLO DEL Dnf1 GENERATO DALL'UTENSILE A SPIGOLI VIVI</t>
  </si>
  <si>
    <t>24420               !</t>
  </si>
  <si>
    <t>24440                           !</t>
  </si>
  <si>
    <t>24450                    !      VERIFICA DEL SOTTOSCAVO SUL PARTICOLARE DENTATO</t>
  </si>
  <si>
    <t>24460                    !</t>
  </si>
  <si>
    <t>24480                    !</t>
  </si>
  <si>
    <t>24490                 ! CALCOLO MINIMO SMUSSO/RAGGIO NECESSARIO PER EVITARE IL SOTTOSCAVO</t>
  </si>
  <si>
    <t>24500                 !</t>
  </si>
  <si>
    <t>24680                     !</t>
  </si>
  <si>
    <t>24720                           !</t>
  </si>
  <si>
    <t>24750                                   !</t>
  </si>
  <si>
    <t>24940                !</t>
  </si>
  <si>
    <t>24950               !            ADDENDUM EFFICACE UTENSILE</t>
  </si>
  <si>
    <t>24990                    !</t>
  </si>
  <si>
    <t>25010                !</t>
  </si>
  <si>
    <t>25030                           !</t>
  </si>
  <si>
    <t>25220                 !</t>
  </si>
  <si>
    <t>25370               !</t>
  </si>
  <si>
    <t>25390                          !</t>
  </si>
  <si>
    <t>25420                        !</t>
  </si>
  <si>
    <t>25430               !           STAMPA DIAMETRO DI FONDO</t>
  </si>
  <si>
    <t>25490                   !</t>
  </si>
  <si>
    <t>25500                          !</t>
  </si>
  <si>
    <t>25520                          !</t>
  </si>
  <si>
    <t>25650                   !</t>
  </si>
  <si>
    <t>25780               !</t>
  </si>
  <si>
    <t>25800                          !</t>
  </si>
  <si>
    <t>25830                          !</t>
  </si>
  <si>
    <t>25870                  !</t>
  </si>
  <si>
    <t>25890                               !</t>
  </si>
  <si>
    <t>26000                                 !</t>
  </si>
  <si>
    <t>26040                     !</t>
  </si>
  <si>
    <t>26060                     !</t>
  </si>
  <si>
    <t>26150                     !</t>
  </si>
  <si>
    <t>26270                !</t>
  </si>
  <si>
    <t>26350                   !</t>
  </si>
  <si>
    <t>26370                   !</t>
  </si>
  <si>
    <t>26430                         !</t>
  </si>
  <si>
    <t>26440                         !      CALCOLO RACCORDO COMPLETO TESTA UTENSILE CON PROTUBERANZA</t>
  </si>
  <si>
    <t>26450                         !</t>
  </si>
  <si>
    <t>26540                            !</t>
  </si>
  <si>
    <t>26570                            !</t>
  </si>
  <si>
    <t>26630                         !</t>
  </si>
  <si>
    <t>26710                         !</t>
  </si>
  <si>
    <t>26730                         !</t>
  </si>
  <si>
    <t>26820                            !</t>
  </si>
  <si>
    <t>26830                            !</t>
  </si>
  <si>
    <t>26870                   !</t>
  </si>
  <si>
    <t>26890                   !</t>
  </si>
  <si>
    <t>26910                   !</t>
  </si>
  <si>
    <t>26930                   !</t>
  </si>
  <si>
    <t>27010                   !</t>
  </si>
  <si>
    <t>27020                      !     CALCOLO DEL SOTTOSCAVO</t>
  </si>
  <si>
    <t>27030                      !</t>
  </si>
  <si>
    <t>27130                              !</t>
  </si>
  <si>
    <t>27150                    !</t>
  </si>
  <si>
    <t>27210                       !</t>
  </si>
  <si>
    <t>27250                         !</t>
  </si>
  <si>
    <t>27350                         !</t>
  </si>
  <si>
    <t>27520                         !</t>
  </si>
  <si>
    <t>27540                         !</t>
  </si>
  <si>
    <t>27560                         !</t>
  </si>
  <si>
    <t>27600                         !</t>
  </si>
  <si>
    <t>27620                         !</t>
  </si>
  <si>
    <t>27690                       !</t>
  </si>
  <si>
    <t>27730                         !</t>
  </si>
  <si>
    <t>27830                         !</t>
  </si>
  <si>
    <t>27850                 !</t>
  </si>
  <si>
    <t>27870                         !</t>
  </si>
  <si>
    <t>27890                         !</t>
  </si>
  <si>
    <t>27900                 !       ROUTINE PER VARIAZIONE DATI INTRODOTTI</t>
  </si>
  <si>
    <t>27920                         !</t>
  </si>
  <si>
    <t>28020                !</t>
  </si>
  <si>
    <t>28040                            !</t>
  </si>
  <si>
    <t>28150                !</t>
  </si>
  <si>
    <t>28170                      !</t>
  </si>
  <si>
    <t>28280                                 !</t>
  </si>
  <si>
    <t>28380                        !</t>
  </si>
  <si>
    <t>28410                      !</t>
  </si>
  <si>
    <t>28440                             !</t>
  </si>
  <si>
    <t>28710                    !</t>
  </si>
  <si>
    <t>28730                    !</t>
  </si>
  <si>
    <t>28980                    !</t>
  </si>
  <si>
    <t>29130               !              CALCOLO DIAMETRO BASE</t>
  </si>
  <si>
    <t>29140               !</t>
  </si>
  <si>
    <t>29160                !</t>
  </si>
  <si>
    <t>29180                !</t>
  </si>
  <si>
    <t>29210                !</t>
  </si>
  <si>
    <t>29220                !                STAMPA DIAMETRO BASE</t>
  </si>
  <si>
    <t>29340                      !</t>
  </si>
  <si>
    <t>29390                      !</t>
  </si>
  <si>
    <t>29430                   !</t>
  </si>
  <si>
    <t>29450                             !</t>
  </si>
  <si>
    <t>29500                             !</t>
  </si>
  <si>
    <t>29550                             !</t>
  </si>
  <si>
    <t>29570               !</t>
  </si>
  <si>
    <t>29680                      !</t>
  </si>
  <si>
    <t>29700                      !</t>
  </si>
  <si>
    <t>29890                      !</t>
  </si>
  <si>
    <t>29940                          !</t>
  </si>
  <si>
    <t>30010                          !</t>
  </si>
  <si>
    <t>30030                       !</t>
  </si>
  <si>
    <t>30090               !</t>
  </si>
  <si>
    <t>30120                                   !</t>
  </si>
  <si>
    <t>30140                                   !</t>
  </si>
  <si>
    <t>30170                                   !</t>
  </si>
  <si>
    <t>30220              !</t>
  </si>
  <si>
    <t>30240              !</t>
  </si>
  <si>
    <t>30260              !</t>
  </si>
  <si>
    <t>30300                          !</t>
  </si>
  <si>
    <t>30320              !</t>
  </si>
  <si>
    <t>30340                    !</t>
  </si>
  <si>
    <t>30400                              !</t>
  </si>
  <si>
    <t>30410               !      CALCOLO ADDENDUM REALE MOLA UTENSILE CON RAGGIO</t>
  </si>
  <si>
    <t>30420               !</t>
  </si>
  <si>
    <t>30440                          !</t>
  </si>
  <si>
    <t>30460                      !            CALCOLO DATI SEMITOPPING</t>
  </si>
  <si>
    <t>30470                      !</t>
  </si>
  <si>
    <t>30590                      !</t>
  </si>
  <si>
    <t>30600                      ! CALCOLO ADDENDUM REALE MOLA SEMITOPP.TEORICA CIRCONFERENZIALE</t>
  </si>
  <si>
    <t>30610                      !</t>
  </si>
  <si>
    <t>30660                      !</t>
  </si>
  <si>
    <t>30700                             !</t>
  </si>
  <si>
    <t>30710                             !  CALCOLO ERRORE SU DIAM.ATTACCO BISELLO</t>
  </si>
  <si>
    <t>30720                             !</t>
  </si>
  <si>
    <t>30770                         !</t>
  </si>
  <si>
    <t>30790                           !</t>
  </si>
  <si>
    <t>30820                           !</t>
  </si>
  <si>
    <t>30840                         !</t>
  </si>
  <si>
    <t>30850                !        CALCOLO ADDENDUM EFFICACE MOLA MINIMO RICHIESTO</t>
  </si>
  <si>
    <t>30860                !</t>
  </si>
  <si>
    <t>30910                          !</t>
  </si>
  <si>
    <t>30920               !         VERIFICA SUFFICIENZA ADDENDUM REALE MOLA</t>
  </si>
  <si>
    <t>30930               !</t>
  </si>
  <si>
    <t>31000                   !</t>
  </si>
  <si>
    <t>31010                   !          1) CASO UTENSILE CON RAGGIO</t>
  </si>
  <si>
    <t>31020                   !</t>
  </si>
  <si>
    <t>31070                            !</t>
  </si>
  <si>
    <t>31100                            !</t>
  </si>
  <si>
    <t>31120                            !</t>
  </si>
  <si>
    <t>31180                             !</t>
  </si>
  <si>
    <t>31210                                !</t>
  </si>
  <si>
    <t>31260                                   !</t>
  </si>
  <si>
    <t>31320                             !</t>
  </si>
  <si>
    <t>31370                      !</t>
  </si>
  <si>
    <t>31380                      !      2) CASO UTENSILE SEMITOPPING</t>
  </si>
  <si>
    <t>31390                      !</t>
  </si>
  <si>
    <t>31450                            !</t>
  </si>
  <si>
    <t>31480                            !</t>
  </si>
  <si>
    <t>31500                            !</t>
  </si>
  <si>
    <t>31610                         !</t>
  </si>
  <si>
    <t>31630                         !</t>
  </si>
  <si>
    <t>31640                         !     CONTROLLO DEL SOTTOSCAVO GENERATO DALLA MOLA</t>
  </si>
  <si>
    <t>31650                         !</t>
  </si>
  <si>
    <t>31670                         !</t>
  </si>
  <si>
    <t>31760                               !</t>
  </si>
  <si>
    <t>31780                               !</t>
  </si>
  <si>
    <t>31810                                  !</t>
  </si>
  <si>
    <t>31830                                       !</t>
  </si>
  <si>
    <t>31860                                       !</t>
  </si>
  <si>
    <t>31910               !</t>
  </si>
  <si>
    <t>31930               !</t>
  </si>
  <si>
    <t>31950               !</t>
  </si>
  <si>
    <t>31960               !     RICERCA AUTOMATICA deL VALORE ANG. MOLA</t>
  </si>
  <si>
    <t>32000                      !</t>
  </si>
  <si>
    <t>32040                     !</t>
  </si>
  <si>
    <t>32080                     !</t>
  </si>
  <si>
    <t>32130                                !</t>
  </si>
  <si>
    <t>32620               !   VISUALIZZAZIONE DEL DIAMETRO DI GENERAZIONE DELLA MOLA PER CONTROLLO</t>
  </si>
  <si>
    <t>32630               !</t>
  </si>
  <si>
    <t>32650                   !</t>
  </si>
  <si>
    <t>32750                   !</t>
  </si>
  <si>
    <t>32860                   !</t>
  </si>
  <si>
    <t>32890                   !</t>
  </si>
  <si>
    <t>32910                   !</t>
  </si>
  <si>
    <t>33140               !</t>
  </si>
  <si>
    <t>33160               !</t>
  </si>
  <si>
    <t>33240                   !</t>
  </si>
  <si>
    <t>33250                   ! NOV 1996</t>
  </si>
  <si>
    <t>33270                   !</t>
  </si>
  <si>
    <t>33290                   !</t>
  </si>
  <si>
    <t>33310                   !</t>
  </si>
  <si>
    <t>33330                   !</t>
  </si>
  <si>
    <t>33350                   !</t>
  </si>
  <si>
    <t>33370                   !</t>
  </si>
  <si>
    <t>33850                              !</t>
  </si>
  <si>
    <t>33870                              !</t>
  </si>
  <si>
    <t>33950                  !</t>
  </si>
  <si>
    <t>33960               !      SPESSORE E ADDENDUM CORDALI</t>
  </si>
  <si>
    <t>33970               !</t>
  </si>
  <si>
    <t>34010                      !</t>
  </si>
  <si>
    <t>34020               !               MISURA W SU K DENTI</t>
  </si>
  <si>
    <t>34030               !</t>
  </si>
  <si>
    <t>34130               !</t>
  </si>
  <si>
    <t>34140               !            STAMPA SPESSORI</t>
  </si>
  <si>
    <t>34230                   !</t>
  </si>
  <si>
    <t>34260                   !</t>
  </si>
  <si>
    <t>34410               !</t>
  </si>
  <si>
    <t>34460                                         !</t>
  </si>
  <si>
    <t>34490                                         !</t>
  </si>
  <si>
    <t>34520                                         !</t>
  </si>
  <si>
    <t>34540                                         !</t>
  </si>
  <si>
    <t>34620                  !</t>
  </si>
  <si>
    <t>34650                      !</t>
  </si>
  <si>
    <t>34660               !              CALCOLO DIAMETRO ATTACCO BISELLO</t>
  </si>
  <si>
    <t>34670               !</t>
  </si>
  <si>
    <t>34710                      !</t>
  </si>
  <si>
    <t>34760                      !</t>
  </si>
  <si>
    <t>34800                       !</t>
  </si>
  <si>
    <t>34820                         !</t>
  </si>
  <si>
    <t>34940                         !</t>
  </si>
  <si>
    <t>34980                      !</t>
  </si>
  <si>
    <t>35030                      !</t>
  </si>
  <si>
    <t>35060               !</t>
  </si>
  <si>
    <t>35080               !</t>
  </si>
  <si>
    <t>35110               !            STAMPA PASSI ELICA</t>
  </si>
  <si>
    <t>35120               !</t>
  </si>
  <si>
    <t>35200               !</t>
  </si>
  <si>
    <t>35220               !</t>
  </si>
  <si>
    <t>35240               ! RICERCA DATI PROFILO EPISCOPICO UTENSILE SU DIAMETRO DI GENERAZIONE MOLA</t>
  </si>
  <si>
    <t>35250               !</t>
  </si>
  <si>
    <t>35300                       !</t>
  </si>
  <si>
    <t>35320                       !</t>
  </si>
  <si>
    <t>35400                       !</t>
  </si>
  <si>
    <t>35420               !</t>
  </si>
  <si>
    <t>35440               !</t>
  </si>
  <si>
    <t>35470                       !</t>
  </si>
  <si>
    <t>35500                       !</t>
  </si>
  <si>
    <t>35530                       !</t>
  </si>
  <si>
    <t>35560                       !</t>
  </si>
  <si>
    <t>35590                       !</t>
  </si>
  <si>
    <t>35620                       !</t>
  </si>
  <si>
    <t>35640                       !</t>
  </si>
  <si>
    <t>35670                       !</t>
  </si>
  <si>
    <t>35700                       !</t>
  </si>
  <si>
    <t>35730                       !</t>
  </si>
  <si>
    <t>35760                       !</t>
  </si>
  <si>
    <t>35790                       !</t>
  </si>
  <si>
    <t>35820               !</t>
  </si>
  <si>
    <t>35840               !</t>
  </si>
  <si>
    <t>35860                            !</t>
  </si>
  <si>
    <t>35900                               !</t>
  </si>
  <si>
    <t>35920               !</t>
  </si>
  <si>
    <t>36000                       !</t>
  </si>
  <si>
    <t>36010                       ! STAMPA DIAM.DI FONDO A CUSPIDE</t>
  </si>
  <si>
    <t>36020                       !</t>
  </si>
  <si>
    <t>36080                                              !</t>
  </si>
  <si>
    <t>36120               !</t>
  </si>
  <si>
    <t>36140                       !</t>
  </si>
  <si>
    <t>36150               !  VARIAZIONE DI QUOTA DEI TAGLIENTI AFFILATI RISPETTO AL PIANO EPISCOPICO</t>
  </si>
  <si>
    <t>36160                       !</t>
  </si>
  <si>
    <t>36200                       !</t>
  </si>
  <si>
    <t>36210               !  VARIAZIONE DEGLI SPESSORI EPISCOPICI LEGATA ALLA VARIAZIONE DI QUOTA</t>
  </si>
  <si>
    <t>36220               !</t>
  </si>
  <si>
    <t>36250                       !</t>
  </si>
  <si>
    <t>36280                       !</t>
  </si>
  <si>
    <t>36320                       !</t>
  </si>
  <si>
    <t>36350                       !</t>
  </si>
  <si>
    <t>36370                       !</t>
  </si>
  <si>
    <t>36390                  !</t>
  </si>
  <si>
    <t>36410                       !</t>
  </si>
  <si>
    <t>36420               !       CALCOLO DIAMETRO ESTERNO EPISCOPICO</t>
  </si>
  <si>
    <t>36430               !</t>
  </si>
  <si>
    <t>36470               !</t>
  </si>
  <si>
    <t>36490                       !</t>
  </si>
  <si>
    <t>36500               !       CALCOLO DATI MOLA DI GENERAZIONE</t>
  </si>
  <si>
    <t>36510               !</t>
  </si>
  <si>
    <t>36550                         !</t>
  </si>
  <si>
    <t>36620                   !</t>
  </si>
  <si>
    <t>36690                  !</t>
  </si>
  <si>
    <t>36710                  !</t>
  </si>
  <si>
    <t>36720                  !     CALCOLO ALTEZZA PROTUBERANZA NELLA MOLA SUL PIANO EPISCOPICO</t>
  </si>
  <si>
    <t>36730                  !</t>
  </si>
  <si>
    <t>36750                  !</t>
  </si>
  <si>
    <t>36780                  !</t>
  </si>
  <si>
    <t>36800                  !     CALCOLO ANG. DI SCOSTAMENTO RAGGI DI TESTA SUL PIANO EPISCOPICO</t>
  </si>
  <si>
    <t>36810                        !</t>
  </si>
  <si>
    <t>36900                                   !</t>
  </si>
  <si>
    <t>36980                                   !</t>
  </si>
  <si>
    <t>37000                             !</t>
  </si>
  <si>
    <t>37020                             !</t>
  </si>
  <si>
    <t>37040                             !</t>
  </si>
  <si>
    <t>37060                 !</t>
  </si>
  <si>
    <t>37080                        !</t>
  </si>
  <si>
    <t>37140                       !</t>
  </si>
  <si>
    <t>37160                       !</t>
  </si>
  <si>
    <t>37200                             !</t>
  </si>
  <si>
    <t>37220                       !</t>
  </si>
  <si>
    <t>37240              !</t>
  </si>
  <si>
    <t>37250                       !    VIDEATA DEI DATI DI PROFILATURA</t>
  </si>
  <si>
    <t>37260                            !</t>
  </si>
  <si>
    <t>37290                            !</t>
  </si>
  <si>
    <t>37310                            !</t>
  </si>
  <si>
    <t>37330                 !</t>
  </si>
  <si>
    <t>37360                   !</t>
  </si>
  <si>
    <t>37380                           !</t>
  </si>
  <si>
    <t>37420                           !</t>
  </si>
  <si>
    <t>37450                           !</t>
  </si>
  <si>
    <t>37490                           !</t>
  </si>
  <si>
    <t>37520                           !</t>
  </si>
  <si>
    <t>37540                           !</t>
  </si>
  <si>
    <t>37580                           !</t>
  </si>
  <si>
    <t>37610                           !</t>
  </si>
  <si>
    <t>37650                           !</t>
  </si>
  <si>
    <t>37680                           !</t>
  </si>
  <si>
    <t>37730                           !</t>
  </si>
  <si>
    <t>37760                           !</t>
  </si>
  <si>
    <t>37790                           !</t>
  </si>
  <si>
    <t>37840                                      !</t>
  </si>
  <si>
    <t>37890                                      !</t>
  </si>
  <si>
    <t>37940                                      !</t>
  </si>
  <si>
    <t>37990                                      !</t>
  </si>
  <si>
    <t>38020                                      !</t>
  </si>
  <si>
    <t>38090                            !</t>
  </si>
  <si>
    <t>38110                            !</t>
  </si>
  <si>
    <t>38120                 !    CALCOLO DATI PER IL COLLAUDO</t>
  </si>
  <si>
    <t>38130                 !</t>
  </si>
  <si>
    <t>38170                 !</t>
  </si>
  <si>
    <t>38180                 !</t>
  </si>
  <si>
    <t>38200                 !</t>
  </si>
  <si>
    <t>38210                 !    DATI PER KLINGELNBERG PFSU 640</t>
  </si>
  <si>
    <t>38220                 !</t>
  </si>
  <si>
    <t>38350                                                  !</t>
  </si>
  <si>
    <t>38430                                       !</t>
  </si>
  <si>
    <t>38460                      !</t>
  </si>
  <si>
    <t>38470                                       !</t>
  </si>
  <si>
    <t>38480                 !    DATI PER MAAG PH 60</t>
  </si>
  <si>
    <t>38490                 !</t>
  </si>
  <si>
    <t>38520                 !</t>
  </si>
  <si>
    <t>38540                !</t>
  </si>
  <si>
    <t>38590                 !</t>
  </si>
  <si>
    <t>38620                 !</t>
  </si>
  <si>
    <t>38640                 !</t>
  </si>
  <si>
    <t>38700                                  !</t>
  </si>
  <si>
    <t>38760                !</t>
  </si>
  <si>
    <t>38780                !</t>
  </si>
  <si>
    <t>38810                 !</t>
  </si>
  <si>
    <t>38830                 !</t>
  </si>
  <si>
    <t>38850                 !</t>
  </si>
  <si>
    <t>38900                  !</t>
  </si>
  <si>
    <t>38910                !</t>
  </si>
  <si>
    <t>38930                !</t>
  </si>
  <si>
    <t>38950                                          !</t>
  </si>
  <si>
    <t>39000                !</t>
  </si>
  <si>
    <t>39030                                          !</t>
  </si>
  <si>
    <t>39080                               !</t>
  </si>
  <si>
    <t>39110                !</t>
  </si>
  <si>
    <t>39120                ! AGGIUNTI i SECONDI x ANG.EL. ELICOIDALI  il 14/12/90</t>
  </si>
  <si>
    <t>39160                !</t>
  </si>
  <si>
    <t>39220                !</t>
  </si>
  <si>
    <t>39270                 !</t>
  </si>
  <si>
    <t>39280                 !           VIDEATA DATI DI COLLAUDO</t>
  </si>
  <si>
    <t>39290                 !</t>
  </si>
  <si>
    <t>39310                       !</t>
  </si>
  <si>
    <t>39350                       !</t>
  </si>
  <si>
    <t>39390                       !</t>
  </si>
  <si>
    <t>39410                       !</t>
  </si>
  <si>
    <t>39460                 !</t>
  </si>
  <si>
    <t>39500                 !</t>
  </si>
  <si>
    <t>39520                             !</t>
  </si>
  <si>
    <t>39540                 !</t>
  </si>
  <si>
    <t>39570                       !</t>
  </si>
  <si>
    <t>39600                       !</t>
  </si>
  <si>
    <t>39630                       !</t>
  </si>
  <si>
    <t>39660                       !</t>
  </si>
  <si>
    <t>39690                       !</t>
  </si>
  <si>
    <t>39720                       !</t>
  </si>
  <si>
    <t>39760                             !</t>
  </si>
  <si>
    <t>39790                             !</t>
  </si>
  <si>
    <t>39820                             !</t>
  </si>
  <si>
    <t>39870                                       !</t>
  </si>
  <si>
    <t>39890                 !</t>
  </si>
  <si>
    <t>39920                       !</t>
  </si>
  <si>
    <t>39950                       !</t>
  </si>
  <si>
    <t>39980                       !</t>
  </si>
  <si>
    <t>40010                       !</t>
  </si>
  <si>
    <t>40040                       !</t>
  </si>
  <si>
    <t>40070                       !</t>
  </si>
  <si>
    <t>40090                  !</t>
  </si>
  <si>
    <t>40120                                  !</t>
  </si>
  <si>
    <t>40150                                  !</t>
  </si>
  <si>
    <t>40180                                  !</t>
  </si>
  <si>
    <t>40200                 !</t>
  </si>
  <si>
    <t>40220                 !</t>
  </si>
  <si>
    <t>46352        !@@@@@@@@@@@@@@@@@@@@@@@@@@@@@@@@@@@@@@@@@@@@@@@@@@@@@@@@@@@@@@@@@@@@@@@@@@@@@@@@@@@@@@@@@@@@@@@@@@@@@@@@@@@@@@@@@@@@@</t>
  </si>
  <si>
    <t>46353        !                     ricostruzione e aggiornamento files  AUTOCAD       may2002</t>
  </si>
  <si>
    <t>46354        !@@@@@@@@@@@@@@@@@@@@@@@@@@@@@@@@@@@@@@@@@@@@@@@@@@@@@@@@@@@@@@@@@@@@@@@@@@@@@@@@@@@@@@@@@@@@@@@@@@@@@@@@@@@@@@@@@@@@@</t>
  </si>
  <si>
    <t>46356              !</t>
  </si>
  <si>
    <t>46357        !@@@@@@@@@@@@@@@@@@@@@@@@@@@@@@@@@@@@@@@@@@@@@@@@@@@@@@@@@@@@@@@@@@@@@@@@@@@@@@@@@@@@@@@@@@@@@@@@@@@@@@@@@@@@@@@@@@@@@</t>
  </si>
  <si>
    <t>46358        !</t>
  </si>
  <si>
    <t>46382                      !</t>
  </si>
  <si>
    <t>46388                      !</t>
  </si>
  <si>
    <t>46450                          !</t>
  </si>
  <si>
    <t>46530                     !</t>
  </si>
  <si>
    <t>46560                     !</t>
  </si>
  <si>
    <t>46610                          !</t>
  </si>
  <si>
    <t>46660                          !</t>
  </si>
  <si>
    <t>46680                          !</t>
  </si>
  <si>
    <t>46880                 !</t>
  </si>
  <si>
    <t>47060                       !</t>
  </si>
  <si>
    <t>47160                       !</t>
  </si>
  <si>
    <t>47640                         !</t>
  </si>
  <si>
    <t>47700                   !</t>
  </si>
  <si>
    <t>47760                         !</t>
  </si>
  <si>
    <t>47780                         !</t>
  </si>
  <si>
    <t>47830                           !</t>
  </si>
  <si>
    <t>47870                           !</t>
  </si>
  <si>
    <t>47920                       !</t>
  </si>
  <si>
    <t>48460                      !</t>
  </si>
  <si>
    <t>48700                      !</t>
  </si>
  <si>
    <t>49120                      !</t>
  </si>
  <si>
    <t>49190                       !</t>
  </si>
  <si>
    <t>49210                         !</t>
  </si>
  <si>
    <t>49340                         !</t>
  </si>
  <si>
    <t>50090                         !</t>
  </si>
  <si>
    <t>50780                        !</t>
  </si>
  <si>
    <t>50810                       !</t>
  </si>
  <si>
    <t>50840                       !</t>
  </si>
  <si>
    <t>50860                       !</t>
  </si>
  <si>
    <t>50900                         !</t>
  </si>
  <si>
    <t>50940                       !</t>
  </si>
  <si>
    <t>51670                        !</t>
  </si>
  <si>
    <t>52220                       !</t>
  </si>
  <si>
    <t>52300                       !</t>
  </si>
  <si>
    <t>52360                 !</t>
  </si>
  <si>
    <t>52390           !</t>
  </si>
  <si>
    <t>52400        !@@@@@@@@@@@@@@@@@@@@@@@@@@@@@@@@@@@@@@@@@@@@@@@@@@@@@@@@@@@@@@@@@@@@@@@@@@@@@@@@@@@@@@@@@@@@@@@@@@@@@@@@@@@@@@@@@@@@@</t>
  </si>
  <si>
    <t>52410        !                     ricostruzione e aggiornamento files  AUTOCAD       may2002</t>
  </si>
  <si>
    <t>52420        !@@@@@@@@@@@@@@@@@@@@@@@@@@@@@@@@@@@@@@@@@@@@@@@@@@@@@@@@@@@@@@@@@@@@@@@@@@@@@@@@@@@@@@@@@@@@@@@@@@@@@@@@@@@@@@@@@@@@@</t>
  </si>
  <si>
    <t>52440              !</t>
  </si>
  <si>
    <t>52450        !@@@@@@@@@@@@@@@@@@@@@@@@@@@@@@@@@@@@@@@@@@@@@@@@@@@@@@@@@@@@@@@@@@@@@@@@@@@@@@@@@@@@@@@@@@@@@@@@@@@@@@@@@@@@@@@@@@@@@</t>
  </si>
  <si>
    <t>52520                 !</t>
  </si>
  <si>
    <t>52550               !</t>
  </si>
  <si>
    <t>52610                                  !</t>
  </si>
  <si>
    <t>52650                                  !</t>
  </si>
  <si>
    <t>52670                              !</t>
  </si>
  <si>
    <t>52710                                       !</t>
  </si>
  <si>
    <t>52730                              !</t>
  </si>
  <si>
    <t>52760                                       !</t>
  </si>
  <si>
    <t>52820                                       !</t>
  </si>
  <si>
    <t>52870                              !</t>
  </si>
  <si>
    <t>52910                                  !</t>
  </si>
  <si>
    <t>52950                                  !</t>
  </si>
  <si>
    <t>52970                              !</t>
  </si>
  <si>
    <t>53010                                       !</t>
  </si>
  <si>
    <t>53030                              !</t>
  </si>
  <si>
    <t>53060                                     !</t>
  </si>
  <si>
    <t>53120                                      !</t>
  </si>
  <si>
    <t>53170                              !</t>
  </si>
  <si>
    <t>53190                       !</t>
  </si>
  <si>
    <t>53210                              !</t>
  </si>
  <si>
    <t>53240                       !</t>
  </si>
  <si>
    <t>53260                 !</t>
  </si>
  <si>
    <t>53310                 !</t>
  </si>
  <si>
    <t>53330                  !</t>
  </si>
  <si>
    <t>53380                  !</t>
  </si>
  <si>
    <t>53400                                    !</t>
  </si>
  <si>
    <t>53420                  !</t>
  </si>
  <si>
    <t>53480                  !</t>
  </si>
  <si>
    <t>53500                  !ALLUNGATA la SAGOMA di  .1Mn | 15/6/90</t>
  </si>
  <si>
    <t>53550                  !</t>
  </si>
  <si>
    <t>53600                  !</t>
  </si>
  <si>
    <t>53620                    !</t>
  </si>
  <si>
    <t>53780                    !</t>
  </si>
  <si>
    <t>53890                               !</t>
  </si>
  <si>
    <t>53940                               !</t>
  </si>
  <si>
    <t>53950                       !</t>
  </si>
  <si>
    <t>53980                      !</t>
  </si>
  <si>
    <t>54120                      !</t>
  </si>
  <si>
    <t>54140                      !</t>
  </si>
  <si>
    <t>54200                      !</t>
  </si>
  <si>
    <t>54220                       !</t>
  </si>
  <si>
    <t>54470                          !</t>
  </si>
  <si>
    <t>54580                          !</t>
  </si>
  <si>
    <t>54850                           !</t>
  </si>
  <si>
    <t>54870                         !</t>
  </si>
  <si>
    <t>54890                        !</t>
  </si>
  <si>
    <t>54940                                     !</t>
  </si>
  <si>
    <t>55050                                     !</t>
  </si>
  <si>
    <t>55090                                                    !</t>
  </si>
  <si>
    <t>55280                                                             !</t>
  </si>
  <si>
    <t>55530                                      !</t>
  </si>
  <si>
    <t>55560                                                    !</t>
  </si>
  <si>
    <t>55640                                                    !</t>
  </si>
  <si>
    <t>55660                                                    !</t>
  </si>
  <si>
    <t>55800                                                                 !</t>
  </si>
  <si>
    <t>55870                                     !</t>
  </si>
  <si>
    <t>55900                                                  !</t>
  </si>
  <si>
    <t>55990                                                  !</t>
  </si>
  <si>
    <t>56100                                        !</t>
  </si>
  <si>
    <t>56170                                                         !</t>
  </si>
  <si>
    <t>56280                             !</t>
  </si>
  <si>
    <t>56300                        !</t>
  </si>
  <si>
    <t>56370                                            !</t>
  </si>
  <si>
    <t>56390                                                 !</t>
  </si>
  <si>
    <t>56500                                                 !</t>
  </si>
  <si>
    <t>56530                        !</t>
  </si>
  <si>
    <t>56600                        !</t>
  </si>
  <si>
    <t>56710                              !</t>
  </si>
  <si>
    <t>56730                        !</t>
  </si>
  <si>
    <t>56800               !</t>
  </si>
  <si>
    <t>56830                       !</t>
  </si>
  <si>
    <t>56860                       !</t>
  </si>
  <si>
    <t>56880                   !</t>
  </si>
  <si>
    <t>56950                    !</t>
  </si>
  <si>
    <t>56970                       !</t>
  </si>
  <si>
    <t>56990                       !</t>
  </si>
  <si>
    <t>57030                       !</t>
  </si>
  <si>
    <t>57050                       !</t>
  </si>
  <si>
    <t>57070                            !</t>
  </si>
  <si>
    <t>57280                           !</t>
  </si>
  <si>
    <t>57310                                  !</t>
  </si>
  <si>
    <t>57360                                  !</t>
  </si>
  <si>
    <t>57390                                  !</t>
  </si>
  <si>
    <t>57460                                  !</t>
  </si>
  <si>
    <t>57520                      !</t>
  </si>
  <si>
    <t>57630                      !</t>
  </si>
  <si>
    <t>57680                      !</t>
  </si>
  <si>
    <t>57700                      !</t>
  </si>
  <si>
    <t>57770                            !</t>
  </si>
  <si>
    <t>57830                        !</t>
  </si>
  <si>
    <t>57870                        !</t>
  </si>
  <si>
    <t>57890                        !</t>
  </si>
  <si>
    <t>57950                           !</t>
  </si>
  <si>
    <t>58030                     !</t>
  </si>
  <si>
    <t>58050                     !</t>
  </si>
  <si>
    <t>58090                     !</t>
  </si>
  <si>
    <t>58230                        !</t>
  </si>
  <si>
    <t>58250                        !</t>
  </si>
  <si>
    <t>58280                        !</t>
  </si>
  <si>
    <t>58300                        !</t>
  </si>
  <si>
    <t>58330                        !</t>
  </si>
  <si>
    <t>58350                        !</t>
  </si>
  <si>
    <t>58370                        !</t>
  </si>
  <si>
    <t>58390                        !</t>
  </si>
  <si>
    <t>58420                                !</t>
  </si>
  <si>
    <t>58540                            !</t>
  </si>
  <si>
    <t>58580                                       !</t>
  </si>
  <si>
    <t>58620                                   !</t>
  </si>
  <si>
    <t>58640                            !</t>
  </si>
  <si>
    <t>58670                                !</t>
  </si>
  <si>
    <t>58820                                       !</t>
  </si>
  <si>
    <t>58860                                   !</t>
  </si>
  <si>
    <t>58890                     !</t>
  </si>
  <si>
    <t>58940                                !</t>
  </si>
  <si>
    <t>59090                     !</t>
  </si>
  <si>
    <t>59110                     !</t>
  </si>
  <si>
    <t>59130                       !</t>
  </si>
  <si>
    <t>59160                       !</t>
  </si>
  <si>
    <t>59250                                              !</t>
  </si>
  <si>
    <t>59270                        !</t>
  </si>
  <si>
    <t>59310                        !</t>
  </si>
  <si>
    <t>59430                                              !</t>
  </si>
  <si>
    <t>59450                        !</t>
  </si>
  <si>
    <t>59490                        !</t>
  </si>
  <si>
    <t>59550                 !</t>
  </si>
  <si>
    <t>59650                        !</t>
  </si>
  <si>
    <t>59750                        !</t>
  </si>
  <si>
    <t>59820                        !</t>
  </si>
  <si>
    <t>59920                        !</t>
  </si>
  <si>
    <t>60160                               !</t>
  </si>
  <si>
    <t>60270                               !</t>
  </si>
  <si>
    <t>60360                                 !</t>
  </si>
  <si>
    <t>60470                                     !</t>
  </si>
  <si>
    <t>60580                                           !</t>
  </si>
  <si>
    <t>60720                   !</t>
  </si>
  <si>
    <t>60730                   !</t>
  </si>
  <si>
    <t>60740                   !</t>
  </si>
  <si>
    <t>60760                           !</t>
  </si>
  <si>
    <t>60770                           !</t>
  </si>
  <si>
    <t>60780              !    CONTROLLO del DWM0 sulle COORDINATE CARTESIANE</t>
  </si>
  <si>
    <t>60790              !</t>
  </si>
  <si>
    <t>60840                    !</t>
  </si>
  <si>
    <t>60920                           !</t>
  </si>
  <si>
    <t>60940                           !</t>
  </si>
  <si>
    <t>61020                  !</t>
  </si>
  <si>
    <t>61040                    !</t>
  </si>
  <si>
    <t>61100                    !</t>
  </si>
  <si>
    <t>61130                    !</t>
  </si>
  <si>
    <t>61190                                  !</t>
  </si>
  <si>
    <t>61210                                  !</t>
  </si>
  <si>
    <t>61240                           !</t>
  </si>
  <si>
    <t>61270                           !</t>
  </si>
  <si>
    <t>61280                  ! DIMENSIONAMENTO delle VARIABILI</t>
  </si>
  <si>
    <t>61290                           ! FIANCO  ALTO</t>
  </si>
  <si>
    <t>61300                           !</t>
  </si>
  <si>
    <t>61330                           !                        &gt; VALORI COORDINATA  RH_5</t>
  </si>
  <si>
    <t>61370                           !</t>
  </si>
  <si>
    <t>61390                           !</t>
  </si>
  <si>
    <t>61400                           !</t>
  </si>
  <si>
    <t>61430                           !</t>
  </si>
  <si>
    <t>61460                           !</t>
  </si>
  <si>
    <t>61470                           !</t>
  </si>
  <si>
    <t>61480                           ! FIANCO  BASSO</t>
  </si>
  <si>
    <t>61490                           !</t>
  </si>
  <si>
    <t>61520                           !                       &gt; VALORI COORDINATA  RT_5</t>
  </si>
  <si>
    <t>61560                           !</t>
  </si>
  <si>
    <t>61600                           !</t>
  </si>
  <si>
    <t>61630                           !</t>
  </si>
  <si>
    <t>61640                           !</t>
  </si>
  <si>
    <t>61650                           !</t>
  </si>
  <si>
    <t>61670                                !</t>
  </si>
  <si>
    <t>61680                   !   **********************************************************   !</t>
  </si>
  <si>
    <t>61690                   !</t>
  </si>
  <si>
    <t>61700                                !  CALCOLO primo RAGGIO  sul FIANCO ALTO</t>
  </si>
  <si>
    <t>61710                                !</t>
  </si>
  <si>
    <t>61730                                !</t>
  </si>
  <si>
    <t>61750                                !</t>
  </si>
  <si>
    <t>61770                                !</t>
  </si>
  <si>
    <t>61780                                !</t>
  </si>
  <si>
    <t>61790                                ! Ox_1h=Hx_1-Ra_1h  ! Coordinate  ASSE X</t>
  </si>
  <si>
    <t>61800                               !        ========&gt;&gt;&gt;&gt; VECCHIO STUDIO</t>
  </si>
  <si>
    <t>61810                                !Oz_1h=Hz_1        ! Coordinate  ASSE Z</t>
  </si>
  <si>
    <t>61820                               !</t>
  </si>
  <si>
    <t>61830                               !</t>
  </si>
  <si>
    <t>61840                               !  CALCOLO secondo RAGGIO sul FIANCO ALTO</t>
  </si>
  <si>
    <t>61850                               !</t>
  </si>
  <si>
    <t>61860                               !  Delta_h=ABS(ATN((Rhz_6-Frz_h)/(Rhx_6-Frx_h)))</t>
  </si>
  <si>
    <t>61870                               !</t>
  </si>
  <si>
    <t>61880                               !  Corda_2h=(Rhx_6-Frx_h)/COS(Delta_h)</t>
  </si>
  <si>
    <t>61890                               !</t>
  </si>
  <si>
    <t>61900                               !  Alfa_2h=(PI-(4*Gamma_h)-(2*Delta_h))</t>
  </si>
  <si>
    <t>61910                               !</t>
  </si>
  <si>
    <t>61920                               !</t>
  </si>
  <si>
    <t>61930                               !  Ra_2h=ABS(Corda_2h/(2*SIN(Alfa_2h/2)))</t>
  </si>
  <si>
    <t>61940                               !</t>
  </si>
  <si>
    <t>61950                               ! NUOVE FORMULE</t>
  </si>
  <si>
    <t>61960                               !</t>
  </si>
  <si>
    <t>61980                               !</t>
  </si>
  <si>
    <t>62000                               !</t>
  </si>
  <si>
    <t>62020                               !</t>
  </si>
  <si>
    <t>62040                               !</t>
  </si>
  <si>
    <t>62050                               !</t>
  </si>
  <si>
    <t>62060                               !  Ox_2h=(Hx_1-Ra_1h)-((Ra_2h-Ra_1h)*COS(2*Gamma_h))! Coordinate  ASSE X</t>
  </si>
  <si>
    <t>62070                   !           =======&gt;&gt;&gt;&gt;&gt;&gt;  VECCHIO STUDIO</t>
  </si>
  <si>
    <t>62080                               !  Oz_2h=Hz_1-((Ra_2h-Ra_1h)*(SIN(2*Gamma_h)))      ! Coordinate  ASSE Z</t>
  </si>
  <si>
    <t>62090                               !</t>
  </si>
  <si>
    <t>62150                               !</t>
  </si>
  <si>
    <t>62160              !        ******************************************************************</t>
  </si>
  <si>
    <t>62170              !        |  INTRODUZIONE NUOVE FORMULE con NUOVO STUDIO (Uguale A SIEMENS)|</t>
  </si>
  <si>
    <t>62180              !        |                 01 OTTOBRE 1996          FIANCO ALTO           |</t>
  </si>
  <si>
    <t>62190              !        ******************************************************************</t>
  </si>
  <si>
    <t>62200              !</t>
  </si>
  <si>
    <t>62210              !     ____________________________________________________________________</t>
  </si>
  <si>
    <t>62230                               !                                 COORDINATE RAGGIO GRANDE</t>
  </si>
  <si>
    <t>62250              !     _____________________________________________________________________</t>
  </si>
  <si>
    <t>62270                               !</t>
  </si>
  <si>
    <t>62280              !     _____________________________________________________________________</t>
  </si>
  <si>
    <t>62300                               !                                COORDINATE RAGGIO PICCOLO</t>
  </si>
  <si>
    <t>62320              !     _____________________________________________________________________</t>
  </si>
  <si>
    <t>62340              !                                COORDINATE PUNTO TAMG. (S) FRA I DUE RAGGI</t>
  </si>
  <si>
    <t>62360                               !</t>
  </si>
  <si>
    <t>62370              !                                NUOVI VALORI PUNTO RH6</t>
  </si>
  <si>
    <t>62400              !     _____________________________________________________________________</t>
  </si>
  <si>
    <t>62420                                !               COORDINATE DEDENDUM NUOVE</t>
  </si>
  <si>
    <t>62440              !     _____________________________________________________________________</t>
  </si>
  <si>
    <t>62450                                !</t>
  </si>
  <si>
    <t>62460                                !</t>
  </si>
  <si>
    <t>62470                    !   ******************************************************   !</t>
  </si>
  <si>
    <t>62480                                !</t>
  </si>
  <si>
    <t>62490                                !</t>
  </si>
  <si>
    <t>62500                                !  CALCOLO primo RAGGIO  sul FIANCO BASSO</t>
  </si>
  <si>
    <t>62510                                !</t>
  </si>
  <si>
    <t>62530                                !</t>
  </si>
  <si>
    <t>62550                                !</t>
  </si>
  <si>
    <t>62570                                !</t>
  </si>
  <si>
    <t>62580                                !</t>
  </si>
  <si>
    <t>62590                                !Ox_1t=Tx_1-Ra_1t  ! Coordinate  ASSE X</t>
  </si>
  <si>
    <t>62600                               !                     VECCHIO  STUDIO</t>
  </si>
  <si>
    <t>62610                                ! Oz_1t=Tz_1        ! Coordinate  ASSE Z</t>
  </si>
  <si>
    <t>62620                               !</t>
  </si>
  <si>
    <t>62630                               !</t>
  </si>
  <si>
    <t>62640                               !</t>
  </si>
  <si>
    <t>62650                               !  CALCOLO secondo RAGGIO sul FIANCO  BASSO</t>
  </si>
  <si>
    <t>62660                               !</t>
  </si>
  <si>
    <t>62670                               !  Delta_t=ABS(ATN((Rtz_6-Frz_t)/(Rtx_6-Frx_t)))</t>
  </si>
  <si>
    <t>62680                               !</t>
  </si>
  <si>
    <t>62690                               !  Corda_2t=(Rtx_6-Frx_t)/COS(Delta_t)</t>
  </si>
  <si>
    <t>62700                               !</t>
  </si>
  <si>
    <t>62710                               !  Alfa_2t=(PI-(4*Gamma_t)-(2*Delta_t))</t>
  </si>
  <si>
    <t>62720                               !</t>
  </si>
  <si>
    <t>62730                               !</t>
  </si>
  <si>
    <t>62740                               !  Ra_2t=ABS(Corda_2t/(2*SIN(Alfa_2t/2)))</t>
  </si>
  <si>
    <t>62750                               !</t>
  </si>
  <si>
    <t>62760                               !  NUOVE FORMULE</t>
  </si>
  <si>
    <t>62770                               !</t>
  </si>
  <si>
    <t>62790                               !</t>
  </si>
  <si>
    <t>62810                               !</t>
  </si>
  <si>
    <t>62830                               !</t>
  </si>
  <si>
    <t>62850                               !</t>
  </si>
  <si>
    <t>62860                               !</t>
  </si>
  <si>
    <t>62870                               !   Ox_2t=(Tx_1-Ra_1t)-((Ra_2t-Ra_1t)*COS(2*Gamma_t))! Coordinate  ASSE X</t>
  </si>
  <si>
    <t>62880                   !                                     VECCHIO  STUDIO</t>
  </si>
  <si>
    <t>62890                               !  Oz_2t=Tz_1+((Ra_2t-Ra_1t)*(SIN(2*Gamma_t)))        ! Coordinate  ASSE Z</t>
  </si>
  <si>
    <t>62900                               !</t>
  </si>
  <si>
    <t>62910                               !</t>
  </si>
  <si>
    <t>62920                               !</t>
  </si>
  <si>
    <t>62930              !        ******************************************************************</t>
  </si>
  <si>
    <t>62940              !        |  INTRODUZIONE NUOVE FORMULE con NUOVO STUDIO (Uguale A SIEMENS)|</t>
  </si>
  <si>
    <t>62950              !        |                 01 OTTOBRE 1996          FIANCO BASSO          |</t>
  </si>
  <si>
    <t>62960              !        ******************************************************************</t>
  </si>
  <si>
    <t>62970              !</t>
  </si>
  <si>
    <t>62980              !     ____________________________________________________________________</t>
  </si>
  <si>
    <t>63000                               !                                 COORDINATE RAGGIO GRANDE</t>
  </si>
  <si>
    <t>63020              !     _____________________________________________________________________</t>
  </si>
  <si>
    <t>63040                               !</t>
  </si>
  <si>
    <t>63050              !     _____________________________________________________________________</t>
  </si>
  <si>
    <t>63070                               !                                COORDINATE RAGGIO PICCOLO</t>
  </si>
  <si>
    <t>63090              !     _____________________________________________________________________</t>
  </si>
  <si>
    <t>63110              !                                COORDINATE PUNTO TAMG. (S) FRA I DUE RAGGI</t>
  </si>
  <si>
    <t>63130                               !</t>
  </si>
  <si>
    <t>63140              !                                NUOVI VALORI PUNTO RH6</t>
  </si>
  <si>
    <t>63170              !     _____________________________________________________________________</t>
  </si>
  <si>
    <t>63190                                !               COORDINATE DEDENDUM NUOVE</t>
  </si>
  <si>
    <t>63210              !     _____________________________________________________________________</t>
  </si>
  <si>
    <t>63220                                !</t>
  </si>
  <si>
    <t>63230                                !</t>
  </si>
  <si>
    <t>63240                                !</t>
  </si>
  <si>
    <t>63250                               !</t>
  </si>
  <si>
    <t>63260                               !</t>
  </si>
  <si>
    <t>63270                               !</t>
  </si>
  <si>
    <t>63280                 !***********  CONDIZIONE di CALCOLO del RAGGIO_H *************</t>
  </si>
  <si>
    <t>63290                 !</t>
  </si>
  <si>
    <t>63310                                         !</t>
  </si>
  <si>
    <t>63350                                         !</t>
  </si>
  <si>
    <t>63370                                         !</t>
  </si>
  <si>
    <t>63390                                         !</t>
  </si>
  <si>
    <t>63410                                         !</t>
  </si>
  <si>
    <t>63430                                         !</t>
  </si>
  <si>
    <t>63450                                         !</t>
  </si>
  <si>
    <t>63470                                         !</t>
  </si>
  <si>
    <t>63480                                         !</t>
  </si>
  <si>
    <t>63500                                         !</t>
  </si>
  <si>
    <t>63520                                         !</t>
  </si>
  <si>
    <t>63540                                         !</t>
  </si>
  <si>
    <t>63560                                         !</t>
  </si>
  <si>
    <t>63580                                         !</t>
  </si>
  <si>
    <t>63600                                         !</t>
  </si>
  <si>
    <t>63610                                         !</t>
  </si>
  <si>
    <t>63620              !___________------------------------------------------_________________</t>
  </si>
  <si>
    <t>63640                              !                         &gt; Coordinate del Punto 'A'</t>
  </si>
  <si>
    <t>63660              !____________-----------------------------------------________________</t>
  </si>
  <si>
    <t>63670                                         !</t>
  </si>
  <si>
    <t>63690                              !                         &gt; Coordinate del Punto 'O'</t>
  </si>
  <si>
    <t>63710                                         !</t>
  </si>
  <si>
    <t>63720              !____________----------------------------------------___________________</t>
  </si>
  <si>
    <t>63740                                         !                    &gt; Coordinate del Punto 'L'</t>
  </si>
  <si>
    <t>63760              !____________----------------------------------------____________________</t>
  </si>
  <si>
    <t>63770                              !</t>
  </si>
  <si>
    <t>63780                               !</t>
  </si>
  <si>
    <t>63790                               !</t>
  </si>
  <si>
    <t>63800                 !***********  CONDIZIONE di CALCOLO del RAGGIO_T *************</t>
  </si>
  <si>
    <t>63810                 !</t>
  </si>
  <si>
    <t>63820                                         !</t>
  </si>
  <si>
    <t>63830                                         !</t>
  </si>
  <si>
    <t>63850                                         !</t>
  </si>
  <si>
    <t>63870                                         !</t>
  </si>
  <si>
    <t>63890                                         !</t>
  </si>
  <si>
    <t>63910                                         !</t>
  </si>
  <si>
    <t>63930                                         !</t>
  </si>
  <si>
    <t>63950                                         !</t>
  </si>
  <si>
    <t>63960                                         !</t>
  </si>
  <si>
    <t>63980                                         !</t>
  </si>
  <si>
    <t>64000                                         !</t>
  </si>
  <si>
    <t>64020                                         !</t>
  </si>
  <si>
    <t>64040                                         !</t>
  </si>
  <si>
    <t>64060                                         !</t>
  </si>
  <si>
    <t>64080                                         !</t>
  </si>
  <si>
    <t>64090                                         !</t>
  </si>
  <si>
    <t>64100              !___________------------------------------------------_________________</t>
  </si>
  <si>
    <t>64120                              !                         &gt; Coordinate del Punto 'A'</t>
  </si>
  <si>
    <t>64140              !____________-----------------------------------------________________</t>
  </si>
  <si>
    <t>64150                                         !</t>
  </si>
  <si>
    <t>64170                              !                         &gt; Coordinate del Punto 'O'</t>
  </si>
  <si>
    <t>64190                                         !</t>
  </si>
  <si>
    <t>64200              !____________----------------------------------------___________________</t>
  </si>
  <si>
    <t>64220                                         !                    &gt; Coordinate del Punto 'L'</t>
  </si>
  <si>
    <t>64240              !____________----------------------------------------____________________</t>
  </si>
  <si>
    <t>64250                              !</t>
  </si>
  <si>
    <t>64300                               !</t>
  </si>
  <si>
    <t>64310                               !</t>
  </si>
  <si>
    <t>64320                               !</t>
  </si>
  <si>
    <t>64420                           !</t>
  </si>
  <si>
    <t>64460                           !</t>
  </si>
  <si>
    <t>64500                           !</t>
  </si>
  <si>
    <t>64520                        !</t>
  </si>
  <si>
    <t>64550                        !</t>
  </si>
  <si>
    <t>64560                        !</t>
  </si>
  <si>
    <t>64640                              !</t>
  </si>
  <si>
    <t>64710                        !</t>
  </si>
  <si>
    <t>64730                        !</t>
  </si>
  <si>
    <t>64750                    !</t>
  </si>
  <si>
    <t>64790                                        !</t>
  </si>
  <si>
    <t>64810                                ! DATI PUNTO ' A1'</t>
  </si>
  <si>
    <t>64900                                !</t>
  </si>
  <si>
    <t>64920                             !</t>
  </si>
  <si>
    <t>64930                                ! DATI  PUNTO 'A'</t>
  </si>
  <si>
    <t>65020                                                         !</t>
  </si>
  <si>
    <t>65110                                                    !</t>
  </si>
  <si>
    <t>65120                                                         ! DATI PUNTO 'L'</t>
  </si>
  <si>
    <t>65210                        !</t>
  </si>
  <si>
    <t>65220                        ! STAMPA VALORI del RAGGIO</t>
  </si>
  <si>
    <t>65230                                     !</t>
  </si>
  <si>
    <t>65300                                     !</t>
  </si>
  <si>
    <t>65320                                     !</t>
  </si>
  <si>
    <t>65330                        !</t>
  </si>
  <si>
    <t>65370                                   !</t>
  </si>
  <si>
    <t>65460                        !</t>
  </si>
  <si>
    <t>65560                        !</t>
  </si>
  <si>
    <t>65580                        !</t>
  </si>
  <si>
    <t>65670                        !</t>
  </si>
  <si>
    <t>65680                        !</t>
  </si>
  <si>
    <t>65700                        !          STAMPA COORDINATE R_1</t>
  </si>
  <si>
    <t>65710                        !</t>
  </si>
  <si>
    <t>65800                        !</t>
  </si>
  <si>
    <t>65890                        !</t>
  </si>
  <si>
    <t>65900                        !             STAMPA COORDINATE R_2</t>
  </si>
  <si>
    <t>65990                        !</t>
  </si>
  <si>
    <t>66000                        !            STAMPA FINE RAGGIO (Fr)</t>
  </si>
  <si>
    <t>66020                        !</t>
  </si>
  <si>
    <t>66100                        !</t>
  </si>
  <si>
    <t>66110                        !</t>
  </si>
  <si>
    <t>66190                        !</t>
  </si>
  <si>
    <t>66270                        !</t>
  </si>
  <si>
    <t>66290                        !</t>
  </si>
  <si>
    <t>66310                        !</t>
  </si>
  <si>
    <t>66410                                !</t>
  </si>
  <si>
    <t>66450                                  !</t>
  </si>
  <si>
    <t>66480                                  !</t>
  </si>
  <si>
    <t>66520                                  !</t>
  </si>
  <si>
    <t>66560                        !</t>
  </si>
  <si>
    <t>66610                                !</t>
  </si>
  <si>
    <t>66660                                !</t>
  </si>
  <si>
    <t>66680                                !</t>
  </si>
  <si>
    <t>66760                                 !</t>
  </si>
  <si>
    <t>66780                !</t>
  </si>
  <si>
    <t>66800                                !</t>
  </si>
  <si>
    <t>66810                 !</t>
  </si>
  <si>
    <t>66820                                                        ! STAMPA ANGOLI MOLA</t>
  </si>
  <si>
    <t>66830                                !</t>
  </si>
  <si>
    <t>66900                                !</t>
  </si>
  <si>
    <t>66950                                !</t>
  </si>
  <si>
    <t>67000                                !</t>
  </si>
  <si>
    <t>67020                  !</t>
  </si>
  <si>
    <t>67110                        !</t>
  </si>
  <si>
    <t>67220                        !</t>
  </si>
  <si>
    <t>67330                        !</t>
  </si>
  <si>
    <t>67350                                                   !</t>
  </si>
  <si>
    <t>67370                                                   !</t>
  </si>
  <si>
    <t>67390                                                   !</t>
  </si>
  <si>
    <t>67420                    !</t>
  </si>
  <si>
    <t>67430                                    !</t>
  </si>
  <si>
    <t>67450                        !</t>
  </si>
  <si>
    <t>67580                   !</t>
  </si>
  <si>
    <t>67590                   !</t>
  </si>
  <si>
    <t>67600                         !</t>
  </si>
  <si>
    <t>67650                        !</t>
  </si>
  <si>
    <t>67730                             !</t>
  </si>
  <si>
    <t>67740                             !</t>
  </si>
  <si>
    <t>67860                             !</t>
  </si>
  <si>
    <t>67870                             !</t>
  </si>
  <si>
    <t>67880                             !</t>
  </si>
  <si>
    <t>67950                             !</t>
  </si>
  <si>
    <t>67970                             !</t>
  </si>
  <si>
    <t>67990                             !</t>
  </si>
  <si>
    <t>68040                             !</t>
  </si>
  <si>
    <t>68060                             !</t>
  </si>
  <si>
    <t>68090                             !</t>
  </si>
  <si>
    <t>68110                             !</t>
  </si>
  <si>
    <t>68160                             !</t>
  </si>
  <si>
    <t>68200                             !</t>
  </si>
  <si>
    <t>68250                             !</t>
  </si>
  <si>
    <t>68280                             !</t>
  </si>
  <si>
    <t>68340                             !</t>
  </si>
  <si>
    <t>68370                             !</t>
  </si>
  <si>
    <t>68380                             !</t>
  </si>
  <si>
    <t>68390                             !  Stampa Tabellina tipo di profilo</t>
  </si>
  <si>
    <t>68400                             !</t>
  </si>
  <si>
    <t>68440                                          !</t>
  </si>
  <si>
    <t>68480                                          !</t>
  </si>
  <si>
    <t>68520                                          !</t>
  </si>
  <si>
    <t>68560                                          !</t>
  </si>
  <si>
    <t>68590                                          !</t>
  </si>
  <si>
    <t>68650                             !</t>
  </si>
  <si>
    <t>68700                             !</t>
  </si>
  <si>
    <t>68730                                      !</t>
  </si>
  <si>
    <t>68820                                !</t>
  </si>
  <si>
    <t>68840                                                     !</t>
  </si>
  <si>
    <t>68940                                                 !</t>
  </si>
  <si>
    <t>68950                                       !  FIANCO ALTO</t>
  </si>
  <si>
    <t>69000                                                             !</t>
  </si>
  <si>
    <t>69040                                                             !</t>
  </si>
  <si>
    <t>69090                               ! STAMPA RA1</t>
  </si>
  <si>
    <t>69130                                                             !</t>
  </si>
  <si>
    <t>69170                                                             !</t>
  </si>
  <si>
    <t>69210                                                             !</t>
  </si>
  <si>
    <t>69220                                     ! STAMPA RA2</t>
  </si>
  <si>
    <t>69260                                                        !</t>
  </si>
  <si>
    <t>69300                                                        !</t>
  </si>
  <si>
    <t>69340                                                        !</t>
  </si>
  <si>
    <t>69360                                                !</t>
  </si>
  <si>
    <t>69370                                       !  FIANCO BASSO</t>
  </si>
  <si>
    <t>69390                                                             !</t>
  </si>
  <si>
    <t>69450                                                             !</t>
  </si>
  <si>
    <t>69490                                                             !</t>
  </si>
  <si>
    <t>69550                               ! STAMPA RA1</t>
  </si>
  <si>
    <t>69590                                                             !</t>
  </si>
  <si>
    <t>69630                                                             !</t>
  </si>
  <si>
    <t>69680                                                             !</t>
  </si>
  <si>
    <t>69690                                  ! STAMPA RA2</t>
  </si>
  <si>
    <t>69730                                                   !</t>
  </si>
  <si>
    <t>69770                                                   !</t>
  </si>
  <si>
    <t>69850                                                     !</t>
  </si>
  <si>
    <t>69960                                                               !</t>
  </si>
  <si>
    <t>70070                                        !</t>
  </si>
  <si>
    <t>70190                        !</t>
  </si>
  <si>
    <t>70200                        ! STAMPA H2 &amp; T2</t>
  </si>
  <si>
    <t>70210                        !</t>
  </si>
  <si>
    <t>70250                                                  !</t>
  </si>
  <si>
    <t>70290                                                  !</t>
  </si>
  <si>
    <t>70340                                        !</t>
  </si>
  <si>
    <t>70390                                        !</t>
  </si>
  <si>
    <t>70400                        ! STAMPA LUNGH. TOTALE SAGOMA</t>
  </si>
  <si>
    <t>70460                                        !</t>
  </si>
  <si>
    <t>70510                                                  !</t>
  </si>
  <si>
    <t>70530                                        !</t>
  </si>
  <si>
    <t>70550                                        !</t>
  </si>
  <si>
    <t>70590                                        !</t>
  </si>
  <si>
    <t>70610                                                !</t>
  </si>
  <si>
    <t>70620                                                !</t>
  </si>
  <si>
    <t>70640                                                !</t>
  </si>
  <si>
    <t>70660                                                !</t>
  </si>
  <si>
    <t>70750                     !</t>
  </si>
  <si>
    <t>70790                     !</t>
  </si>
  <si>
    <t>70800                     !</t>
  </si>
  <si>
    <t>71140                           !</t>
  </si>
  <si>
    <t>71150              !  ##### PRG DI STAMPA DATI CNC SIEMENS - 12 MARZO 1996 -</t>
  </si>
  <si>
    <t>71160              !</t>
  </si>
  <si>
    <t>71210                !</t>
  </si>
  <si>
    <t>71250                !</t>
  </si>
  <si>
    <t>71410                              !</t>
  </si>
  <si>
    <t>71450                                   !</t>
  </si>
  <si>
    <t>71490                    !</t>
  </si>
  <si>
    <t>71530                     !</t>
  </si>
  <si>
    <t>71590                     ! DIMENSIONAMENTO DELLE VARIABILI</t>
  </si>
  <si>
    <t>71600                     !</t>
  </si>
  <si>
    <t>71610                     !</t>
  </si>
  <si>
    <t>71620                     !</t>
  </si>
  <si>
    <t>71650              !  ****** SUBROUTINE *************</t>
  </si>
  <si>
    <t>71670              !</t>
  </si>
  <si>
    <t>71760               ! ******* FINE SUBROUTINE *************</t>
  </si>
  <si>
    <t>71770               !</t>
  </si>
  <si>
    <t>71780              ! 06 NOV 96:INTRODUCIAMO la POSSIBILITA' di VARIARE L'ASSE ORIZZONTALE QUA_</t>
  </si>
  <si>
    <t>71790              ! ---------     NDO IL FIANCO BASSO E AL DI SOPRA di QUESTO.</t>
  </si>
  <si>
    <t>71800              !</t>
  </si>
  <si>
    <t>71820               !</t>
  </si>
  <si>
    <t>71940              !</t>
  </si>
  <si>
    <t>72000                                !</t>
  </si>
  <si>
    <t>72010              !      CONTROLLO TANGENZA di RA2_H</t>
  </si>
  <si>
    <t>72020                                !</t>
  </si>
  <si>
    <t>72050                                !</t>
  </si>
  <si>
    <t>72060              !                   PRIMA SOLUZIONE - PROCEDI TRANQUILLO</t>
  </si>
  <si>
    <t>72080                                !</t>
  </si>
  <si>
    <t>72140                                !</t>
  </si>
  <si>
    <t>72230                     !</t>
  </si>
  <si>
    <t>72340                     !</t>
  </si>
  <si>
    <t>72430              !      SEMISPESSORE della MOLA (TEORICO)</t>
  </si>
  <si>
    <t>72500               !</t>
  </si>
  <si>
    <t>72510               !</t>
  </si>
  <si>
    <t>72520              !      SEMISPESSORE FIANCO"</t>
  </si>
  <si>
    <t>72620              !      ADDENDUM MOLA</t>
  </si>
  <si>
    <t>72630              !</t>
  </si>
  <si>
    <t>72800                                                  !</t>
  </si>
  <si>
    <t>72890              !      DEDENDUM MOLA</t>
  </si>
  <si>
    <t>72970              !</t>
  </si>
  <si>
    <t>72990              ! ANGOLO di PRESSIONE ADDENDUM</t>
  </si>
  <si>
    <t>73050              ! ANGOLO di PRESSIONE DEDENDUM</t>
  </si>
  <si>
    <t>73110              !   SEMITOPPING</t>
  </si>
  <si>
    <t>73260              !   ANGOLO di PRESSIONE del SEMITOPPING</t>
  </si>
  <si>
    <t>73320              ! RAGGIO PIEDE MOLA</t>
  </si>
  <si>
    <t>73550              ! RAGGIO 1</t>
  </si>
  <si>
    <t>73610              ! RAGGIO 2</t>
  </si>
  <si>
    <t>73670              ! ANGOLO di USCITA</t>
  </si>
  <si>
    <t>73750              ! PROTUBERANZA</t>
  </si>
  <si>
    <t>73810              ! ALTEZZA INIZIO PROTUBERANZA</t>
  </si>
  <si>
    <t>73910              ! ANGOLO PROTUBERANZA</t>
  </si>
  <si>
    <t>73970              ! RAGGIO TESTA MOLA</t>
  </si>
  <si>
    <t>74080              !</t>
  </si>
  <si>
    <t>74140              !</t>
  </si>
  <si>
    <t>74190              !</t>
  </si>
  <si>
    <t>74260              !</t>
  </si>
  <si>
    <t>74270              !                  ######### FIANCO BASSO #########</t>
  </si>
  <si>
    <t>74290                     !</t>
  </si>
  <si>
    <t>74340                                !</t>
  </si>
  <si>
    <t>74350              !      CONTROLLO TANGENZA di RA2_T</t>
  </si>
  <si>
    <t>74360                                !</t>
  </si>
  <si>
    <t>74390              !                   PRIMA SOLUZIONE - PROCEDI TRANQUILLO</t>
  </si>
  <si>
    <t>74460                                !</t>
  </si>
  <si>
    <t>74540                     !</t>
  </si>
  <si>
    <t>74550                     !</t>
  </si>
  <si>
    <t>74560                     !</t>
  </si>
  <si>
    <t>74630              !      SEMISPESSORE della MOLA (TEORICO)</t>
  </si>
  <si>
    <t>74700              !      SEMISPESSORE FIANCO"</t>
  </si>
  <si>
    <t>74810              !      ADDENDUM MOLA</t>
  </si>
  <si>
    <t>74820              !</t>
  </si>
  <si>
    <t>74990                                                  !</t>
  </si>
  <si>
    <t>75080              !      DEDENDUM MOLA</t>
  </si>
  <si>
    <t>75170              ! ANGOLO di PRESSIONE ADDENDUM</t>
  </si>
  <si>
    <t>75230              ! ANGOLO di PRESSIONE DEDENDUM</t>
  </si>
  <si>
    <t>75290              !   SEMITOPPING</t>
  </si>
  <si>
    <t>75440              !   ANGOLO di PRESSIONE del SEMITOPPING</t>
  </si>
  <si>
    <t>75500              ! RAGGIO PIEDE MOLA</t>
  </si>
  <si>
    <t>75730              ! RAGGIO 1</t>
  </si>
  <si>
    <t>75790              ! RAGGIO 2</t>
  </si>
  <si>
    <t>75850              ! ANGOLO di USCITA</t>
  </si>
  <si>
    <t>75930              ! PROTUBERANZA</t>
  </si>
  <si>
    <t>75990              ! ALTEZZA INIZIO PROTUBERANZA</t>
  </si>
  <si>
    <t>76090              ! ANGOLO PROTUBERANZA</t>
  </si>
  <si>
    <t>76150              ! RAGGIO TESTA MOLA</t>
  </si>
  <si>
    <t>76260              !</t>
  </si>
  <si>
    <t>76320              !</t>
  </si>
  <si>
    <t>76380              !</t>
  </si>
  <si>
    <t>76440              !</t>
  </si>
  <si>
    <t>76460                                                 !</t>
  </si>
  <si>
    <t>76470                     !</t>
  </si>
  <si>
    <t>76480              !</t>
  </si>
  <si>
    <t>76500              !</t>
  </si>
  <si>
    <t>76510              !                  ######### FIANCO BASSO #########</t>
  </si>
  <si>
    <t>76530                     !</t>
  </si>
  <si>
    <t>76580                                !</t>
  </si>
  <si>
    <t>76590              !      CONTROLLO TANGENZA di RA2_T</t>
  </si>
  <si>
    <t>76600                                !</t>
  </si>
  <si>
    <t>76630              !                   PRIMA SOLUZIONE - PROCEDI TRANQUILLO</t>
  </si>
  <si>
    <t>76700                                !</t>
  </si>
  <si>
    <t>76780                     !</t>
  </si>
  <si>
    <t>76790                     !</t>
  </si>
  <si>
    <t>76800                     !</t>
  </si>
  <si>
    <t>76870              !      SEMISPESSORE della MOLA (TEORICO)</t>
  </si>
  <si>
    <t>76940              !      SEMISPESSORE FIANCO"</t>
  </si>
  <si>
    <t>77050              !      ADDENDUM MOLA</t>
  </si>
  <si>
    <t>77060              !</t>
  </si>
  <si>
    <t>77230                                                  !</t>
  </si>
  <si>
    <t>77320              !      DEDENDUM MOLA</t>
  </si>
  <si>
    <t>77410              ! ANGOLO di PRESSIONE ADDENDUM</t>
  </si>
  <si>
    <t>77470              ! ANGOLO di PRESSIONE DEDENDUM</t>
  </si>
  <si>
    <t>77530              !   SEMITOPPING</t>
  </si>
  <si>
    <t>77680              !   ANGOLO di PRESSIONE del SEMITOPPING</t>
  </si>
  <si>
    <t>77740              ! RAGGIO PIEDE MOLA</t>
  </si>
  <si>
    <t>77970              ! RAGGIO 1</t>
  </si>
  <si>
    <t>78030              ! RAGGIO 2</t>
  </si>
  <si>
    <t>78090              ! ANGOLO di USCITA</t>
  </si>
  <si>
    <t>78170              ! PROTUBERANZA</t>
  </si>
  <si>
    <t>78230              ! ALTEZZA INIZIO PROTUBERANZA</t>
  </si>
  <si>
    <t>78330              ! ANGOLO PROTUBERANZA</t>
  </si>
  <si>
    <t>78390              ! RAGGIO TESTA MOLA</t>
  </si>
  <si>
    <t>78500              !</t>
  </si>
  <si>
    <t>78560              !</t>
  </si>
  <si>
    <t>78620              !</t>
  </si>
  <si>
    <t>78690              !    **************************** FIANCO ALTO ***************************</t>
  </si>
  <si>
    <t>78750                                !</t>
  </si>
  <si>
    <t>78760              !      CONTROLLO TANGENZA di RA2_H</t>
  </si>
  <si>
    <t>78770                                !</t>
  </si>
  <si>
    <t>78800                                !</t>
  </si>
  <si>
    <t>78810              !                   PRIMA SOLUZIONE - PROCEDI TRANQUILLO</t>
  </si>
  <si>
    <t>78830                                !</t>
  </si>
  <si>
    <t>78890                                !</t>
  </si>
  <si>
    <t>78970                     !</t>
  </si>
  <si>
    <t>79060              !      SEMISPESSORE della MOLA (TEORICO)</t>
  </si>
  <si>
    <t>79130               !</t>
  </si>
  <si>
    <t>79140               !</t>
  </si>
  <si>
    <t>79150              !      SEMISPESSORE FIANCO"</t>
  </si>
  <si>
    <t>79250              !      ADDENDUM MOLA</t>
  </si>
  <si>
    <t>79260              !</t>
  </si>
  <si>
    <t>79430                                                  !</t>
  </si>
  <si>
    <t>79520              !      DEDENDUM MOLA</t>
  </si>
  <si>
    <t>79600              !</t>
  </si>
  <si>
    <t>79620              ! ANGOLO di PRESSIONE ADDENDUM</t>
  </si>
  <si>
    <t>79680              ! ANGOLO di PRESSIONE DEDENDUM</t>
  </si>
  <si>
    <t>79740              !   SEMITOPPING</t>
  </si>
  <si>
    <t>79890              !   ANGOLO di PRESSIONE del SEMITOPPING</t>
  </si>
  <si>
    <t>79950              ! RAGGIO PIEDE MOLA</t>
  </si>
  <si>
    <t>80180              ! RAGGIO 1</t>
  </si>
  <si>
    <t>80240              ! RAGGIO 2</t>
  </si>
  <si>
    <t>80300              ! ANGOLO di USCITA</t>
  </si>
  <si>
    <t>80380              ! PROTUBERANZA</t>
  </si>
  <si>
    <t>80440              ! ALTEZZA INIZIO PROTUBERANZA</t>
  </si>
  <si>
    <t>80540              ! ANGOLO PROTUBERANZA</t>
  </si>
  <si>
    <t>80600              ! RAGGIO TESTA MOLA</t>
  </si>
  <si>
    <t>80710              !</t>
  </si>
  <si>
    <t>80770              !</t>
  </si>
  <si>
    <t>80820              !</t>
  </si>
  <si>
    <t>80880              !</t>
  </si>
  <si>
    <t>80890               !</t>
  </si>
  <si>
    <t>80910                                                 !</t>
  </si>
  <si>
    <t>80920                     !</t>
  </si>
  <si>
    <t>81030               !</t>
  </si>
  <si>
    <t>81040                     !</t>
  </si>
  <si>
    <t>81090         !</t>
  </si>
  <si>
    <t>81110                 !</t>
  </si>
  <si>
    <t>81410                         !</t>
  </si>
  <si>
    <t>81430                         !</t>
  </si>
  <si>
    <t>81480                         !</t>
  </si>
  <si>
    <t>81500                         !</t>
  </si>
  <si>
    <t>81530                         !</t>
  </si>
  <si>
    <t>81580                         !</t>
  </si>
  <si>
    <t>81600                         !</t>
  </si>
  <si>
    <t>81620                         !</t>
  </si>
  <si>
    <t>81650                   !</t>
  </si>
  <si>
    <t>81770                   !</t>
  </si>
  <si>
    <t>81790                      !</t>
  </si>
  <si>
    <t>82510                   !</t>
  </si>
  <si>
    <t>82620                   !</t>
  </si>
  <si>
    <t>82670                       !</t>
  </si>
  <si>
    <t>82770                       !</t>
  </si>
  <si>
    <t>82780               !</t>
  </si>
  <si>
    <t>82800                     !</t>
  </si>
  <si>
    <t>82880                     !</t>
  </si>
  <si>
    <t>82900                     !</t>
  </si>
  <si>
    <t>83060                     ! 09 GEN 1996 AGGIUNTA SELEZIONE CODICE</t>
  </si>
  <si>
    <t>83070                     !</t>
  </si>
  <si>
    <t>83240                    !</t>
  </si>
  <si>
    <t>83360                      !</t>
  </si>
  <si>
    <t>83370                     ! 09 GEN 1996 AGGIUNTA SELEZIONE CODICE</t>
  </si>
  <si>
    <t>83380                     !</t>
  </si>
  <si>
    <t>83550                    !</t>
  </si>
  <si>
    <t>83670                       !</t>
  </si>
  <si>
    <t>83680                     ! 09 GEN 1996 AGGIUNTA SELEZIONE CODICE</t>
  </si>
  <si>
    <t>83690                     !</t>
  </si>
  <si>
    <t>83860                    !</t>
  </si>
  <si>
    <t>83990                      !</t>
  </si>
  <si>
    <t>84120                      !</t>
  </si>
  <si>
    <t>84180               !</t>
  </si>
  <si>
    <t>84200                     !</t>
  </si>
  <si>
    <t>84440                     !</t>
  </si>
  <si>
    <t>84460                     !</t>
  </si>
  <si>
    <t>84490                    !</t>
  </si>
  <si>
    <t>84520                    !</t>
  </si>
  <si>
    <t>84590              !</t>
  </si>
  <si>
    <t>84660              !</t>
  </si>
  <si>
    <t>84870              !</t>
  </si>
  <si>
    <t>84910                          !</t>
  </si>
  <si>
    <t>84950                          !</t>
  </si>
  <si>
    <t>84980                          !</t>
  </si>
  <si>
    <t>85050                     !</t>
  </si>
  <si>
    <t>85120                     !</t>
  </si>
  <si>
    <t>85200              !</t>
  </si>
  <si>
    <t>85250                          !</t>
  </si>
  <si>
    <t>85280                          !</t>
  </si>
  <si>
    <t>85300                          !</t>
  </si>
  <si>
    <t>85360                          !</t>
  </si>
  <si>
    <t>85420              !</t>
  </si>
  <si>
    <t>85500                          !</t>
  </si>
  <si>
    <t>85570                         !</t>
  </si>
  <si>
    <t>85600                   !</t>
  </si>
  <si>
    <t>85630                   !</t>
  </si>
  <si>
    <t>85660                   !</t>
  </si>
  <si>
    <t>85690                   !</t>
  </si>
  <si>
    <t>85710               !</t>
  </si>
  <si>
    <t>85730               !</t>
  </si>
  <si>
    <t>85770               !</t>
  </si>
  <si>
    <t>85870                     !</t>
  </si>
  <si>
    <t>85890                   !</t>
  </si>
  <si>
    <t>86000                                 !</t>
  </si>
  <si>
    <t>86020                             !</t>
  </si>
  <si>
    <t>86120                             !</t>
  </si>
  <si>
    <t>86210                          !</t>
  </si>
  <si>
    <t>86230                             !</t>
  </si>
  <si>
    <t>86320                          !</t>
  </si>
  <si>
    <t>86340                             !</t>
  </si>
  <si>
    <t>86440                             !</t>
  </si>
  <si>
    <t>86530                          !</t>
  </si>
  <si>
    <t>86550                             !</t>
  </si>
  <si>
    <t>86640                          !</t>
  </si>
  <si>
    <t>86660                             !</t>
  </si>
  <si>
    <t>86690                             !</t>
  </si>
  <si>
    <t>86730                             !</t>
  </si>
  <si>
    <t>86750                             !</t>
  </si>
  <si>
    <t>86790                             !</t>
  </si>
  <si>
    <t>86840                             !</t>
  </si>
  <si>
    <t>86880                  !</t>
  </si>
  <si>
    <t>86930                  !</t>
  </si>
  <si>
    <t>86950                           !</t>
  </si>
  <si>
    <t>86980                                    !</t>
  </si>
  <si>
    <t>87010                                    !</t>
  </si>
  <si>
    <t>87060                                    !</t>
  </si>
  <si>
    <t>87080                          !</t>
  </si>
  <si>
    <t>87130                    !</t>
  </si>
  <si>
    <t>87150                             !</t>
  </si>
  <si>
    <t>87170                   !</t>
  </si>
  <si>
    <t>87190                             !</t>
  </si>
  <si>
    <t>87210                             !</t>
  </si>
  <si>
    <t>87280                             !</t>
  </si>
  <si>
    <t>87300                                  !</t>
  </si>
  <si>
    <t>87440                                  !</t>
  </si>
  <si>
    <t>87540                                     !</t>
  </si>
  <si>
    <t>87610                                     !</t>
  </si>
  <si>
    <t>87650                   !</t>
  </si>
  <si>
    <t>87710                      !</t>
  </si>
  <si>
    <t>87760                      !</t>
  </si>
  <si>
    <t>87780                      !</t>
  </si>
  <si>
    <t>87800                      !</t>
  </si>
  <si>
    <t>87830                      !</t>
  </si>
  <si>
    <t>87850                      !</t>
  </si>
  <si>
    <t>87900                           !</t>
  </si>
  <si>
    <t>87950                           !</t>
  </si>
  <si>
    <t>87980                                      !</t>
  </si>
  <si>
    <t>88040                                      !</t>
  </si>
  <si>
    <t>88060                      !</t>
  </si>
  <si>
    <t>88080                                      !</t>
  </si>
  <si>
    <t>88150                                      !</t>
  </si>
  <si>
    <t>88170                                      !</t>
  </si>
  <si>
    <t>88200                            !</t>
  </si>
  <si>
    <t>88220                            !</t>
  </si>
  <si>
    <t>88300                                      !</t>
  </si>
  <si>
    <t>88350                                      !</t>
  </si>
  <si>
    <t>90660                         !</t>
  </si>
  <si>
    <t>90680                         !</t>
  </si>
  <si>
    <t>90700                         !</t>
  </si>
  <si>
    <t>90760                         !</t>
  </si>
  <si>
    <t>90860                         !</t>
  </si>
  <si>
    <t>90900                         !</t>
  </si>
  <si>
    <t>91630                    !</t>
  </si>
  <si>
    <t>91650                    !</t>
  </si>
  <si>
    <t>91690                    !</t>
  </si>
  <si>
    <t>91730                    !</t>
  </si>
  <si>
    <t>91770                    !</t>
  </si>
  <si>
    <t>91810                    !</t>
  </si>
  <si>
    <t>91850                    !</t>
  </si>
  <si>
    <t>91890                    !</t>
  </si>
  <si>
    <t>91920                    !</t>
  </si>
  <si>
    <t>91940                    !</t>
  </si>
  <si>
    <t>91970                         ! OFF KEY</t>
  </si>
  <si>
    <t>91980                         ! Plott=0</t>
  </si>
  <si>
    <t>92040                       ! PLOTTER IS 705,"HPGL"</t>
  </si>
  <si>
    <t>92050                       ! OUTPUT 705;"IN;IP 0,0,16158,11040;PS 0;VS 30;"</t>
  </si>
  <si>
    <t>92060                       ! PLOTTER IS 705,"HPGL"</t>
  </si>
  <si>
    <t>92240                                         ! AGGIUNTO il 28/6/90</t>
  </si>
  <si>
    <t>92280                                         !</t>
  </si>
  <si>
    <t>92320                                         !</t>
  </si>
  <si>
    <t>92350                                         !</t>
  </si>
  <si>
    <t>92380                                         !</t>
  </si>
  <si>
    <t>92420                    !</t>
  </si>
  <si>
    <t>92660                                               !</t>
  </si>
  <si>
    <t>92720                           !</t>
  </si>
  <si>
    <t>92820                           !</t>
  </si>
  <si>
    <t>92920                                         !</t>
  </si>
  <si>
    <t>92990                                                                    !</t>
  </si>
  <si>
    <t>93050                                                                    !</t>
  </si>
  <si>
    <t>93070                                                                    !</t>
  </si>
  <si>
    <t>93130                                                         !</t>
  </si>
  <si>
    <t>93150                                                    !</t>
  </si>
  <si>
    <t>93380                      !</t>
  </si>
  <si>
    <t>93680                             !</t>
  </si>
  <si>
    <t>93730                      !</t>
  </si>
  <si>
    <t>93930                           !</t>
  </si>
  <si>
    <t>94290                              !</t>
  </si>
  <si>
    <t>94300              !     INCISIONE DELLA CLASSE di TOLLERANZA</t>
  </si>
  <si>
    <t>94310                              !</t>
  </si>
  <si>
    <t>94380                              !</t>
  </si>
  <si>
    <t>94390                              !</t>
  </si>
  <si>
    <t>94630                                !</t>
  </si>
  <si>
    <t>94720                                !</t>
  </si>
  <si>
    <t>94770                      !</t>
  </si>
  <si>
    <t>94800                                !</t>
  </si>
  <si>
    <t>94820                            !</t>
  </si>
  <si>
    <t>95060                            !</t>
  </si>
  <si>
    <t>95270                            !</t>
  </si>
  <si>
    <t>95280                            !</t>
  </si>
  <si>
    <t>95300                            !</t>
  </si>
  <si>
    <t>95320                           !</t>
  </si>
  <si>
    <t>95340                           !</t>
  </si>
  <si>
    <t>96080                             !</t>
  </si>
  <si>
    <t>96150                              !</t>
  </si>
  <si>
    <t>96190                          !</t>
  </si>
  <si>
    <t>96230                          !</t>
  </si>
  <si>
    <t>96390                          !</t>
  </si>
  <si>
    <t>96440                                      !</t>
  </si>
  <si>
    <t>96480                                      !</t>
  </si>
  <si>
    <t>96520                          !</t>
  </si>
  <si>
    <t>96560                          !</t>
  </si>
  <si>
    <t>96580              !</t>
  </si>
  <si>
    <t>96660                                     !</t>
  </si>
  <si>
    <t>96870                              !</t>
  </si>
  <si>
    <t>96890                            !</t>
  </si>
  <si>
    <t>96980                              !</t>
  </si>
  <si>
    <t>97000                              !</t>
  </si>
  <si>
    <t>97010              !  OUTPUT 705;"VS 15;"</t>
  </si>
  <si>
    <t>97020                !</t>
  </si>
  <si>
    <t>97370               !</t>
  </si>
  <si>
    <t>97380                      !</t>
  </si>
  <si>
    <t>97430                      !</t>
  </si>
  <si>
    <t>97440                     ! OUTPUT 705;"VS 30;"</t>
  </si>
  <si>
    <t>97510                                                !</t>
  </si>
  <si>
    <t>97530                                                !</t>
  </si>
  <si>
    <t>97910                                             !</t>
  </si>
  <si>
    <t>97930                                             !</t>
  </si>
  <si>
    <t>97950               !</t>
  </si>
  <si>
    <t>97970                           !</t>
  </si>
  <si>
    <t>97990                               !</t>
  </si>
  <si>
    <t>98040                               !</t>
  </si>
  <si>
    <t>98060                           !</t>
  </si>
  <si>
    <t>98080                               !</t>
  </si>
  <si>
    <t>98100                     !</t>
  </si>
  <si>
    <t>98180                            !</t>
  </si>
  <si>
    <t>98290                                                       !</t>
  </si>
  <si>
    <t>98360                                          !</t>
  </si>
  <si>
    <t>98640                                                !</t>
  </si>
  <si>
    <t>99740                      !</t>
  </si>
  <si>
    <t>99770                      !</t>
  </si>
  <si>
    <t>99790                      !</t>
  </si>
  <si>
    <t>100110                                 !</t>
  </si>
  <si>
    <t>100120                 !     OUTPUT 705;"VS 30;"</t>
  </si>
  <si>
    <t>100205                      !</t>
  </si>
  <si>
    <t>100310               !</t>
  </si>
  <si>
    <t>100370                   ! MOVE P,66</t>
  </si>
  <si>
    <t>100380                   ! LABEL USING "3D.3D";Db0h_m</t>
  </si>
  <si>
    <t>100390                   ! MOVE P+2,60</t>
  </si>
  <si>
    <t>100400                   ! LABEL USING "DDD";Fha_h*1000</t>
  </si>
  <si>
    <t>100410                   ! MOVE P,54</t>
  </si>
  <si>
    <t>100420                   ! LABEL Aelb0h_m$</t>
  </si>
  <si>
    <t>100430                    !</t>
  </si>
  <si>
    <t>100480                    !MOVE P,24</t>
  </si>
  <si>
    <t>100490                    !LABEL USING "2D.4D";Alfa_e_h</t>
  </si>
  <si>
    <t>100540                    !</t>
  </si>
  <si>
    <t>100580                   ! MOVE P,66</t>
  </si>
  <si>
    <t>100590                   ! LABEL USING "3D.3D";Db0t_m</t>
  </si>
  <si>
    <t>100600                   ! MOVE P+2,60</t>
  </si>
  <si>
    <t>100610                   ! LABEL USING "DDD";Fha_t*1000</t>
  </si>
  <si>
    <t>100620                   ! MOVE P,54</t>
  </si>
  <si>
    <t>100630                   ! LABEL Aelb0t_m$</t>
  </si>
  <si>
    <t>100680                    !MOVE P,24</t>
  </si>
  <si>
    <t>100690                    !LABEL USING "2D.4D";Alfa_e_t</t>
  </si>
  <si>
    <t>100740                    !</t>
  </si>
  <si>
    <t>100760                     !</t>
  </si>
  <si>
    <t>100900                     ! INSERITO il 22/10/90</t>
  </si>
  <si>
    <t>100950                                     !</t>
  </si>
  <si>
    <t>101020                                     !</t>
  </si>
  <si>
    <t>101030                     !</t>
  </si>
  <si>
    <t>101040                     !</t>
  </si>
  <si>
    <t>101080                                        !</t>
  </si>
  <si>
    <t>101110                                                   !</t>
  </si>
  <si>
    <t>101130                                                   !</t>
  </si>
  <si>
    <t>101140                                                   !MOVE 91,109</t>
  </si>
  <si>
    <t>101150                                                   !LABEL "ANG.PRESS.ROTOL."</t>
  </si>
  <si>
    <t>101210                                                   !</t>
  </si>
  <si>
    <t>101240                                                   !MOVE 129.7+Sp,102.5+Sp</t>
  </si>
  <si>
    <t>101250                                                   !LABEL "Gr."</t>
  </si>
  <si>
    <t>101270                                                   !</t>
  </si>
  <si>
    <t>101300                         !</t>
  </si>
  <si>
    <t>101310  !</t>
  </si>
  <si>
    <t>101390                     !</t>
  </si>
  <si>
    <t>101470                     !</t>
  </si>
  <si>
    <t>101510                     !</t>
  </si>
  <si>
    <t>101600                     !</t>
  </si>
  <si>
    <t>101690                     !</t>
  </si>
  <si>
    <t>101710  !</t>
  </si>
  <si>
    <t>101820                     !</t>
  </si>
  <si>
    <t>101830                     !</t>
  </si>
  <si>
    <t>101880                            !</t>
  </si>
  <si>
    <t>102040                            !</t>
  </si>
  <si>
    <t>102090                                         !</t>
  </si>
  <si>
    <t>102200                              !</t>
  </si>
  <si>
    <t>102210                              !IF LEN(Base_rot$) THEN</t>
  </si>
  <si>
    <t>102220                               !                     MOVE 35+Sp,208+Sp</t>
  </si>
  <si>
    <t>102230                                !                    LABEL Base_rot$</t>
  </si>
  <si>
    <t>102240                             ! END IF</t>
  </si>
  <si>
    <t>102250                              !</t>
  </si>
  <si>
    <t>102260                              !IF Cerchio_rot THEN</t>
  </si>
  <si>
    <t>102270                               !                MOVE 31,202</t>
  </si>
  <si>
    <t>102280                                !               LABEL USING "K,DDD.DD";"[KD]-";Cerchio_rot</t>
  </si>
  <si>
    <t>102290                                !              MOVE 42,196</t>
  </si>
  <si>
    <t>102300                                  !             LABEL USING "DDD.DDD";Correz</t>
  </si>
  <si>
    <t>102310                             ! END IF</t>
  </si>
  <si>
    <t>102320                              !</t>
  </si>
  <si>
    <t>102440                              !</t>
  </si>
  <si>
    <t>102450                     !IF Dwm_nil THEN</t>
  </si>
  <si>
    <t>102460                      !               MOVE 30,148</t>
  </si>
  <si>
    <t>102470                       !              LABEL USING "DDD.DD";Dwm_nil</t>
  </si>
  <si>
    <t>102480                                     !</t>
  </si>
  <si>
    <t>102490                       !  IF Rotol_v THEN</t>
  </si>
  <si>
    <t>102500                                     !</t>
  </si>
  <si>
    <t>102510                        !         IF Rotol_rov_v THEN</t>
  </si>
  <si>
    <t>102520                         !                         MOVE 16,142</t>
  </si>
  <si>
    <t>102530                          !                        LABEL USING ".DDDDDD,K";Rotol_rov_v;"*"</t>
  </si>
  <si>
    <t>102540                           !                       MOVE 5,130</t>
  </si>
  <si>
    <t>102550                            !                      LABEL "* - ROTOL.ROVESCIATO"</t>
  </si>
  <si>
    <t>102560                             !    ELSE</t>
  </si>
  <si>
    <t>102570                              !                    MOVE 16,142</t>
  </si>
  <si>
    <t>102580                               !                   LABEL USING ".DDDDDD";Rotol_v</t>
  </si>
  <si>
    <t>102590                                ! END IF</t>
  </si>
  <si>
    <t>102600                         !END IF</t>
  </si>
  <si>
    <t>102610                                 !</t>
  </si>
  <si>
    <t>102620                         !IF Rotol THEN</t>
  </si>
  <si>
    <t>102630                                 !</t>
  </si>
  <si>
    <t>102640 !</t>
  </si>
  <si>
    <t>102650 !</t>
  </si>
  <si>
    <t>102660                          !       IF Rotol_rov THEN</t>
  </si>
  <si>
    <t>102670                           !                       MOVE 16,136</t>
  </si>
  <si>
    <t>102680                            !                      LABEL USING ".DDDDDD,K";Rotol_rov;"*"</t>
  </si>
  <si>
    <t>102690                             !                     MOVE 5,130</t>
  </si>
  <si>
    <t>102700                              !                    LABEL "* - ROTOL. ROVESCIATO"</t>
  </si>
  <si>
    <t>102710                               !  ELSE</t>
  </si>
  <si>
    <t>102720                                !                  MOVE 16,136</t>
  </si>
  <si>
    <t>102730                                 !                 LABEL USING ".DDDDDD";Rotol</t>
  </si>
  <si>
    <t>102740                                 !END IF</t>
  </si>
  <si>
    <t>102750                          !END IF</t>
  </si>
  <si>
    <t>102760                     !END IF</t>
  </si>
  <si>
    <t>102770                !</t>
  </si>
  <si>
    <t>102780                 !</t>
  </si>
  <si>
    <t>102890             !</t>
  </si>
  <si>
    <t>102900 !</t>
  </si>
  <si>
    <t>102910                !ASSIGN @Plot TO *! @@@@ CHISURA FILE  @@@@</t>
  </si>
  <si>
    <t>102930 !       COPY "c:\Programmi\HTBwin83\NEWPROG\tempdxf" TO " c:\Programmi\HTBwin83\NEWPROG\tempdxf.plt"</t>
  </si>
  <si>
    <t>102940  !      EXECUTE " C:\Programmi\HTBwin83\NEWPROG\plt2dxf.exe newdxf.plt newdxf.dxf"</t>
  </si>
  <si>
    <t>102950 !"     EXIT</t>
  </si>
  <si>
    <t>102960 !  *********************************************************************************************************</t>
  </si>
  <si>
    <t>102970 !  *********************************************************************************************************</t>
  </si>
  <si>
    <t>102980 !  *********************************************************************************************************</t>
  </si>
  <si>
    <t>102990 !  STAMPA AUTOMATICA del DISEGNO IN LINGUA DIVERSA SECONDO DISPOSIZIONI LIEBHERR    20 Mar 2004</t>
  </si>
  <si>
    <t>103000 !  *********************************************************************************************************</t>
  </si>
  <si>
    <t>103010 !  *********************************************************************************************************</t>
  </si>
  <si>
    <t>103020 !  *********************************************************************************************************</t>
  </si>
  <si>
    <t>103040 !</t>
  </si>
  <si>
    <t>103050 !</t>
  </si>
  <si>
    <t>103070                         !</t>
  </si>
  <si>
    <t>103130                         !</t>
  </si>
  <si>
    <t>103150                         !</t>
  </si>
  <si>
    <t>103160                         !</t>
  </si>
  <si>
    <t>103170                         !</t>
  </si>
  <si>
    <t>103190                         !</t>
  </si>
  <si>
    <t>103220                         !</t>
  </si>
  <si>
    <t>103250                         !</t>
  </si>
  <si>
    <t>103270 !</t>
  </si>
  <si>
    <t>103290  !</t>
  </si>
  <si>
    <t>103300  !</t>
  </si>
  <si>
    <t>103350 !</t>
  </si>
  <si>
    <t>103370        !</t>
  </si>
  <si>
    <t>103390        !</t>
  </si>
  <si>
    <t>103410    !</t>
  </si>
  <si>
    <t>103460    !</t>
  </si>
  <si>
    <t>103480  !</t>
  </si>
  <si>
    <t>103490  !</t>
  </si>
  <si>
    <t>103500    !</t>
  </si>
  <si>
    <t>103510    !</t>
  </si>
  <si>
    <t>103520    !</t>
  </si>
  <si>
    <t>103530 !      MATERIALE       !</t>
  </si>
  <si>
    <t>103580                                      !ON KEY 5 LABEL "M 42" GOTO A_42</t>
  </si>
  <si>
    <t>103630 !</t>
  </si>
  <si>
    <t>103710                           !Durezza$="65.5/67"</t>
  </si>
  <si>
    <t>103760                           !Durezza$="66.5/68"</t>
  </si>
  <si>
    <t>103810                           !Durezza$="63/64.5"</t>
  </si>
  <si>
    <t>103860                           !Durezza$="66/67"</t>
  </si>
  <si>
    <t>103910                           !Durezza$="64/65.5"</t>
  </si>
  <si>
    <t>104000                           !LINPUT "DIGITARE il GRADO di DUREZZA [Min/Max]",Durezza$</t>
  </si>
  <si>
    <t>104030 !       Rivestimento       !</t>
  </si>
  <si>
    <t>104110  !</t>
  </si>
  <si>
    <t>104160                           !</t>
  </si>
  <si>
    <t>104200                           !Durezza$="65.5/67"</t>
  </si>
  <si>
    <t>104250                           !Durezza$="66.5/68"</t>
  </si>
  <si>
    <t>104300                           !Durezza$="63/64.5"</t>
  </si>
  <si>
    <t>104350                                   !</t>
  </si>
  <si>
    <t>104360  !</t>
  </si>
  <si>
    <t>104370                           !</t>
  </si>
  <si>
    <t>104420                           !</t>
  </si>
  <si>
    <t>104480                           !</t>
  </si>
  <si>
    <t>104490 !</t>
  </si>
  <si>
    <t>104500 !</t>
  </si>
  <si>
    <t>104530              !PLOTTER IS "c:\Programmi\HTBwin83\NEWPROG\newdxf","HPGL;HPGL2",0,406,0,276</t>
  </si>
  <si>
    <t>104550                            !GINIT</t>
  </si>
  <si>
    <t>104560                            !GCLEAR</t>
  </si>
  <si>
    <t>104570                            !</t>
  </si>
  <si>
    <t>104590 !</t>
  </si>
  <si>
    <t>104640              !</t>
  </si>
  <si>
    <t>104690                !</t>
  </si>
  <si>
    <t>104740 !</t>
  </si>
  <si>
    <t>104800 !</t>
  </si>
  <si>
    <t>104850                                            !</t>
  </si>
  <si>
    <t>104890 !</t>
  </si>
  <si>
    <t>104900 !     STAMPA DATI INGRANAGGIO</t>
  </si>
  <si>
    <t>104970                                                 !</t>
  </si>
  <si>
    <t>104990                        !</t>
  </si>
  <si>
    <t>105000                        !</t>
  </si>
  <si>
    <t>105010                          !</t>
  </si>
  <si>
    <t>105070                                                                            !</t>
  </si>
  <si>
    <t>105130                        !+++</t>
  </si>
  <si>
    <t>105140                        !</t>
  </si>
  <si>
    <t>105160                        !</t>
  </si>
  <si>
    <t>105190                        !</t>
  </si>
  <si>
    <t>105230                        !</t>
  </si>
  <si>
    <t>105380                        !</t>
  </si>
  <si>
    <t>105550                        !</t>
  </si>
  <si>
    <t>105560                        !</t>
  </si>
  <si>
    <t>105570 !     STAMPA DATI UTENSILE</t>
  </si>
  <si>
    <t>105580 !</t>
  </si>
  <si>
    <t>105940                        !</t>
  </si>
  <si>
    <t>106010                        !</t>
  </si>
  <si>
    <t>106030                        !</t>
  </si>
  <si>
    <t>106090 !PRT BASI UTENSILE     !</t>
  </si>
  <si>
    <t>106110                        !</t>
  </si>
  <si>
    <t>106160                        !</t>
  </si>
  <si>
    <t>106170                        !</t>
  </si>
  <si>
    <t>106190                        !</t>
  </si>
  <si>
    <t>106210                        !</t>
  </si>
  <si>
    <t>106220                        !</t>
  </si>
  <si>
    <t>106280                        !</t>
  </si>
  <si>
    <t>106350                        !</t>
  </si>
  <si>
    <t>106370                        !</t>
  </si>
  <si>
    <t>106480                        !</t>
  </si>
  <si>
    <t>106510                        !</t>
  </si>
  <si>
    <t>106520  !   ******  CLASSE   ******</t>
  </si>
  <si>
    <t>106530                        !CSIZE 1.65,.55</t>
  </si>
  <si>
    <t>106610                                           !LABEL Classe$</t>
  </si>
  <si>
    <t>106630                        !</t>
  </si>
  <si>
    <t>106660                        !</t>
  </si>
  <si>
    <t>106690                        !</t>
  </si>
  <si>
    <t>106700                        !CSIZE 1.77,.75</t>
  </si>
  <si>
    <t>106710                        !</t>
  </si>
  <si>
    <t>106720   !      *********            COMPILAZIONE FIGURA GEOMETRICA          **********</t>
  </si>
  <si>
    <t>106730   !IF NOT LEN(Nienten$) THEN GOTO Class_materiale</t>
  </si>
  <si>
    <t>106760                                             !MOVE P,116.5+Sp</t>
  </si>
  <si>
    <t>106770                                             !LABEL USING "3D.2D";Da0</t>
  </si>
  <si>
    <t>106780                                             !</t>
  </si>
  <si>
    <t>106810                                             !</t>
  </si>
  <si>
    <t>106840                                             !</t>
  </si>
  <si>
    <t>106870                                             !</t>
  </si>
  <si>
    <t>106930                                             !</t>
  </si>
  <si>
    <t>106960                                             !</t>
  </si>
  <si>
    <t>106990                                             !</t>
  </si>
  <si>
    <t>107020                                             !</t>
  </si>
  <si>
    <t>107050                                             !</t>
  </si>
  <si>
    <t>107080                                             !</t>
  </si>
  <si>
    <t>107090                                             ! Fresature Gambo +  Conicità sul gambo</t>
  </si>
  <si>
    <t>107100                                             !</t>
  </si>
  <si>
    <t>107130                                             !</t>
  </si>
  <si>
    <t>107160                                             !</t>
  </si>
  <si>
    <t>107190                                             !</t>
  </si>
  <si>
    <t>107220                                             !</t>
  </si>
  <si>
    <t>107230                                                                                         !</t>
  </si>
  <si>
    <t>107280                                       !</t>
  </si>
  <si>
    <t>107380                          !</t>
  </si>
  <si>
    <t>107390 !</t>
  </si>
  <si>
    <t>107410                                       !Collarino$="Indicating band"</t>
  </si>
  <si>
    <t>107430                                       !</t>
  </si>
  <si>
    <t>107530                                       !</t>
  </si>
  <si>
    <t>107550                                       !Collarino$="Collerette de contrôle"</t>
  </si>
  <si>
    <t>107570                                       !</t>
  </si>
  <si>
    <t>107660                                       !</t>
  </si>
  <si>
    <t>107710                                       !</t>
  </si>
  <si>
    <t>107740                                       !</t>
  </si>
  <si>
    <t>107750 !</t>
  </si>
  <si>
    <t>107780                                             !</t>
  </si>
  <si>
    <t>107910                                             !CSIZE 1.77,.65</t>
  </si>
  <si>
    <t>107950                                             !</t>
  </si>
  <si>
    <t>107970                                             !</t>
  </si>
  <si>
    <t>107980                                             !LDIR PI/2</t>
  </si>
  <si>
    <t>108000                                             !</t>
  </si>
  <si>
    <t>108030                                             !</t>
  </si>
  <si>
    <t>108040                                             !LDIR PI/2</t>
  </si>
  <si>
    <t>108050                                             !</t>
  </si>
  <si>
    <t>108120                                             !</t>
  </si>
  <si>
    <t>108140                        !</t>
  </si>
  <si>
    <t>108150   !     *************   STAMPA INCISIONI      *********************************</t>
  </si>
  <si>
    <t>108160   !</t>
  </si>
  <si>
    <t>108180                        !</t>
  </si>
  <si>
    <t>108250                        !</t>
  </si>
  <si>
    <t>108290                        !</t>
  </si>
  <si>
    <t>108300                        !</t>
  </si>
  <si>
    <t>108310   !      *************  COLLARINO e CHIAVETTE e DATA di STAMPA ****************</t>
  </si>
  <si>
    <t>108320   !</t>
  </si>
  <si>
    <t>108340           !</t>
  </si>
  <si>
    <t>108360                          !</t>
  </si>
  <si>
    <t>108450                 !</t>
  </si>
  <si>
    <t>108460           !</t>
  </si>
  <si>
    <t>108470   !</t>
  </si>
  <si>
    <t>108480   !+</t>
  </si>
  <si>
    <t>108500                        !</t>
  </si>
  <si>
    <t>108580                        !</t>
  </si>
  <si>
    <t>108630                                     !</t>
  </si>
  <si>
    <t>108650                        !            !</t>
  </si>
  <si>
    <t>108670           !</t>
  </si>
  <si>
    <t>108690                       !</t>
  </si>
  <si>
    <t>108760                 !</t>
  </si>
  <si>
    <t>108790                        !</t>
  </si>
  <si>
    <t>108840                               !</t>
  </si>
  <si>
    <t>108910                 !</t>
  </si>
  <si>
    <t>108930             !</t>
  </si>
  <si>
    <t>108950                        !</t>
  </si>
  <si>
    <t>109000                               !</t>
  </si>
  <si>
    <t>109090             !</t>
  </si>
  <si>
    <t>109110                             !</t>
  </si>
  <si>
    <t>109220                  !</t>
  </si>
  <si>
    <t>109240                !</t>
  </si>
  <si>
    <t>109260            !</t>
  </si>
  <si>
    <t>109310                                !</t>
  </si>
  <si>
    <t>109360                                !Caratt_ut$=" KEYWAY aligned on Tooth within "</t>
  </si>
  <si>
    <t>109390                 !</t>
  </si>
  <si>
    <t>109410              !</t>
  </si>
  <si>
    <t>109430                                            !</t>
  </si>
  <si>
    <t>109480                                 !Caratt_ut$=" Quernut Mittigkeit zuer Luecke "</t>
  </si>
  <si>
    <t>109490                                 !</t>
  </si>
  <si>
    <t>109540                                 !Caratt_ut$=" KEYWAY aligned on Space within "</t>
  </si>
  <si>
    <t>109570                 !</t>
  </si>
  <si>
    <t>109580                          !</t>
  </si>
  <si>
    <t>109620                     !</t>
  </si>
  <si>
    <t>109630                ! IF Lingua$="TEDESCO" THEN</t>
  </si>
  <si>
    <t>109650                ! END IF</t>
  </si>
  <si>
    <t>109660                                                            !</t>
  </si>
  <si>
    <t>109670                 !     LABEL USING "K,K,K,K,K";Amp_ch$," x ",Prof_ch$,Caratt_ut$,Coass_ch$</t>
  </si>
  <si>
    <t>109690                                     !</t>
  </si>
  <si>
    <t>109740                         !</t>
  </si>
  <si>
    <t>109750   !      *********            COMPILAZIONE FIGURA DENTE          **********</t>
  </si>
  <si>
    <t>109760 !16</t>
  </si>
  <si>
    <t>109770 !</t>
  </si>
  <si>
    <t>109790                        !</t>
  </si>
  <si>
    <t>109820                        !LDIR PI/2</t>
  </si>
  <si>
    <t>109830                        !LORG 0</t>
  </si>
  <si>
    <t>109860                        !</t>
  </si>
  <si>
    <t>109880                        !</t>
  </si>
  <si>
    <t>109900                        !</t>
  </si>
  <si>
    <t>109950                                   !LABEL USING "K,D.3D";"Protub.";Prtz</t>
  </si>
  <si>
    <t>109960                                   !LDIR 1.780</t>
  </si>
  <si>
    <t>109970                                   !MOVE 357+Sp,150.5+Sp</t>
  </si>
  <si>
    <t>109980                                   !LABEL USING "D.2D";H_ra0</t>
  </si>
  <si>
    <t>110000                        !</t>
  </si>
  <si>
    <t>110050                                                       !MOVE 137+Sp,50+Sp</t>
  </si>
  <si>
    <t>110070                                                       !</t>
  </si>
  <si>
    <t>110080                                                       !MOVE 136+Sp,47+Sp</t>
  </si>
  <si>
    <t>110090                                                       !LABEL "Topping"</t>
  </si>
  <si>
    <t>110110                          !</t>
  </si>
  <si>
    <t>110140                          !</t>
  </si>
  <si>
    <t>110160                                    !LDIR .34907</t>
  </si>
  <si>
    <t>110190                                    !CSIZE 1.4,.5</t>
  </si>
  <si>
    <t>110200                                    !MOVE 142+Sp,40+Sp</t>
  </si>
  <si>
    <t>110210                                    !LABEL Toll_hk0$</t>
  </si>
  <si>
    <t>110240                                    !</t>
  </si>
  <si>
    <t>110330                           !</t>
  </si>
  <si>
    <t>110360                           !</t>
  </si>
  <si>
    <t>110380                           !</t>
  </si>
  <si>
    <t>110520                            !</t>
  </si>
  <si>
    <t>110640                            !</t>
  </si>
  <si>
    <t>110650 ! STAMPA CARATTERISTICHE UTENSILE</t>
  </si>
  <si>
    <t>110660                                 !</t>
  </si>
  <si>
    <t>110690                                                !Tip_colt$="DISCO"</t>
  </si>
  <si>
    <t>110710                                                !</t>
  </si>
  <si>
    <t>110730                                                !</t>
  </si>
  <si>
    <t>110800                                                !</t>
  </si>
  <si>
    <t>110840                                                !</t>
  </si>
  <si>
    <t>110970                                                !</t>
  </si>
  <si>
    <t>111010                                                !</t>
  </si>
  <si>
    <t>111050                                                !</t>
  </si>
  <si>
    <t>111090                                                !</t>
  </si>
  <si>
    <t>111380                                 !</t>
  </si>
  <si>
    <t>111390 ! STAMPA DELLA AFFILATURA GRADINATA</t>
  </si>
  <si>
    <t>111400 !</t>
  </si>
  <si>
    <t>111410 !</t>
  </si>
  <si>
    <t>111430              !</t>
  </si>
  <si>
    <t>111440              !</t>
  </si>
  <si>
    <t>111460              !  OUTPUT 705;"VS 15;"</t>
  </si>
  <si>
    <t>111470                !</t>
  </si>
  <si>
    <t>111490                           !</t>
  </si>
  <si>
    <t>111840               !</t>
  </si>
  <si>
    <t>111850                      !</t>
  </si>
  <si>
    <t>111900                      !</t>
  </si>
  <si>
    <t>111910                     ! OUTPUT 705;"VS 30;"</t>
  </si>
  <si>
    <t>111980                                                !</t>
  </si>
  <si>
    <t>112000                                                !</t>
  </si>
  <si>
    <t>112380                                             !</t>
  </si>
  <si>
    <t>112400                                             !</t>
  </si>
  <si>
    <t>112440                                             !MOVE P,223.5</t>
  </si>
  <si>
    <t>112450                                                     !</t>
  </si>
  <si>
    <t>112460                        !</t>
  </si>
  <si>
    <t>112480             !</t>
  </si>
  <si>
    <t>112500 !</t>
  </si>
  <si>
    <t>112520             !</t>
  </si>
  <si>
    <t>112655                 !</t>
  </si>
  <si>
    <t>112656                 !</t>
  </si>
  <si>
    <t>112658                 !</t>
  </si>
  <si>
    <t>112690                         !</t>
  </si>
  <si>
    <t>112700                    !</t>
  </si>
  <si>
    <t>112730                    !</t>
  </si>
  <si>
    <t>112770                    !</t>
  </si>
  <si>
    <t>112820                    !</t>
  </si>
  <si>
    <t>112840                        !</t>
  </si>
  <si>
    <t>112850              !     @@@@@@@@@@@@@@@@@@@@@@@@@@@@@@@@@@@@@@@@@@@@@@@@@@@@@@@@@@@@@@@@2</t>
  </si>
  <si>
    <t>112890                          !</t>
  </si>
  <si>
    <t>112930                          !</t>
  </si>
  <si>
    <t>112980                          !</t>
  </si>
  <si>
    <t>113030                          !</t>
  </si>
  <si>
    <t>113040              !     @@@@@@@@@@@@@@@@@@@@@@@@@@@@@@@@@@@@@@@@@@@@@@@@@@@@@@@@@@@@@@</t>
  </si>
  <si>
    <t>113050              !</t>
  </si>
  <si>
    <t>113140                          !</t>
  </si>
  <si>
    <t>113150                          !</t>
  </si>
  <si>
    <t>113160              !    ###############################################################</t>
  </si>
  <si>
    <t>113340                          !</t>
  </si>
  <si>
    <t>113350                          !</t>
  </si>
  <si>
    <t>113370                          !</t>
  </si>
  <si>
    <t>113380              !      @@@@@@@@@@@@@@@@@@@@@@@@@@@@@@@@@@@@@@@@@@@@@@@@@@@@@@@@@2</t>
  </si>
  <si>
    <t>113390              !</t>
  </si>
  <si>
    <t>113420                          !</t>
  </si>
  <si>
    <t>113490                                        !</t>
  </si>
  <si>
    <t>113570                          !</t>
  </si>
  <si>
    <t>113620                          !</t>
  </si>
  <si>
    <t>113660                              !</t>
  </si>
  <si>
    <t>113700                              !</t>
  </si>
  <si>
    <t>113770                          !</t>
  </si>
  <si>
    <t>113790                       !                                       ==========================</t>
  </si>
  <si>
    <t>113810                       !</t>
  </si>
  <si>
    <t>113820               !</t>
  </si>
  <si>
    <t>113840                     !</t>
  </si>
  <si>
    <t>113900                     !</t>
  </si>
  <si>
    <t>113920                     !</t>
  </si>
  <si>
    <t>114230                   !</t>
  </si>
  <si>
    <t>114250                               !</t>
  </si>
  <si>
    <t>114300                                                       !</t>
  </si>
  <si>
    <t>114350                                                       !</t>
  </si>
  <si>
    <t>114400                                                       !</t>
  </si>
  <si>
    <t>114450                                                       !</t>
  </si>
  <si>
    <t>114500                                                       !</t>
  </si>
  <si>
    <t>114550                          !</t>
  </si>
  <si>
    <t>114560              !      @@@@@@@@@@@@@@@@@@@@@@@@@@@@@@@@@@@@@@@@@@@@@@@@@@@@@@@@@@@@@@</t>
  </si>
  <si>
    <t>114570              !</t>
  </si>
  <si>
    <t>114640                          !</t>
  </si>
  <si>
    <t>114700                          !</t>
  </si>
  <si>
    <t>114800                          !</t>
  </si>
  <si>
    <t>114910                          !</t>
  </si>
  <si>
    <t>114970                          !</t>
  </si>
  <si>
    <t>115080                          !</t>
  </si>
  <si>
    <t>115190                          !</t>
  </si>
  <si>
    <t>115250                          !</t>
  </si>
  <si>
    <t>115290                              !</t>
  </si>
  <si>
    <t>115330                              !</t>
  </si>
  <si>
    <t>115370                              !</t>
  </si>
  <si>
    <t>115410                          !</t>
  </si>
  <si>
    <t>115420              !      @@@@@@@@@@@@@@@@@@@@@@@@@@@@@@@@@@@@@@@@@@@@@@@@@@@@@@@@@@@@@@</t>
  </si>
  <si>
    <t>115500                          !</t>
  </si>
  <si>
    <t>115520                          !</t>
  </si>
  <si>
    <t>115540                          !</t>
  </si>
  <si>
    <t>115560                          !</t>
  </si>
  <si>
    <t>115570                          !</t>
  </si>
  <si>
    <t>115590                         !                                 ========================</t>
  </si>
  <si>
    <t>115610                   !</t>
  </si>
  <si>
    <t>115730                   !</t>
  </si>
  <si>
    <t>115750                      !</t>
  </si>
  <si>
    <t>116060                   !</t>
  </si>
  <si>
    <t>116120                   !</t>
  </si>
  <si>
    <t>116190                      !</t>
  </si>
  <si>
    <t>116230                                              !</t>
  </si>
  <si>
    <t>116320                                              !</t>
  </si>
  <si>
    <t>116440                         !</t>
  </si>
  <si>
    <t>116500                          !</t>
  </si>
  <si>
    <t>116520                          !</t>
  </si>
  <si>
    <t>116550                          !</t>
  </si>
  <si>
    <t>116560                          !</t>
  </si>
  <si>
    <t>116570              !      MATERIALE       !</t>
  </si>
  <si>
    <t>116670                   !</t>
  </si>
  <si>
    <t>117060                           !</t>
  </si>
  <si>
    <t>117120                           !</t>
  </si>
  <si>
    <t>117200                           !</t>
  </si>
  <si>
    <t>117410                           !</t>
  </si>
  <si>
    <t>117430              !</t>
  </si>
  <si>
    <t>117440              !      @@@@@@@           @@@@@@           @@@@@@          @@@@@       @@@@2</t>
  </si>
  <si>
    <t>117450              !</t>
  </si>
  <si>
    <t>117470              !</t>
  </si>
  <si>
    <t>118170               !</t>
  </si>
  <si>
    <t>118180                         !</t>
  </si>
  <si>
    <t>118270        !</t>
  </si>
  <si>
    <t>118280        !@@@@@@@@@@@@@@@@@@@@@@@@@@@@@@@@@@@@@@@@@@@@@@@@@@@@@@@@@@@@@@@@@@@@@@@@@@@@@@@@@@@@@@@@@@@@@@@@@@@@@@@@@@@@@</t>
  </si>
  <si>
    <t>118290        !</t>
  </si>
  <si>
    <t>118300        !@@@@@@@@@@@@@@@@@@@@@@@@@@@@@@@@@@@@@@@@@@@@@@@@@@@@@@@@@@@@@@@@@@@@@@@@@@@@@@@@@@@@@@@@@@@@@@@@@@@@@@@@@@@@@</t>
  </si>
  <si>
    <t>118310     !</t>
  </si>
  <si>
    <t>118320         ! @@@@@@@@@@@@@@@@@@@@@@@@@@@@@@@@@@@@@@@@@@@@@@@@@@@@@@@@@@@@@@@@@@@@@@@@@@@@@@@@@@@@@@@@@@@@@@@@</t>
  </si>
  <si>
    <t>118330         ! @@@@@@@@@@@@@@@@@@@@@@@@@@@@@@@@@@@@@@@@@@@@@@@@@@@@@@@@@@@@@@@@@@@@@@@@@@@@@@@@@@@@@@@@@@@@@@@@</t>
  </si>
  <si>
    <t>118520                 !</t>
  </si>
  <si>
    <t>118590                   !</t>
  </si>
  <si>
    <t>118770        !  PRINT I;"-&gt;";V(I,0);" ";V(I,1);" ";V(I,2);" Move=";Move</t>
  </si>
  <si>
    <t>118980              ! SUBEXIT</t>
  </si>
  <si>
    <t>119410         !</t>
  </si>
  <si>
    <t>119420 !@@@@@@@@@@@@@@@@@@@@@@@@@@@@@@@@@@@@@@@@@@@@@@@@@@@@@@@@@@@@@@@@@@@@@@@@@@@@@@@@@@@@@@@@@@@@@@@@@@@@ò</t>
  </si>
  <si>
    <t>119430 !Stampa videata totale dei dati coltello/particolare</t>
  </si>
  <si>
    <t>119440 !@@@@@@@@@@@@@@@@@@@@@@@@@@@@@@@@@@@@@@@@@@@@@@@@@@@@@@@@@@@@@@@@@@@@@@@@@@@@@@@@@@@@@@@@@@@@@@@@@@@@@</t>
  </si>
  <si>
    <t>119450 !</t>
  </si>
  <si>
    <t>119470 !</t>
  </si>
  <si>
    <t>119580                         !</t>
  </si>
  <si>
    <t>119590 !</t>
  </si>
  <si>
    <t>119600 !</t>
  </si>
  <si>
    <t>119620 !</t>
  </si>
  <si>
    <t>119720          !MOVE Xe,Ye</t>
  </si>
  <si>
    <t>119760          !DRAW Xe,Ye</t>
  </si>
  <si>
    <t>119800         !FOR I=0 TO W2/W1*2*PI STEP (W2/W1*2*PI)/20</t>
  </si>
  <si>
    <t>119810         !Xe=Xm+Ra*COS(I)</t>
  </si>
  <si>
    <t>119820         !Ye=Ym+Ra*SIN(I)</t>
  </si>
  <si>
    <t>119830                !</t>
  </si>
  <si>
    <t>119850 !</t>
  </si>
  <si>
    <t>=</t>
  </si>
  <si>
    <t xml:space="preserve">  Part</t>
  </si>
  <si>
    <t xml:space="preserve">  Sen_el$</t>
  </si>
  <si>
    <t xml:space="preserve">  Senso$</t>
  </si>
  <si>
    <t xml:space="preserve">  Mn</t>
  </si>
  <si>
    <t xml:space="preserve">  Z1</t>
  </si>
  <si>
    <t xml:space="preserve">  Apni</t>
  </si>
  <si>
    <t xml:space="preserve">  Apn</t>
  </si>
  <si>
    <t>Apni*PI/180</t>
  </si>
  <si>
    <t xml:space="preserve">  Aeli</t>
  </si>
  <si>
    <t xml:space="preserve">  Ael</t>
  </si>
  <si>
    <t>Aeli*PI/180</t>
  </si>
  <si>
    <t>Apt</t>
  </si>
  <si>
    <t>ATN(TAN(Apn)/COS(Ael))</t>
  </si>
  <si>
    <t>Mt</t>
  </si>
  <si>
    <t>Mn/COS(Ael)</t>
  </si>
  <si>
    <t xml:space="preserve">  Apt</t>
  </si>
  <si>
    <t xml:space="preserve">  Mt</t>
  </si>
  <si>
    <t xml:space="preserve">  M</t>
  </si>
  <si>
    <t xml:space="preserve">  Ap</t>
  </si>
  <si>
    <t xml:space="preserve">  D1</t>
  </si>
  <si>
    <t>M*Z1</t>
  </si>
  <si>
    <t xml:space="preserve">  Db1</t>
  </si>
  <si>
    <t>D1*COS(Ap)</t>
  </si>
  <si>
    <t xml:space="preserve">  Da1</t>
  </si>
  <si>
    <t>16460  !</t>
  </si>
  <si>
    <t>71030                              !</t>
  </si>
  <si>
    <t>88815                    !</t>
  </si>
  <si>
    <t>104400                           !</t>
  </si>
  <si>
    <t>105080                        !IF Lingua$="ITALIANO" OR NOT Lingua$="TEDESCO" THEN</t>
  </si>
  <si>
    <t>106740 !</t>
  </si>
  <si>
    <t>110760                                                !</t>
  </si>
  <si>
    <t>370 Titolo:     !</t>
  </si>
  <si>
    <t>1000 PRINT "Premere CONTINUE per proseguire"</t>
  </si>
  <si>
    <t>1200 Prgname:    !</t>
  </si>
  <si>
    <t>1280 ELSE</t>
  </si>
  <si>
    <t>1330 END IF</t>
  </si>
  <si>
    <t>1360 IF LEN(Progettista$) THEN</t>
  </si>
  <si>
    <t>1380 ELSE</t>
  </si>
  <si>
    <t>1400 END IF</t>
  </si>
  <si>
    <t>1402 IF Utens=1 THEN EXECUTE CHR$(13)&amp;"C:\programmi\HTBwin83\NEWPROG\dxfbat.bat"</t>
  </si>
  <si>
    <t>1460 Spin1: GOTO Spin1</t>
  </si>
  <si>
    <t>1500 GOTO 1570</t>
  </si>
  <si>
    <t>1520 Altro: !</t>
  </si>
  <si>
    <t>1590 Menu:     !</t>
  </si>
  <si>
    <t>1950 Spin: GOTO Spin                  ! LOOP per introduzione KEYS</t>
  </si>
  <si>
    <t>1961 Insert_dati:     !</t>
  </si>
  <si>
    <t>1977 !</t>
  </si>
  <si>
    <t>1979 !</t>
  </si>
  <si>
    <t>1981 !</t>
  </si>
  <si>
    <t>1985 !</t>
  </si>
  <si>
    <t>1987 !</t>
  </si>
  <si>
    <t>1989 !</t>
  </si>
  <si>
    <t>1993 !</t>
  </si>
  <si>
    <t>1995 !</t>
  </si>
  <si>
    <t>1997 !</t>
  </si>
  <si>
    <t>1999 !</t>
  </si>
  <si>
    <t>2001 !</t>
  </si>
  <si>
    <t>2003 !</t>
  </si>
  <si>
    <t>2005 !</t>
  </si>
  <si>
    <t>2007 !</t>
  </si>
  <si>
    <t>2009 !</t>
  </si>
  <si>
    <t>2011 !</t>
  </si>
  <si>
    <t>2013 !</t>
  </si>
  <si>
    <t>2015 !</t>
  </si>
  <si>
    <t>2017 !</t>
  </si>
  <si>
    <t>2019 !</t>
  </si>
  <si>
    <t>2021 !</t>
  </si>
  <si>
    <t>2023 !</t>
  </si>
  <si>
    <t>2025 !</t>
  </si>
  <si>
    <t>2027 !</t>
  </si>
  <si>
    <t>2029 !</t>
  </si>
  <si>
    <t>2031 !</t>
  </si>
  <si>
    <t>2032 St1s=Sn1s/COS(Ael)</t>
  </si>
  <si>
    <t>2033 !</t>
  </si>
  <si>
    <t>2034 Sn1=Sn1s</t>
  </si>
  <si>
    <t>2035 !</t>
  </si>
  <si>
    <t>2036 St1=St1s</t>
  </si>
  <si>
    <t>2037 !</t>
  </si>
  <si>
    <t>2038 En1=En1s</t>
  </si>
  <si>
    <t>2039 !</t>
  </si>
  <si>
    <t>2040 Et1=Et1s</t>
  </si>
  <si>
    <t>2041 !</t>
  </si>
  <si>
    <t>2042 GOTO Verif_ras</t>
  </si>
  <si>
    <t>2043 !</t>
  </si>
  <si>
    <t>2044 Verif_ras:           !</t>
  </si>
  <si>
    <t>2063 !</t>
  </si>
  <si>
    <t>2069 !</t>
  </si>
  <si>
    <t>2070  !</t>
  </si>
  <si>
    <t>2071 !</t>
  </si>
  <si>
    <t>2086  !                      CALL Bisect(A,B,Root,Da0,Da1,Df1,Eaat1,Psat0,Db0,Apna0,Apnf1,Psbt0,Pskbt1_max,Dkb1,Psbt1,Gm,Ra0,Mwt,Solz(*),Db1,Z0,Z1,R_t)</t>
  </si>
  <si>
    <t>2089 !</t>
  </si>
  <si>
    <t>2090 !</t>
  </si>
  <si>
    <t>2091 !</t>
  </si>
  <si>
    <t>2092 X1=(St1-Mt*PI/2)/(2*Mn*TAN(Apt))</t>
  </si>
  <si>
    <t>2093 !</t>
  </si>
  <si>
    <t>2094 GOTO 1600</t>
  </si>
  <si>
    <t>2095 !</t>
  </si>
  <si>
    <t>2096 RETURN</t>
  </si>
  <si>
    <t>2097     !</t>
  </si>
  <si>
    <t>2098 Fuori_servizio:     !</t>
  </si>
  <si>
    <t>2101               !</t>
  </si>
  <si>
    <t>2102 Particolare:     !</t>
  </si>
  <si>
    <t>2108               !</t>
  </si>
  <si>
    <t>2109 Ingr_part:     !</t>
  </si>
  <si>
    <t>2180 Utensile:      !</t>
  </si>
  <si>
    <t>2290 Ingr_ut:       !</t>
  </si>
  <si>
    <t>2390 Sagoma:       !</t>
  </si>
  <si>
    <t>2490 Stampa:       !</t>
  </si>
  <si>
    <t>2590 Torneria:     !</t>
  </si>
  <si>
    <t>2680 P_cart:       !</t>
  </si>
  <si>
    <t>2730 Prg_nils:     !</t>
  </si>
  <si>
    <t>2810 Uscita:       !</t>
  </si>
  <si>
    <t>3450 Start:    !</t>
  </si>
  <si>
    <t>3700 F:         !</t>
  </si>
  <si>
    <t>3830 Root_1:    !</t>
  </si>
  <si>
    <t>3880 Lr_1:      !</t>
  </si>
  <si>
    <t>3970 Lr:        !</t>
  </si>
  <si>
    <t>4250 Prod:      !</t>
  </si>
  <si>
    <t>4290 Root:      !</t>
  </si>
  <si>
    <t>4370 N_bis:     !</t>
  </si>
  <si>
    <t>4410 Exit:      !</t>
  </si>
  <si>
    <t>4460 F: F=Z0/ABS(Z1)*ABS(Da1)/2*COS(Z0/ABS(Z1)*X+Eaat1)-Da0/2*COS(X+Psat0)</t>
  </si>
  <si>
    <t>4520 F: F=TAN(Apc0)+2*X/Db0-TAN(Apna0)</t>
  </si>
  <si>
    <t>4580 F: F=Psbt0-2*X/Db0-(TAN(Apc0)-Apc0)</t>
  </si>
  <si>
    <t>4650 F: F=ACS(1/Y)</t>
  </si>
  <si>
    <t>4790 F: F=Pskbt1_max-TAN(Z)+Z-Psbt1+TAN(Y)-Y</t>
  </si>
  <si>
    <t>4850 F: F=TAN(ACS(Db1/(Df1+2*X)))-2*X/Db1-TAN(Apnf1)</t>
  </si>
  <si>
    <t>5090 F: Y=Ph-Pst1</t>
  </si>
  <si>
    <t>5150 F: F=TAN(Teta)-(X*PI/Pz0_t-X*PI/Pz0_h)/(TAN(ACS(Db0h/X))+TAN(ACS(Db0t/X)))</t>
  </si>
  <si>
    <t>5270 F: F=Psep_kb0h+Psep_kb0t-Z-Y-2*PI/Z0</t>
  </si>
  <si>
    <t>5660 Menu:      !</t>
  </si>
  <si>
    <t>5910 Jump: GOTO Jump</t>
  </si>
  <si>
    <t>5930 Diritta_ext:   !</t>
  </si>
  <si>
    <t>5980 Diritta_int:   !</t>
  </si>
  <si>
    <t>6040 Elic_ext:      !</t>
  </si>
  <si>
    <t>6100 Elic_int:      !</t>
  </si>
  <si>
    <t>6180 Senso_elica:   !</t>
  </si>
  <si>
    <t>6250 Lampo: GOTO Lampo</t>
  </si>
  <si>
    <t>6270 Dx:            !</t>
  </si>
  <si>
    <t>6370 Sx:            !</t>
  </si>
  <si>
    <t>6470 Dp_n:  !</t>
  </si>
  <si>
    <t>6720 Stampa_dpn:  !</t>
  </si>
  <si>
    <t>7110 Modulo_n:   !</t>
  </si>
  <si>
    <t>7270 Stampa_modn:  !</t>
  </si>
  <si>
    <t>7330 Z:     !</t>
  </si>
  <si>
    <t>7480 Angoli:  !</t>
  </si>
  <si>
    <t>7640 Salto: GOTO Salto</t>
  </si>
  <si>
    <t>7660 Gms:    !</t>
  </si>
  <si>
    <t>7860 Gdg:    !</t>
  </si>
  <si>
    <t>8020 Rad:     !</t>
  </si>
  <si>
    <t>8160 Print_ang:  !</t>
  </si>
  <si>
    <t>8220 Trasf_apn:  !</t>
  </si>
  <si>
    <t>8340 Prt_apn_apt_ael:  !</t>
  </si>
  <si>
    <t>8430 Mod_t:  !</t>
  </si>
  <si>
    <t>8590 Ap:        !</t>
  </si>
  <si>
    <t>8610 Trasf_ap:  !</t>
  </si>
  <si>
    <t>8700 Correzioni:  !</t>
  </si>
  <si>
    <t>8770 Loop: GOTO Loop</t>
  </si>
  <si>
    <t>8790 Calc_diam:  !</t>
  </si>
  <si>
    <t>8920 Prt_diam_c:  !</t>
  </si>
  <si>
    <t>8950 Fmt_diam: IMAGE 6D.3D</t>
  </si>
  <si>
    <t>9140 Stop: GOTO Stop</t>
  </si>
  <si>
    <t>9160 Ribassata:   !</t>
  </si>
  <si>
    <t>9200 Standard:      !</t>
  </si>
  <si>
    <t>9360 Calcola:       !</t>
  </si>
  <si>
    <t>9460 Ver_tipo:     !</t>
  </si>
  <si>
    <t>9590 Prt_stand:        !</t>
  </si>
  <si>
    <t>9860 Semit_stand:   !</t>
  </si>
  <si>
    <t>10240 Poll_mm:    !</t>
  </si>
  <si>
    <t>10310 Volo: GOTO Volo</t>
  </si>
  <si>
    <t>10330 Pollici:  !</t>
  </si>
  <si>
    <t>10370 Intr_diam: !</t>
  </si>
  <si>
    <t>10510 Prt_diam: !</t>
  </si>
  <si>
    <t>10630 Ver_da_db: !</t>
  </si>
  <si>
    <t>10740 Bisello: !</t>
  </si>
  <si>
    <t>11190 Print_dk:  !</t>
  </si>
  <si>
    <t>11270 Trasf_apnk:  !</t>
  </si>
  <si>
    <t>11310 Prt_apkn:  !</t>
  </si>
  <si>
    <t>11380 Prt_apkt:  !</t>
  </si>
  <si>
    <t>11490 Pos_prt:  !</t>
  </si>
  <si>
    <t>11640 Fmt_sp: IMAGE MDDD.3D</t>
  </si>
  <si>
    <t>11660 Spess_d:   !     INTRODUZIONE DATI PER RISOLUZIONE SPESSORE DENTE</t>
  </si>
  <si>
    <t>11670 Rasa=1</t>
  </si>
  <si>
    <t>11780 Jota: GOTO Jota</t>
  </si>
  <si>
    <t>11800 Ris_w:           !    RISOLUZIONE MISURA CORDALE SU PIU DENTI/VANI</t>
  </si>
  <si>
    <t>12080 Prt_w:    !</t>
  </si>
  <si>
    <t>12230 Ris_mdk:  !</t>
  </si>
  <si>
    <t>12430 Prt_mdk:    !</t>
  </si>
  <si>
    <t>12620 Intr_sp:      !         INTRODUZIONE SPESSORI DENTE/AMPIEZZE VANI</t>
  </si>
  <si>
    <t>13050 Pos_st:    !</t>
  </si>
  <si>
    <t>13220 Prt_sp:  !         STAMPA SPESSORE DENTE/AMPIEZZA VANO</t>
  </si>
  <si>
    <t>13470 Verif_ras:    !</t>
  </si>
  <si>
    <t>13780 Corri: GOTO Corri</t>
  </si>
  <si>
    <t>13800 Spess_d_f:    !     INTRODUZIONE DATI PER RISOLUZIONE SPESSORE DENTE RASATO</t>
  </si>
  <si>
    <t>14100 Rasato: GOTO Rasato</t>
  </si>
  <si>
    <t>14120 Ris_w_f:           !    RISOLUZIONE MISURA CORDALE SU PIU DENTI/VANI</t>
  </si>
  <si>
    <t>14420 Ris_mdk_f:  !</t>
  </si>
  <si>
    <t>14660 Intr_sp_f:      !         INTRODUZIONE SPESSORI DENTE/AMPIEZZE VANI</t>
  </si>
  <si>
    <t>15040 Coll_sp:   !</t>
  </si>
  <si>
    <t>15110 Spess_bis:  !</t>
  </si>
  <si>
    <t>15140 Var_dk:    !  CALCOLO DIAM.ATTACCO BISELLO SU DENTATURA FINITA</t>
  </si>
  <si>
    <t>15470 Scappa: GOTO Scappa</t>
  </si>
  <si>
    <t>15490 Var_bis:   !</t>
  </si>
  <si>
    <t>15590 Dnf1:      !  INTRODUZIONE DATI PER DIAMETRO INIZIO EVOLVENTE</t>
  </si>
  <si>
    <t>15770 Ritorno: GOTO Ritorno</t>
  </si>
  <si>
    <t>15790 D_utile:   !   INTRODUZIONE DIAMETRO UTILE</t>
  </si>
  <si>
    <t>15860 L_rot:     !   INTRODUZIONE LUNGHEZZA DI ROTOLAMENTO</t>
  </si>
  <si>
    <t>15940 Ang_rot:   !   INTRODUZIONE ANGOLO DI ROTOLAMENTO</t>
  </si>
  <si>
    <t>16160 Intr_rf1:  !   INTRODUZIONE RAGGIO DI FONDO</t>
  </si>
  <si>
    <t>16280 Calc_rf1:  !    CALCOLO DEL RAGGIO DI RACCORDO FONDO DENTE</t>
  </si>
  <si>
    <t>16470 Prt_dnf1:  !    STAMPA DEL Dnf1 E DEL RAGGIO DI RACCORDO</t>
  </si>
  <si>
    <t>16520 Prt_rf1:         !</t>
  </si>
  <si>
    <t>16560 Correzioni_2:  !</t>
  </si>
  <si>
    <t>16630 Giro: GOTO Giro</t>
  </si>
  <si>
    <t>16650 Fine:         !</t>
  </si>
  <si>
    <t>16710 X1:  !</t>
  </si>
  <si>
    <t>16960 Titolo:  !</t>
  </si>
  <si>
    <t>17130 Jump: GOTO Jump</t>
  </si>
  <si>
    <t>17150 Plotter:     !</t>
  </si>
  <si>
    <t>17240 Video:       !</t>
  </si>
  <si>
    <t>17300 Ann_matr:    !</t>
  </si>
  <si>
    <t>17470 Prt_ingr:    !</t>
  </si>
  <si>
    <t>17520 Scelta_sez:  !</t>
  </si>
  <si>
    <t>17560 Salto: GOTO Salto</t>
  </si>
  <si>
    <t>17580 Sez_norm:  !</t>
  </si>
  <si>
    <t>17760 Sez_circ:  !</t>
  </si>
  <si>
    <t>17920 Graphics:   !</t>
  </si>
  <si>
    <t>18020 Chktutto:              !</t>
  </si>
  <si>
    <t>18390 Pos_z:      !</t>
  </si>
  <si>
    <t>18440 Giro: GOTO Giro</t>
  </si>
  <si>
    <t>18460 Z_centr:      !</t>
  </si>
  <si>
    <t>18510 V_centr:      !</t>
  </si>
  <si>
    <t>18550 N_z:      !</t>
  </si>
  <si>
    <t>18600 Diam:   !</t>
  </si>
  <si>
    <t>18840 Inp_diam: Dp=0</t>
  </si>
  <si>
    <t>18950 Rientro: RETURN</t>
  </si>
  <si>
    <t>18970 Plt_diam:    !</t>
  </si>
  <si>
    <t>19150 Profilo:  !</t>
  </si>
  <si>
    <t>19540 Prof_bis:  !</t>
  </si>
  <si>
    <t>19770 Trocoide:   !</t>
  </si>
  <si>
    <t>19870 Matr_troc:   !</t>
  </si>
  <si>
    <t>20140 Rot_prof:  !</t>
  </si>
  <si>
    <t>20210 Label_dati:  !</t>
  </si>
  <si>
    <t>20290 Printdd: !</t>
  </si>
  <si>
    <t>20620 FOR Sp=-.12 TO .12 STEP .02</t>
  </si>
  <si>
    <t>21270 NEXT Sp</t>
  </si>
  <si>
    <t>21300 Loop1: !</t>
  </si>
  <si>
    <t>21370 Matr_prof:  !</t>
  </si>
  <si>
    <t>22020 Plt_prof:  !</t>
  </si>
  <si>
    <t>22370 Neo_ingr:  !</t>
  </si>
  <si>
    <t>22440 Fine:  !</t>
  </si>
  <si>
    <t>22700 Titolo:     !</t>
  </si>
  <si>
    <t>22730 Start:      !</t>
  </si>
  <si>
    <t>22770 Dent_ext:  !  INTRODUZIONE MAGG.E N.DENTI PER DENTATURA ESTERNA</t>
  </si>
  <si>
    <t>22810 Da0:      !</t>
  </si>
  <si>
    <t>22910 Calc_dati:    !  CALCOLO DATI PER DENTATURE EXT.E INT.</t>
  </si>
  <si>
    <t>23380 Disp:    !</t>
  </si>
  <si>
    <t>23440 Z0i:     !    INTRODUZIONE N.DENTI UTENSILE PER DENTATURA INTERNA</t>
  </si>
  <si>
    <t>23520 Da0i:    !    INTRODUZIONE DIAMETRO DI TESTA UTENSILE PER DENTATURA INTERNA</t>
  </si>
  <si>
    <t>23620 Prt_z0_da0:    !         STAMPA Z0 E DA0</t>
  </si>
  <si>
    <t>23650 Fmt_diam: IMAGE 6D.2D</t>
  </si>
  <si>
    <t>23710 Ver_da1_max:  !   CONTROLLO MAX DIAM.DI TESTA GENERABILE CON L'UTENSILE</t>
  </si>
  <si>
    <t>23870 Disp_da1_max:    !</t>
  </si>
  <si>
    <t>24140 Dna0_min:    !  CONTROLLO DEL RISPETTO DEL Dnf1 RICHIESTO A DISEGNO</t>
  </si>
  <si>
    <t>24830 Variaz:      !</t>
  </si>
  <si>
    <t>24960 Hapo:  !</t>
  </si>
  <si>
    <t>25020 Prt_1_riga:   !     STAMPA PRIMA RIGA</t>
  </si>
  <si>
    <t>25380 Prt_diam_0:  !   STAMPA DIAMETRO PRIMITIVO</t>
  </si>
  <si>
    <t>25440 Prt_df0:  !</t>
  </si>
  <si>
    <t>25510 Prt_dna0_min:  !   STAMPA SMUSSO/RAGGIO MASSIMO AMMESSO</t>
  </si>
  <si>
    <t>25790 Dna0_dis:    !   INTRODUZIONE MODIFICA TESTA UTENSILE</t>
  </si>
  <si>
    <t>25880 Rendez_vous: GOTO Rendez_vous</t>
  </si>
  <si>
    <t>25900 Smusso:      !  INTRODUZIONE E STAMPA SMUSSO VOLUTO</t>
  </si>
  <si>
    <t>26070 Raggio:      !   INTRODUZIONE E STAMPA RAGGIO VOLUTO</t>
  </si>
  <si>
    <t>26380 Protub:     !      INTRODUZIONE CALCOLO E STAMPA DATI PROTUBERANZA</t>
  </si>
  <si>
    <t>26720 Gamma:      !  CALCOLO DELL'ANGOLO DI SCOSTAMENTO RAGGIO TESTA UTENSILE</t>
  </si>
  <si>
    <t>27530 Troc_fin:   !   VERIFICA DEL SOTTOSCAVO SUL PEZZO RASATO</t>
  </si>
  <si>
    <t>27910 Var_prtz:   !</t>
  </si>
  <si>
    <t>28030 Prt_dnf1_pr:   !  STAMPA DEL DIAM.INIZIO EVOLVENTE GENERATO</t>
  </si>
  <si>
    <t>28160 Diam_torn:  !      SCELTA DEL DIAMETRO DI TORNERIA</t>
  </si>
  <si>
    <t>28230 San0t:     !</t>
  </si>
  <si>
    <t>28370 Prt_da0t:  !            STAMPA DIAMETRO DI TORNERIA</t>
  </si>
  <si>
    <t>28420 Intr_spoglie:   !       INTRODUZIONE ANGOLI DI SPOGLIA</t>
  </si>
  <si>
    <t>28990 Prt_spoglie:  !     STAMPA ANGOLI DI SPOGLIA</t>
  </si>
  <si>
    <t>29230 Prt_db0:   !</t>
  </si>
  <si>
    <t>29330 Sp_est:  !    CALCOLO SPOGLIA ESTERNA ED ERRORE DF1</t>
  </si>
  <si>
    <t>29400 H_ut:  !</t>
  </si>
  <si>
    <t>29440 Ver_h_max_aff:  !    VERIFICA ALTEZZA MAX.AFFILABILE</t>
  </si>
  <si>
    <t>29560 Variazioni:  !       ROUTINE DI VARIAZIONE DATI UTENSILE</t>
  </si>
  <si>
    <t>29900 Prt_sp_est:  !       STAMPA SPOGLIA ESTERNA/ERRORE DF1/H.UTILE</t>
  </si>
  <si>
    <t>30020 Ver_rfm:  !    VERIFICA ALTEZZA RACCORDO MAX. SULLA MOLA</t>
  </si>
  <si>
    <t>30180 Giostra: GOTO Giostra</t>
  </si>
  <si>
    <t>30230 Passi:  !         CALCOLO DEI PASSI ELICA UTENSILE</t>
  </si>
  <si>
    <t>30330 Mola:  !         CALCOLO DIAM. ROTOLAMENTO MOLA</t>
  </si>
  <si>
    <t>30780 Prt_err_bis:  !    STAMPA ERRORE SU DIAM ATTACCO BISELLO</t>
  </si>
  <si>
    <t>31050 Correzioni:  !</t>
  </si>
  <si>
    <t>31110 Loop: GOTO Loop</t>
  </si>
  <si>
    <t>31130 Correz:        !</t>
  </si>
  <si>
    <t>31340 Fine_hnam_ra0:  !</t>
  </si>
  <si>
    <t>31430 Correzioni_2:  !</t>
  </si>
  <si>
    <t>31490 Jump: GOTO Jump</t>
  </si>
  <si>
    <t>31510 Correz_2:    !</t>
  </si>
  <si>
    <t>31580 H_ut_max:    !</t>
  </si>
  <si>
    <t>31920 Avanti:            !</t>
  </si>
  <si>
    <t>31990 Visto: Vedi=0</t>
  </si>
  <si>
    <t>32850 Gogo: OFF KEY</t>
  </si>
  <si>
    <t>32900 Fahrt: GOTO Fahrt</t>
  </si>
  <si>
    <t>32970 Dv0:       !                CALCOLO DEL DV0</t>
  </si>
  <si>
    <t>33080 DISP "Visualizz. risultati Diew e Interasse e ELICA base";D_iew;Dv0i2;Aelbasev0</t>
  </si>
  <si>
    <t>33100 ENTER 2;A$        ! PAUSE</t>
  </si>
  <si>
    <t>34150 Prt_sp:  !</t>
  </si>
  <si>
    <t>34770 Prt_dk0:  !</t>
  </si>
  <si>
    <t>35230 Vediamo1:  !</t>
  </si>
  <si>
    <t>35850 Df0_cuspide:   !     CALCOLO DIAMETRO DI FONDO A CUSPIDE</t>
  </si>
  <si>
    <t>36480 Vediamo:  !</t>
  </si>
  <si>
    <t>37070 Gamma_episc:    !</t>
  </si>
  <si>
    <t>37170 Intestazione:   !</t>
  </si>
  <si>
    <t>40290 CLEAR SCREEN</t>
  </si>
  <si>
    <t>40300 OUTPUT 2;Clear</t>
  </si>
  <si>
    <t>40310 OFF KEY</t>
  </si>
  <si>
    <t>40320 DISP "******** SCEGLI SE VUOI AVERE la STAMPA del REPORT di TUTTI i DATI INTRODOTTI ****************"</t>
  </si>
  <si>
    <t>40370 Jumpy: GOTO Jumpy</t>
  </si>
  <si>
    <t>40390 Report: !</t>
  </si>
  <si>
    <t>40410 CONTROL 10,102;1    ! OUTPUT 26;A$ !PRINTER IS 10 !CONTROL \\Pcdos8\MINOLTA!10,102;1 !PRINTER IS PRT"\\Pcdos8\MINOLTA"</t>
  </si>
  <si>
    <t>40430 CONFIGURE DUMP TO "WIN-DUMP"</t>
  </si>
  <si>
    <t>40440 PRINTER IS PRT</t>
  </si>
  <si>
    <t>40460 Lg=1</t>
  </si>
  <si>
    <t>40470 Lsd=56</t>
  </si>
  <si>
    <t>40480 Lt=3</t>
  </si>
  <si>
    <t>40490 Hg=1</t>
  </si>
  <si>
    <t>40510 Fmt_diamp: IMAGE 6D.3D</t>
  </si>
  <si>
    <t>40530 Fmt_sp: IMAGE MDDD.3D</t>
  </si>
  <si>
    <t>40550 Format_mr: IMAGE 2D.4D,A,2D.4D</t>
  </si>
  <si>
    <t>40560 Format_m: IMAGE 2D.4D</t>
  </si>
  <si>
    <t>40580 D1=Mt*Z1</t>
  </si>
  <si>
    <t>40630 IF LEN(Cliente$) THEN</t>
  </si>
  <si>
    <t>40640 PRINT "CLIENTE =&gt; ";Cliente$;" |     DIS.DENTATURA =&gt; ";Part$;" |   DIS.UTENSILE =&gt; ";Dis$</t>
  </si>
  <si>
    <t>40650 END IF</t>
  </si>
  <si>
    <t>40670 IF Int THEN</t>
  </si>
  <si>
    <t>40700 ELSE</t>
  </si>
  <si>
    <t>40730 END IF</t>
  </si>
  <si>
    <t>41550 W:      !</t>
  </si>
  <si>
    <t>41620 Md:     !</t>
  </si>
  <si>
    <t>42520 Qui: !qui</t>
  </si>
  <si>
    <t>44960 Prt_spt:       !         STAMPA SPESSORE DENTE/AMPIEZZA VANO</t>
  </si>
  <si>
    <t>45250 Prt_sptf:       !         STAMPA SPESSORE DENTE/AMPIEZZA VANO</t>
  </si>
  <si>
    <t>45540 Vai: !</t>
  </si>
  <si>
    <t>45610 Reset:          !</t>
  </si>
  <si>
    <t>45717 Video:             !</t>
  </si>
  <si>
    <t>45723 Ann_matr:          !</t>
  </si>
  <si>
    <t>45769 Sez_circ:        !</t>
  </si>
  <si>
    <t>45785 Graphics:         !</t>
  </si>
  <si>
    <t>45795 Chktutto:              !</t>
  </si>
  <si>
    <t>45835 Pos_z:            !</t>
  </si>
  <si>
    <t>45847 V_centr:            !</t>
  </si>
  <si>
    <t>45857 Diam:         !</t>
  </si>
  <si>
    <t>45894 Plt_diam:          !</t>
  </si>
  <si>
    <t>45912 Profilo:        !</t>
  </si>
  <si>
    <t>45969 Prof_bis:        !</t>
  </si>
  <si>
    <t>45992 Trocoide:         !</t>
  </si>
  <si>
    <t>46002 Matr_troc:         !</t>
  </si>
  <si>
    <t>46029 Rot_prof:        !</t>
  </si>
  <si>
    <t>46048 Printddd: !</t>
  </si>
  <si>
    <t>46081 FOR Sp=-.18 TO .18 STEP .01</t>
  </si>
  <si>
    <t>46188 Wingr:      !</t>
  </si>
  <si>
    <t>46195 Mdingr:     !</t>
  </si>
  <si>
    <t>46202 Spingr:     !</t>
  </si>
  <si>
    <t>46210 NEXT Sp</t>
  </si>
  <si>
    <t>46220 Prappy: GOTO Neo_ingrx</t>
  </si>
  <si>
    <t>46222 Matr_prof:        !</t>
  </si>
  <si>
    <t>46287 Plt_prof:        !</t>
  </si>
  <si>
    <t>46322 Neo_ingrx:        !</t>
  </si>
  <si>
    <t>46333 Fine:        !</t>
  </si>
  <si>
    <t>46366 Titolo:  !</t>
  </si>
  <si>
    <t>46389 Jump: GOTO Jump</t>
  </si>
  <si>
    <t>46398 Plotter:     !</t>
  </si>
  <si>
    <t>46408 Video:       !</t>
  </si>
  <si>
    <t>46413 Ann_matr:    !</t>
  </si>
  <si>
    <t>46470 Dx:     !</t>
  </si>
  <si>
    <t>46540 Sx:     !</t>
  </si>
  <si>
    <t>46570 Prt_ingr:    !</t>
  </si>
  <si>
    <t>46630 Scelta_sez:  !</t>
  </si>
  <si>
    <t>46670 Salto: GOTO Salto</t>
  </si>
  <si>
    <t>46690 Sez_norm:  !</t>
  </si>
  <si>
    <t>46760 Neo_da0:   !</t>
  </si>
  <si>
    <t>46890 Ribalt_sez_norm:  !</t>
  </si>
  <si>
    <t>47070 P_episc:  !</t>
  </si>
  <si>
    <t>47170 Graphics:   !</t>
  </si>
  <si>
    <t>47300 Chktutto:               !</t>
  </si>
  <si>
    <t>47710 Pos_z:      !</t>
  </si>
  <si>
    <t>47770 Giro: GOTO Giro</t>
  </si>
  <si>
    <t>47790 Z_centr:      !</t>
  </si>
  <si>
    <t>47840 V_centr:      !</t>
  </si>
  <si>
    <t>47880 N_z:      !</t>
  </si>
  <si>
    <t>47940 Diam:   !</t>
  </si>
  <si>
    <t>48340 Inp_diam: Dp=0</t>
  </si>
  <si>
    <t>48450 Rientro: RETURN</t>
  </si>
  <si>
    <t>48470 Plt_diam:    !</t>
  </si>
  <si>
    <t>48710 Profilo:  !</t>
  </si>
  <si>
    <t>48940 Prof_bis:  !</t>
  </si>
  <si>
    <t>49130 Rot_prof:  !</t>
  </si>
  <si>
    <t>49200 Label_dati:  !</t>
  </si>
  <si>
    <t>49280 Prt_diam:   !</t>
  </si>
  <si>
    <t>49460 Att_stampa:  !</t>
  </si>
  <si>
    <t>49530 Stampa_dati:   !</t>
  </si>
  <si>
    <t>49600 Printdd: !</t>
  </si>
  <si>
    <t>49910 FOR Sp=-.12 TO .15 STEP .02</t>
  </si>
  <si>
    <t>50760 Neo_ingr1:       !</t>
  </si>
  <si>
    <t>50770 Neo_ingr:  !</t>
  </si>
  <si>
    <t>50850 Giostra: GOTO Giostra</t>
  </si>
  <si>
    <t>50870 Neo_in:   !</t>
  </si>
  <si>
    <t>50910 Return_menu:   !</t>
  </si>
  <si>
    <t>50950 Matr_prof:  !</t>
  </si>
  <si>
    <t>51680 Plt_prof:  !</t>
  </si>
  <si>
    <t>52230 Neo:  !</t>
  </si>
  <si>
    <t>52310 Fine:  !</t>
  </si>
  <si>
    <t>52530 Inizio:  !              COORDINATE DEL RACCORDO ALLA BASE DELLA MOLA</t>
  </si>
  <si>
    <t>52620 Matr_rgm_t:          !</t>
  </si>
  <si>
    <t>52920 Matr_rgm_h:          !</t>
  </si>
  <si>
    <t>53250 Profilo:  !     DETERMINAZIONE COORDINATE CARTESIANE SAGOMA</t>
  </si>
  <si>
    <t>53990 Titolo:  !</t>
  </si>
  <si>
    <t>54210 Jump: GOTO Jump</t>
  </si>
  <si>
    <t>54230 Plotter:     !</t>
  </si>
  <si>
    <t>54410 Video:       !</t>
  </si>
  <si>
    <t>54480 Griglia:     !</t>
  </si>
  <si>
    <t>54520 Graphics:    !</t>
  </si>
  <si>
    <t>54880 Plt_prof:  !     PLOTTAGGIO DEL PROFILO MOLA</t>
  </si>
  <si>
    <t>56810 Ax:       !</t>
  </si>
  <si>
    <t>56870 Flash: GOTO Flash</t>
  </si>
  <si>
    <t>56890 Assi:  !</t>
  </si>
  <si>
    <t>56960 Menu_2:   !</t>
  </si>
  <si>
    <t>57040 Blitz: GOTO Blitz</t>
  </si>
  <si>
    <t>57060 Prt_dati:      !           STAMPA DATI DELLA SAGOMA</t>
  </si>
  <si>
    <t>57730 Ritorno:       !</t>
  </si>
  <si>
    <t>57780 Diaf_cnc:  !</t>
  </si>
  <si>
    <t>57880 Svolta: GOTO Svolta</t>
  </si>
  <si>
    <t>57900 Corr_prof:    !</t>
  </si>
  <si>
    <t>58040 Richiamo: GOTO Richiamo</t>
  </si>
  <si>
    <t>58060 F_alto:  !</t>
  </si>
  <si>
    <t>58100 Correz:    !</t>
  </si>
  <si>
    <t>58290 Bivio: GOTO Bivio</t>
  </si>
  <si>
    <t>58310 Incl_f:    !       CORREZIONE INCLINAZIONE FIANCO</t>
  </si>
  <si>
    <t>59120 H_raggi:  !         CORREZIONE ALTEZZA RAGGI</t>
  </si>
  <si>
    <t>59560 Stampa_prof:  !       STAMPA DELLE COORDINATE DELLA MOLA</t>
  </si>
  <si>
    <t>59590 Cifr: IMAGE 3D.3D</t>
  </si>
  <si>
    <t>59610 Intestaz:  !</t>
  </si>
  <si>
    <t>60600 Stampa_riga:  !</t>
  </si>
  <si>
    <t>60750 Calc_studer:  !  CALCOLO DATI MACCHINA per STUDER</t>
  </si>
  <si>
    <t>61250 Dim_cifr: IMAGE 3D,3D</t>
  </si>
  <si>
    <t>62120 DISP "ATTENZIONE!!!il raggio R1 risulta + piccolo di R2 il programma aumenta il valore di 0.05 mm";"VALORI ATTUALI R1=";Ra_1h;" R2=";Ra_2h</t>
  </si>
  <si>
    <t>62130 ENTER 2;A$</t>
  </si>
  <si>
    <t>62132 Ra_2h=Ra_1h+.05</t>
  </si>
  <si>
    <t>62140 DISP "    NUOVI VALORI  ASSUNTI DOPO MODIFICA ==&gt;&gt;  R1=";Ra_1;" R2=";Ra_2h</t>
  </si>
  <si>
    <t>62141 ENTER 2;A$</t>
  </si>
  <si>
    <t>64330 Stampa_coord:    !</t>
  </si>
  <si>
    <t>64410 Urka: GOTO Urka</t>
  </si>
  <si>
    <t>64430 Cnc_siem:     !</t>
  </si>
  <si>
    <t>64470 P_stampa1:    !</t>
  </si>
  <si>
    <t>64510 Video_s:   !</t>
  </si>
  <si>
    <t>66430 Val_stampa:                            !RITORNA IL VALORE x STAMPA</t>
  </si>
  <si>
    <t>67460 Stampa_stud:  !</t>
  </si>
  <si>
    <t>67610 Rientro:   !</t>
  </si>
  <si>
    <t>67660 P_stampa:       !</t>
  </si>
  <si>
    <t>70810 Siemens_cnc:  !</t>
  </si>
  <si>
    <t>70860 Reg_spess:  !</t>
  </si>
  <si>
    <t>70960 Chtop:         !</t>
  </si>
  <si>
    <t>71360 Chtop1:                           !</t>
  </si>
  <si>
    <t>71660 Msgbox:  !</t>
  </si>
  <si>
    <t>80940 P:     !</t>
  </si>
  <si>
    <t>81000 Stampa_v:    !</t>
  </si>
  <si>
    <t>81050 Fine:       !</t>
  </si>
  <si>
    <t>81350 IF NOT LEN(N_ingr$) THEN</t>
  </si>
  <si>
    <t>81400 END IF</t>
  </si>
  <si>
    <t>81590 Ital: Lingua$="ITALIANO"</t>
  </si>
  <si>
    <t>81610 On_stp: LINPUT "STAMPA DATI PARTICOLARE ? [ SI&gt;&gt;Continue/NO ]",Risp$</t>
  </si>
  <si>
    <t>81630 Tip_lav:  !</t>
  </si>
  <si>
    <t>81780 Balzo: GOTO Balzo</t>
  </si>
  <si>
    <t>81800 Finitore:  !</t>
  </si>
  <si>
    <t>81900 Preras:  !</t>
  </si>
  <si>
    <t>82000 Preret:  !</t>
  </si>
  <si>
    <t>82100 Sgros:  !</t>
  </si>
  <si>
    <t>82200 Pelat:  !</t>
  </si>
  <si>
    <t>82300 Semit:  !</t>
  </si>
  <si>
    <t>82400 Topp:  !</t>
  </si>
  <si>
    <t>82520 Prot:  !</t>
  </si>
  <si>
    <t>82630 Scelta:   !</t>
  </si>
  <si>
    <t>82680 Tip_colt:  !</t>
  </si>
  <si>
    <t>82720 Peek: GOTO Peek</t>
  </si>
  <si>
    <t>82740 Tip_colt1:       !</t>
  </si>
  <si>
    <t>82890 Leap: GOTO Leap</t>
  </si>
  <si>
    <t>82910 Digit: LINPUT "INTRODURRE IL TIPO DI UTENSILE",Tip_colt$</t>
  </si>
  <si>
    <t>82930 Sykes:  !</t>
  </si>
  <si>
    <t>82960 Disco:  !</t>
  </si>
  <si>
    <t>83260 Campana:  !</t>
  </si>
  <si>
    <t>83570 S_campana:  !  AGGIUNTO    il 28/6/90</t>
  </si>
  <si>
    <t>83880 Codolo:  !</t>
  </si>
  <si>
    <t>84030 Mozzo:  !</t>
  </si>
  <si>
    <t>84140 Fori:  !</t>
  </si>
  <si>
    <t>84320 Jump1: GOTO Jump1</t>
  </si>
  <si>
    <t>84450 Jump: GOTO Jump</t>
  </si>
  <si>
    <t>84470 Foro_p: Foro$="31.75"</t>
  </si>
  <si>
    <t>84500 Foro_g: Foro$="44.45"</t>
  </si>
  <si>
    <t>84530 Morse_a: Cono$="MORSE N.1"</t>
  </si>
  <si>
    <t>84600 Morse_b: Cono$="MORSE N.2"</t>
  </si>
  <si>
    <t>84670 Morse_c: Cono$="MORSE N.3"</t>
  </si>
  <si>
    <t>84750 Morse_lvt:               !</t>
  </si>
  <si>
    <t>84880 Morse_d: Cono$="MORSE N.4"</t>
  </si>
  <si>
    <t>84960 Viaggio: GOTO Viaggio</t>
  </si>
  <si>
    <t>84990 Corto:  !</t>
  </si>
  <si>
    <t>85060 Lungo:  !</t>
  </si>
  <si>
    <t>85130 Flangia:  !</t>
  </si>
  <si>
    <t>85210 Fellows: Cono$="FELLOWS"</t>
  </si>
  <si>
    <t>85290 Tour: GOTO Tour</t>
  </si>
  <si>
    <t>85310 Americ:      !</t>
  </si>
  <si>
    <t>85370 Europ:       !</t>
  </si>
  <si>
    <t>85430 Vari_f: LINPUT "INTRODURRE IL FORO PRESCELTO",Foro$</t>
  </si>
  <si>
    <t>85450 Vari_c: LINPUT "INTRODURRE IL TIPO DI CONO PRESCELTO",Cono$</t>
  </si>
  <si>
    <t>85510 H_lu: INPUT "INTRODURRE L'ALTEZZA o LA LUNGHEZZA DELL'UTENSILE - mm",H_l</t>
  </si>
  <si>
    <t>85740 Intr_car_ut:   !</t>
  </si>
  <si>
    <t>85880 Eureka: GOTO Eureka</t>
  </si>
  <si>
    <t>85900 Coll: SELECT Lingua$</t>
  </si>
  <si>
    <t>86030 Ch_f: SELECT Lingua$</t>
  </si>
  <si>
    <t>86130 Ch_f_all_d: SELECT Lingua$</t>
  </si>
  <si>
    <t>86240 Ch_f_all_v: SELECT Lingua$</t>
  </si>
  <si>
    <t>86350 Ch_d: SELECT Lingua$</t>
  </si>
  <si>
    <t>86450 Ch_d_all_d: SELECT Lingua$</t>
  </si>
  <si>
    <t>86560 Ch_d_all_v: SELECT Lingua$</t>
  </si>
  <si>
    <t>86670 Intr_dim_ch:    !</t>
  </si>
  <si>
    <t>86760 Varie:          !</t>
  </si>
  <si>
    <t>86800 Commenti:       !</t>
  </si>
  <si>
    <t>86850 Intr_comm:      !</t>
  </si>
  <si>
    <t>86940 Evviva: GOTO Evviva</t>
  </si>
  <si>
    <t>86960 Oss_part: LINPUT "COMMENTI PARTICOLARE",Comment_part$</t>
  </si>
  <si>
    <t>87020 P_i_c:                 ! AGGIUNTO il 29/01/91</t>
  </si>
  <si>
    <t>87070 Dati_macch:  !</t>
  </si>
  <si>
    <t>87140 Macch_profil:   !</t>
  </si>
  <si>
    <t>87290 Jupiter: GOTO Jupiter</t>
  </si>
  <si>
    <t>87310 Incisioni:    !</t>
  </si>
  <si>
    <t>87420 Ev_sempl:               !</t>
  </si>
  <si>
    <t>87450 Ev_spec:  !</t>
  </si>
  <si>
    <t>87470 Scelta_ms:        !</t>
  </si>
  <si>
    <t>87660 Niles:   !</t>
  </si>
  <si>
    <t>87840 Corri: GOTO Corri</t>
  </si>
  <si>
    <t>87860 Niles_vecch:  !</t>
  </si>
  <si>
    <t>87910 Niles_nuo:    !</t>
  </si>
  <si>
    <t>87960 Base:    !</t>
  </si>
  <si>
    <t>88050 Kd:      !</t>
  </si>
  <si>
    <t>88210 Mola_profil:   !                INTRODUZIONE APn MOLA E CALCOLO ANG.MONTANTE</t>
  </si>
  <si>
    <t>88370 Calcolo_punti:     !</t>
  </si>
  <si>
    <t>88522 GOTO 88613</t>
  </si>
  <si>
    <t>88556 Per_fh:                   !</t>
  </si>
  <si>
    <t>88701 GOSUB Per_hend</t>
  </si>
  <si>
    <t>88702 GOTO 88767</t>
  </si>
  <si>
    <t>88705 Per_hend:                    !</t>
  </si>
  <si>
    <t>89040 Calc_puntoint:     !</t>
  </si>
  <si>
    <t>89180 Calc_puntoext:    !</t>
  </si>
  <si>
    <t>89320 Tolleranze:       !</t>
  </si>
  <si>
    <t>89460 IF LEN(Nienten$) THEN</t>
  </si>
  <si>
    <t>90440 ELSE</t>
  </si>
  <si>
    <t>90460 END IF</t>
  </si>
  <si>
    <t>90620 !</t>
  </si>
  <si>
    <t>90750 Moment: GOTO Moment</t>
  </si>
  <si>
    <t>90770 Classe_aa: Classe=1</t>
  </si>
  <si>
    <t>90800 Classe_a: Classe=2</t>
  </si>
  <si>
    <t>90830 Classe_b: Classe=3</t>
  </si>
  <si>
    <t>90870 Altre: INTEGER No_toll</t>
  </si>
  <si>
    <t>90910 Sel_mod:  !</t>
  </si>
  <si>
    <t>91950 Plotter:   !</t>
  </si>
  <si>
    <t>91960 Video:                          !</t>
  </si>
  <si>
    <t>92090 Reg_spess:  !</t>
  </si>
  <si>
    <t>92180 Stampa_part:  !</t>
  </si>
  <si>
    <t>93260 Spes_amp:  !</t>
  </si>
  <si>
    <t>93740 Stampa_utens:  !</t>
  </si>
  <si>
    <t>94810 Stampa_tabel:  !</t>
  </si>
  <si>
    <t>95310 Stampa_dente:  !</t>
  </si>
  <si>
    <t>95950 Stampa_lungh:  !</t>
  </si>
  <si>
    <t>96070 Stampa_foro_cm:  !</t>
  </si>
  <si>
    <t>96160 Stampa_cono:  !</t>
  </si>
  <si>
    <t>96590 Prt_caratt_ut:   !</t>
  </si>
  <si>
    <t>96880 Stampa_sykes:  !</t>
  </si>
  <si>
    <t>96990 Stampa_ang_aff:  !</t>
  </si>
  <si>
    <t>97980 St_n_ingr_n_sag:  !</t>
  </si>
  <si>
    <t>98070 Stampa_aff_con:   !</t>
  </si>
  <si>
    <t>98170 Stampa_diam:   !</t>
  </si>
  <si>
    <t>99010 Stampa_quotgeo:             !</t>
  </si>
  <si>
    <t>99690 END IF                                   !</t>
  </si>
  <si>
    <t>99750 Stampa_collaudo:  !</t>
  </si>
  <si>
    <t>100161 IF Elic THEN</t>
  </si>
  <si>
    <t>100185 ELSE</t>
  </si>
  <si>
    <t>100188 END IF</t>
  </si>
  <si>
    <t>100190 CSIZE 1.6,.5        ! STAMPA DELLE LUNGHEZZE</t>
  </si>
  <si>
    <t>100320 Alto: !</t>
  </si>
  <si>
    <t>100440 Stampa:   ! CONTROLLO x PLOTTER</t>
  </si>
  <si>
    <t>100550 Basso: !</t>
  </si>
  <si>
    <t>100640 Stampa_2:   ! CONTROLLO x PLOTTER</t>
  </si>
  <si>
    <t>100750 Errori: !</t>
  </si>
  <si>
    <t>100770 Tip: IMAGE 3D.2D</t>
  </si>
  <si>
    <t>101050 Stampa_ang_rot:           ! AGGIUNTO in Data   15/6/90</t>
  </si>
  <si>
    <t>101280 Check_point: !</t>
  </si>
  <si>
    <t>101320 Punti_ew:          !</t>
  </si>
  <si>
    <t>101700 Incisioni1:        !</t>
  </si>
  <si>
    <t>101850 Stampa_toller: !</t>
  </si>
  <si>
    <t>102050 Profilatura: !</t>
  </si>
  <si>
    <t>102790 Uscita: !</t>
  </si>
  <si>
    <t>102840 IF Liebherr=1 THEN</t>
  </si>
  <si>
    <t>102860 ELSE</t>
  </si>
  <si>
    <t>102880 END IF</t>
  </si>
  <si>
    <t>103030 Liebherr_vai: !</t>
  </si>
  <si>
    <t>103120 Idioma1: GOTO Idioma1</t>
  </si>
  <si>
    <t>103140 Tedlvt: Lingua$="TEDESCO"</t>
  </si>
  <si>
    <t>103200 Ingllvt: Lingua$="INGLESE"</t>
  </si>
  <si>
    <t>103230 Franlvt: Lingua$="FRANCESE"</t>
  </si>
  <si>
    <t>103260 Itallvt: Lingua$="ITALIANO"</t>
  </si>
  <si>
    <t>103280 On_stplvt: Cha$="" !</t>
  </si>
  <si>
    <t>103360 PRINT "ATTUALMENTE il CLIENTE è :";Cliente$;" Dis.Particolare è :";Part$;" Dis.UTENSILE è :";Dis$</t>
  </si>
  <si>
    <t>103380 LINPUT " VUOI VARIARE le SEGUENTI INFORMAZIONI ?",Cha$</t>
  </si>
  <si>
    <t>103400 IF LEN(Cha$) THEN</t>
  </si>
  <si>
    <t>103450 END IF</t>
  </si>
  <si>
    <t>103470 OUTPUT 2;Clear$;  ! CANCELLA IL VIDEO</t>
  </si>
  <si>
    <t>103620 M: GOTO M</t>
  </si>
  <si>
    <t>103640 A_23:              !</t>
  </si>
  <si>
    <t>103680 A_30:              !</t>
  </si>
  <si>
    <t>103730 A_60:              !</t>
  </si>
  <si>
    <t>103780 A_2:               !</t>
  </si>
  <si>
    <t>103830 A_42:              !</t>
  </si>
  <si>
    <t>103880 A_35:              !</t>
  </si>
  <si>
    <t>103930 A_52:             !</t>
  </si>
  <si>
    <t>103970 Altro:             !</t>
  </si>
  <si>
    <t>104100 M1: GOTO M1</t>
  </si>
  <si>
    <t>104120 Diverso: !</t>
  </si>
  <si>
    <t>104170 Tin:                     !</t>
  </si>
  <si>
    <t>104220 Ticn:                    !</t>
  </si>
  <si>
    <t>104270 Tialn:                   !</t>
  </si>
  <si>
    <t>104320 Futura:                  !</t>
  </si>
  <si>
    <t>104380 Hutile:                  !</t>
  </si>
  <si>
    <t>104600 Size_write90: !</t>
  </si>
  <si>
    <t>104650 Size_write: !</t>
  </si>
  <si>
    <t>104750 Size_writetol: !</t>
  </si>
  <si>
    <t>104810 Reg_spess_lvt: !</t>
  </si>
  <si>
    <t>105150 Prosegui:           !</t>
  </si>
  <si>
    <t>108490 IF Cod_colt$="COD" THEN</t>
  </si>
  <si>
    <t>108570 END IF</t>
  </si>
  <si>
    <t>108640 IF Printcodolo=1 THEN GOTO Afterkey</t>
  </si>
  <si>
    <t>109590 Prtkey: !</t>
  </si>
  <si>
    <t>109710 CSIZE 1.50,.50</t>
  </si>
  <si>
    <t>111280 Prt_tip:                                !</t>
  </si>
  <si>
    <t>111420 Ang_aff_kunde:     !</t>
  </si>
  <si>
    <t>112430 Class_materiale: !</t>
  </si>
  <si>
    <t>112490 Exit_liebherr: !</t>
  </si>
  <si>
    <t>112654 SUBEND</t>
  </si>
  <si>
    <t>112830 W: GOTO W</t>
  </si>
  <si>
    <t>112860 Divisori:   !</t>
  </si>
  <si>
    <t>112920 Div: GOTO Div</t>
  </si>
  <si>
    <t>112940 Frontali:   !</t>
  </si>
  <si>
    <t>112990 Radiali:    !</t>
  </si>
  <si>
    <t>113060 Lappatori:  !</t>
  </si>
  <si>
    <t>113170 Select:     !</t>
  </si>
  <si>
    <t>113270 Select_e:   !</t>
  </si>
  <si>
    <t>113400 Fellows:    !</t>
  </si>
  <si>
    <t>113500 F_dir:      !</t>
  </si>
  <si>
    <t>113540 F_elic:     !</t>
  </si>
  <si>
    <t>113580 Avanti: LINPUT "DIGIT. il MODULO",Mn$</t>
  </si>
  <si>
    <t>113690 Hew: GOTO Hew</t>
  </si>
  <si>
    <t>113710 Dfx: Senso$="DESTRO"</t>
  </si>
  <si>
    <t>113730 Sfx: Senso$="SINISTRO"</t>
  </si>
  <si>
    <t>113910 Leap: GOTO Leap</t>
  </si>
  <si>
    <t>113940 Disco: !</t>
  </si>
  <si>
    <t>114000 Campana: !</t>
  </si>
  <si>
    <t>114060 S_campana: !                                    AGGIUNTO    il 28/6/90</t>
  </si>
  <si>
    <t>114120 Codolo: !</t>
  </si>
  <si>
    <t>114180 Mozzo: !</t>
  </si>
  <si>
    <t>114520 Poi:        !</t>
  </si>
  <si>
    <t>114580 Pettini:    !</t>
  </si>
  <si>
    <t>114630 A: GOTO A</t>
  </si>
  <si>
    <t>114650 C_sund:     !                 *****   SUNDERLAND    *****</t>
  </si>
  <si>
    <t>114690 B: GOTO B</t>
  </si>
  <si>
    <t>114710 S_elic: Elic=1</t>
  </si>
  <si>
    <t>114810 S_dir:      !</t>
  </si>
  <si>
    <t>114920 C_maag:     !                *****  M A A G  *****</t>
  </si>
  <si>
    <t>114960 C: GOTO C</t>
  </si>
  <si>
    <t>114980 M_elic:     !</t>
  </si>
  <si>
    <t>115090 M_dir:      !</t>
  </si>
  <si>
    <t>115200 Date_pett:  !</t>
  </si>
  <si>
    <t>115320 Hp: GOTO Hp</t>
  </si>
  <si>
    <t>115340 Dx: Senso$="DESTRO"</t>
  </si>
  <si>
    <t>115360 Sx: Senso$="SINISTRO"</t>
  </si>
  <si>
    <t>115430 Intr_dati:  !</t>
  </si>
  <si>
    <t>115600 Tip_lav: !</t>
  </si>
  <si>
    <t>115740 Balzo: GOTO Balzo</t>
  </si>
  <si>
    <t>115760 Finitore: !</t>
  </si>
  <si>
    <t>115800 Preras: !</t>
  </si>
  <si>
    <t>115840 Preret: !</t>
  </si>
  <si>
    <t>115880 Sgros: !</t>
  </si>
  <si>
    <t>115920 Pelat: !</t>
  </si>
  <si>
    <t>115960 Semit: !</t>
  </si>
  <si>
    <t>116010 Topp: !</t>
  </si>
  <si>
    <t>116070 Prot: !</t>
  </si>
  <si>
    <t>116130 Raggio: !</t>
  </si>
  <si>
    <t>116200 Ric_cod:   !</t>
  </si>
  <si>
    <t>116450 Scelta:    !</t>
  </si>
  <si>
    <t>116490 Note:       !</t>
  </si>
  <si>
    <t>116680 A_23:        !</t>
  </si>
  <si>
    <t>116730 A_30:        !</t>
  </si>
  <si>
    <t>116780 A_60:        !</t>
  </si>
  <si>
    <t>116830 A_2:         !</t>
  </si>
  <si>
    <t>116880 A_42:        !</t>
  </si>
  <si>
    <t>116930 A_35:        !</t>
  </si>
  <si>
    <t>116980 Ghisa:       !</t>
  </si>
  <si>
    <t>117020 Altro:       !</t>
  </si>
  <si>
    <t>117070 Controllo: IF NOT Fellows THEN</t>
  </si>
  <si>
    <t>117130 Giu:   !</t>
  </si>
  <si>
    <t>117190 G: GOTO G</t>
  </si>
  <si>
    <t>117210 Eifeler:     !</t>
  </si>
  <si>
    <t>117250 Crt:         !</t>
  </si>
  <si>
    <t>117290 Balzer:      !</t>
  </si>
  <si>
    <t>117330 Samp:        !</t>
  </si>
  <si>
    <t>117370 S_tin:       !</t>
  </si>
  <si>
    <t>117420 Prg:     !</t>
  </si>
  <si>
    <t>117460 Stampa: !</t>
  </si>
  <si>
    <t>118260 SUBEND</t>
  </si>
  <si>
    <t>118350 COM /Plot/@Plot,File$[80],Prima,Raps,Ang_piv,Lorg,Csize,Ldir</t>
  </si>
  <si>
    <t>118490 SUBEND</t>
  </si>
  <si>
    <t>118500 SUB Plot_move(Xm,Ym)</t>
  </si>
  <si>
    <t>118510 COM /Plot/@Plot,File$[80],Prima,Raps,Ang_piv,Lorg,Csize,Ldir</t>
  </si>
  <si>
    <t>118600 SUBEND</t>
  </si>
  <si>
    <t>118610 SUB Plot_draw(Xd,Yd)</t>
  </si>
  <si>
    <t>118620 COM /Plot/@Plot,File$[80],Prima,Raps,Ang_piv,Lorg,Csize,Ldir</t>
  </si>
  <si>
    <t>118630 CALL Rotazione(0,0,Xd,Yd,Ang_piv,X,Y)</t>
  </si>
  <si>
    <t>118660 SUBEND</t>
  </si>
  <si>
    <t>118670 SUB Plot_array(V(*))</t>
  </si>
  <si>
    <t>118680 N=SIZE(V,1)-1</t>
  </si>
  <si>
    <t>118690 Move=0</t>
  </si>
  <si>
    <t>118700 FOR I=0 TO N</t>
  </si>
  <si>
    <t>118780 NEXT I</t>
  </si>
  <si>
    <t>118790 SUBEND</t>
  </si>
  <si>
    <t>118811 SUB Plot_pivot(A)</t>
  </si>
  <si>
    <t>118812 COM /Plot/@Plot,File$[80],Prima,Raps,Ang_piv,Lorg,Csize,Ldir</t>
  </si>
  <si>
    <t>118830 SUBEND</t>
  </si>
  <si>
    <t>118840 SUB Rotazione(Xc,Yc,X,Y,Rot,Xr,Yr)</t>
  </si>
  <si>
    <t>118940 SUBEND</t>
  </si>
  <si>
    <t>118950 SUB Plot_label(Xt,Yt,T$)</t>
  </si>
  <si>
    <t>118960 COM /Plot/@Plot,File$[80],Prima,Raps,Ang_piv,Lorg,Csize,Ldir</t>
  </si>
  <si>
    <t>118970 CALL Rotazione(0,0,Xt,Yt,Ang_piv,X,Y)</t>
  </si>
  <si>
    <t>118990 IF Prima&lt;&gt;1 THEN OUTPUT @Plot;""</t>
  </si>
  <si>
    <t>119000 Prima=0</t>
  </si>
  <si>
    <t>119010 OUTPUT @Plot;"Testo"</t>
  </si>
  <si>
    <t>119020 OUTPUT @Plot;"G"</t>
  </si>
  <si>
    <t>119030 SELECT Lorg</t>
  </si>
  <si>
    <t>119040 CASE 1</t>
  </si>
  <si>
    <t>119050 OUTPUT @Plot;"BS"</t>
  </si>
  <si>
    <t>119060 CASE 2</t>
  </si>
  <si>
    <t>119070 OUTPUT @Plot;"MS"</t>
  </si>
  <si>
    <t>119080 CASE 3</t>
  </si>
  <si>
    <t>119090 OUTPUT @Plot;"AS"</t>
  </si>
  <si>
    <t>119100 CASE 4</t>
  </si>
  <si>
    <t>119110 OUTPUT @Plot;"BC"</t>
  </si>
  <si>
    <t>119120 CASE 5</t>
  </si>
  <si>
    <t>119130 OUTPUT @Plot;"MC"</t>
  </si>
  <si>
    <t>119140 CASE 6</t>
  </si>
  <si>
    <t>119150 OUTPUT @Plot;"AC"</t>
  </si>
  <si>
    <t>119160 CASE 7</t>
  </si>
  <si>
    <t>119170 OUTPUT @Plot;"BD"</t>
  </si>
  <si>
    <t>119180 CASE 8</t>
  </si>
  <si>
    <t>119190 OUTPUT @Plot;"MD"</t>
  </si>
  <si>
    <t>119200 CASE 9</t>
  </si>
  <si>
    <t>119210 OUTPUT @Plot;"AD"</t>
  </si>
  <si>
    <t>119220 END SELECT</t>
  </si>
  <si>
    <t>119230 OUTPUT @Plot;VAL$(X*Raps)&amp;","&amp;VAL$(Y*Raps)</t>
  </si>
  <si>
    <t>119240 OUTPUT @Plot;VAL$(Csize)</t>
  </si>
  <si>
    <t>119250 OUTPUT @Plot;VAL$(Ldir)</t>
  </si>
  <si>
    <t>119260 OUTPUT @Plot;T$</t>
  </si>
  <si>
    <t>119270 OUTPUT @Plot;""</t>
  </si>
  <si>
    <t>119280 SUBEND</t>
  </si>
  <si>
    <t>119290 SUB Plot_lorg(L)</t>
  </si>
  <si>
    <t>119300 COM /Plot/@Plot,File$[80],Prima,Raps,Ang_piv,Lorg,Csize,Ldir</t>
  </si>
  <si>
    <t>119310 Lorg=L</t>
  </si>
  <si>
    <t>119320 SUBEND</t>
  </si>
  <si>
    <t>119330 SUB Plot_csize(C)</t>
  </si>
  <si>
    <t>119340 COM /Plot/@Plot,File$[80],Prima,Raps,Ang_piv,Lorg,Csize,Ldir</t>
  </si>
  <si>
    <t>119350 Csize=C</t>
  </si>
  <si>
    <t>119360 SUBEND</t>
  </si>
  <si>
    <t>119370 SUB Plot_ldir(A)</t>
  </si>
  <si>
    <t>119380 COM /Plot/@Plot,File$[80],Prima,Raps,Ang_piv,Lorg,Csize,Ldir</t>
  </si>
  <si>
    <t>119390 Ldir=A</t>
  </si>
  <si>
    <t>119400 SUBEND         !        SUBEND</t>
  </si>
  <si>
    <t>119460 SUB Stampa_hp</t>
  </si>
  <si>
    <t>119610 SUBEND</t>
  </si>
  <si>
    <t>119630 SUB Plin(Ra,W1,W2,Pdir1,Xcen,Ycen)</t>
  </si>
  <si>
    <t>119640 COM /Plot/@Plot,File$[80],Prima,Raps,Ang_piv,Lorg,Csize,Ldir</t>
  </si>
  <si>
    <t>119650 WHERE X,Y,Stat$</t>
  </si>
  <si>
    <t>119660 Xm=Xcen</t>
  </si>
  <si>
    <t>119670 Ym=Ycen</t>
  </si>
  <si>
    <t>119680 FOR I=0 TO W2/W1*2*PI STEP (W2/W1*2*PI)/100</t>
  </si>
  <si>
    <t>119690 Xe=Xm+Ra*COS(I+Pdir1)</t>
  </si>
  <si>
    <t>119700 Ye=Ym+Ra*SIN(I+Pdir1)</t>
  </si>
  <si>
    <t>119710 IF I=0 THEN</t>
  </si>
  <si>
    <t>119750 IF I&lt;&gt;0 THEN</t>
  </si>
  <si>
    <t>119790 NEXT I</t>
  </si>
  <si>
    <t>119840 SUBEND</t>
  </si>
  <si>
    <t>90    PLOTTER IS CRT,"INTERNAL";COLOR MAP</t>
  </si>
  <si>
    <t>100  ALPHA PEN 10</t>
  </si>
  <si>
    <t>110  PRINT CHR$(128)</t>
  </si>
  <si>
    <t>120  INTEGER Video,Part,Utens</t>
  </si>
  <si>
    <t>140   COM Progettista$[12],Clear$[2],Home$[2],Cliente$[20],Dis$[20],K1$[9],Dp$[8],Mn$[13],Mt$[13],Apn$[10],Apt$[10],Apkn$[6],Ael$[10],Sen_el$[8],Senso$[8],N_ingr$[6],N_sag$[6]</t>
  </si>
  <si>
    <t>150   COM Topping$[6],Lavor$[15],Work$[35],Tip_colt$[50],Work_b$[15],Work_c$[15],Fgtorn$[6],Tip_colt1$[60],Carkey$[80],Rf1p$[80],Rasap$[8],Dk1_f$[8],Apktprt$[10],Tetaprt$[10]</t>
  </si>
  <si>
    <t>160   COM REAL Sp,Mn,Mt,Ael,Apn,Apt,Db1,Da1,Df1,Dnf1,Dnf1_pr,Dk1,Apkn,Apkt,Sn1,St1,St1_f,En1,Et1,Skt1,Skn1,Psbt1,X1,W1,Dm,Mdk,X_hap,X_hfp,X1mn,Dk1_f,Prtmdk,Prtw,Prtsps,Dk1_f1</t>
  </si>
  <si>
    <t>170   COM REAL Mwt,Da0,Dna0,Da0t,Pskbt1,Db0h,Db0t,Dkb0,D_stc_f,D_stc_i,Ra0,X_max,Swmt0,San0,Skwmt0,Dwm0,Apkwtm,Inv_apt,Gm,Zeta_h,Zeta_t,Zeta_kb_f,D_topp,Sykes,Dv0,Rf1p</t>
  </si>
  <si>
    <t>180   COM /Dati_rasatura/Et1_f,En1_f,Sn1_f,Mdk_f,W1_f,Dm_f,D_stc_fprt,D_stc_iprt</t>
  </si>
  <si>
    <t>190   COM INTEGER Z1,Z0,K1,Int,Elic,Std,Centro,Protuberanzap</t>
  </si>
  <si>
    <t>200   COM /Dati_ep/ REAL Dkb0h,Dkb0t,Psep_kb0h,Psep_kb0t,Psep_b0h,Psep_b0t,Da0_ep,Da0_ept,Da0_eph,H_pzepm_t,H_pzepm_h</t>
  </si>
  <si>
    <t>210   COM /Mola/ REAL Swmnm_h,Swmnm_t,Skwmnm_h,Skwmnm_t,Apwmnmh,Apwmnmt,Apkwmnmh,Apkwmnmt,Xep0h_max,Xep0t_max,Gm_eph,Gm_ept,Aelwm0,Df0,Teta,Tau</t>
  </si>
  <si>
    <t>220   COM /Str_dati_ut/Tau$[8],Zeta_h$[9],Zeta_t$[9],Aelwm0$[8],Teta$[8],Apwmnmt$[8],Apwmnmh$[8],Apkwmnmt$[8],Apkwmnmh$[8],Aelb0h_m$[16],Aelb0t_m$[16]</t>
  </si>
  <si>
    <t>230   COM /Str_dati_ut/Part$[23]</t>
  </si>
  <si>
    <t>240   COM /Dati_ut_dis/ REAL Prtz,Hab,H_ra0,H_vn0,Hk0,S_vn0,Dk0,X0,X_hap0,W0,K,H_ut,H_err_max,Err_max,Err_max_dk,L_ut,Pz0,Pz0_h,Pz0_t,Pbt,Eta</t>
  </si>
  <si>
    <t>250   COM /Collaudo/ REAL Db0h_m,Db0t_m,Fha_h,Fha_t,Alfa_e_h,Alfa_e_t,Aelb0h,Aelb0t,Gioco,Inesistente,Dx_inesistente,Sx_inesistente,Dna1_2</t>
  </si>
  <si>
    <t>270   OUTPUT KBD;"SCRATCH KEYÿX";          !OFF KEY</t>
  </si>
  <si>
    <t>280   Clear$=CHR$(255)&amp;CHR$(75)                !KEY CLR Video</t>
  </si>
  <si>
    <t>290   Home$=CHR$(255)&amp;CHR$(84)                 !KEY riallineamento video</t>
  </si>
  <si>
    <t>300   STATUS 1,9;Video                         !Dimensioni CRT =Video</t>
  </si>
  <si>
    <t>310   Centro=(Video-36)/2                      !Centro CRT=Centro</t>
  </si>
  <si>
    <t>320   PRINTER IS CRT                           !Stampa su video</t>
  </si>
  <si>
    <t>330   GRAPHICS OFF</t>
  </si>
  <si>
    <t>340   CONTROL 2,1;0                            !PRT ALL OFF</t>
  </si>
  <si>
    <t>350   CONTROL 1,4;0                            !DISP FCTNS OFF</t>
  </si>
  <si>
    <t>360   OUTPUT 2;Clear$;                         !Clear CRT</t>
  </si>
  <si>
    <t>380           ALPHA PEN 5</t>
  </si>
  <si>
    <t>390           PRINT</t>
  </si>
  <si>
    <t>400           PRINT</t>
  </si>
  <si>
    <t>410           PRINT</t>
  </si>
  <si>
    <t>420           PRINT</t>
  </si>
  <si>
    <t>430           PRINT</t>
  </si>
  <si>
    <t>440           PRINT TAB(Centro);</t>
  </si>
  <si>
    <t>450           PRINT CHR$(129);"PROGRAMMA PER IL CALCOLO"</t>
  </si>
  <si>
    <t>460           PRINT CHR$(128);</t>
  </si>
  <si>
    <t>470           PRINT TAB(Centro-4);</t>
  </si>
  <si>
    <t>480           PRINT CHR$(129);"DI UN'UTENSILE STOZZATORE FELLOWS"</t>
  </si>
  <si>
    <t>490           PRINT CHR$(128);</t>
  </si>
  <si>
    <t>500           PRINT TAB(Centro-2);</t>
  </si>
  <si>
    <t>510           PRINT CHR$(129);"A DENTI DIRITTI O ELICOIDALI"</t>
  </si>
  <si>
    <t>520           PRINT CHR$(128);</t>
  </si>
  <si>
    <t>530           PRINT TAB(Centro-3);</t>
  </si>
  <si>
    <t>540           PRINT CHR$(129);"PER LA DENTATURA DI PARTICOLARI"</t>
  </si>
  <si>
    <t>550           PRINT CHR$(128);</t>
  </si>
  <si>
    <t>560           PRINT TAB(Centro+3);</t>
  </si>
  <si>
    <t>570           PRINT CHR$(129);"ESTERNI OD INTERNI"</t>
  </si>
  <si>
    <t>580           PRINT CHR$(128)</t>
  </si>
  <si>
    <t>590           PRINT</t>
  </si>
  <si>
    <t>600           PRINT</t>
  </si>
  <si>
    <t>610           PRINT</t>
  </si>
  <si>
    <t>620           PRINT</t>
  </si>
  <si>
    <t>630           PRINT</t>
  </si>
  <si>
    <t>640           PRINT</t>
  </si>
  <si>
    <t>650           PRINT</t>
  </si>
  <si>
    <t>670           PRINT</t>
  </si>
  <si>
    <t>710           PRINT</t>
  </si>
  <si>
    <t>730           PRINT</t>
  </si>
  <si>
    <t>936           PRINT</t>
  </si>
  <si>
    <t>1030   IF Mn=0 THEN</t>
  </si>
  <si>
    <t>1040              GOTO 1180</t>
  </si>
  <si>
    <t>1050              ELSE</t>
  </si>
  <si>
    <t>1060              BEEP 3000,1</t>
  </si>
  <si>
    <t>1070              BEEP 2000,.5</t>
  </si>
  <si>
    <t>1080              OUTPUT 2;Clear$;</t>
  </si>
  <si>
    <t>1090              PRINT TABXY(10,10);</t>
  </si>
  <si>
    <t>1100              PRINT CHR$(129);</t>
  </si>
  <si>
    <t>1110              PRINT "#####  ATTENZIONE  #####"</t>
  </si>
  <si>
    <t>1120 DISP "ANNULLA le VARIABILI con uno ''SCRATCH C'' per USARE il programma ."</t>
  </si>
  <si>
    <t>1130              PRINT CHR$(128);</t>
  </si>
  <si>
    <t>1140              ENTER 2;A$</t>
  </si>
  <si>
    <t>1150              GOTO 50</t>
  </si>
  <si>
    <t>1160              END IF</t>
  </si>
  <si>
    <t>1180  OUTPUT 2;Clear$;                         !Clear CRT</t>
  </si>
  <si>
    <t>1240  LINPUT "INTRODURRE il NOME del PROGETTISTA",Progettista$</t>
  </si>
  <si>
    <t>1270                       GOTO Okvai</t>
  </si>
  <si>
    <t>1290                       BEEP 3000,1</t>
  </si>
  <si>
    <t>1300                       DISP "Il NOME per QUESTO COMPUTER non è CORRETTO !!!!!"</t>
  </si>
  <si>
    <t>1310                       WAIT 1</t>
  </si>
  <si>
    <t>1320                       GOTO Prgname</t>
  </si>
  <si>
    <t xml:space="preserve">1350 Okvai: ! </t>
  </si>
  <si>
    <t>1370                   GOTO Clientename</t>
  </si>
  <si>
    <t>1390                   GOTO Prgname</t>
  </si>
  <si>
    <t xml:space="preserve">1420 Clientename: !      </t>
  </si>
  <si>
    <t>1430   ALPHA PEN 5</t>
  </si>
  <si>
    <t>1440   ON KEY 1 LABEL "LIEBHERR LVT" GOTO Lvt</t>
  </si>
  <si>
    <t>1450   ON KEY 4 LABEL "ALTRO" GOTO Altro</t>
  </si>
  <si>
    <t xml:space="preserve">1490 Lvt: Cliente$="LIEBHERR LVT"  !      </t>
  </si>
  <si>
    <t>1530  LINPUT "INTRODURRE IL NOME DEL CLIENTE",Cliente$</t>
  </si>
  <si>
    <t>1570  LINPUT "INTRODURRE IL NUMERO DI DISEGNO DEL PARTICOLARE",Part$</t>
  </si>
  <si>
    <t>1580  LINPUT "INTRODURRE IL NUMERO DEL DISEGNO DELL'UTENSILE",Dis$</t>
  </si>
  <si>
    <t>1600        ALPHA PEN 10</t>
  </si>
  <si>
    <t>1610        PRINT CHR$(128);</t>
  </si>
  <si>
    <t>1620        OUTPUT KBD;Home$;                  !Riallineamento video</t>
  </si>
  <si>
    <t>1630        PRINT TABXY(1,1)                   !Prima linea di testa bianca</t>
  </si>
  <si>
    <t>1640        PRINT TAB(Centro);"KEY      SCOPO "</t>
  </si>
  <si>
    <t>1650        PRINT TAB(Centro);"---------------------------------------------"</t>
  </si>
  <si>
    <t>1660        PRINT TAB(Centro);" k0       INTRODUZIONE DATI PARTICOLARE "</t>
  </si>
  <si>
    <t>1670        PRINT</t>
  </si>
  <si>
    <t>1680        PRINT TAB(Centro);" k1       INGRANDIMENTO PROFILO PARTICOLARE"</t>
  </si>
  <si>
    <t>1690        PRINT</t>
  </si>
  <si>
    <t>1700        PRINT TAB(Centro);" k2       INTRODUZIONE E CALCOLO DATI UTENSILE"</t>
  </si>
  <si>
    <t>1710        PRINT</t>
  </si>
  <si>
    <t>1720        PRINT TAB(Centro);" k3       INGRANDIMENTO PROFILO UTENSILE"</t>
  </si>
  <si>
    <t>1730        PRINT</t>
  </si>
  <si>
    <t>1740        PRINT TAB(Centro);" k4       CALCOLO E INGRANDIMENTO SAGOMA"</t>
  </si>
  <si>
    <t>1750        PRINT</t>
  </si>
  <si>
    <t>1760        PRINT TAB(Centro);" k5       STAMPA DEI RISULTATI"</t>
  </si>
  <si>
    <t>1770        PRINT</t>
  </si>
  <si>
    <t>1780        PRINT TAB(Centro);" k6       STAMPA DISEGNO PER TORNERIA"</t>
  </si>
  <si>
    <t>1790        PRINT</t>
  </si>
  <si>
    <t>1800        PRINT TAB(Centro);" k9       RITORNO AL MENU' PROGRAMMI"</t>
  </si>
  <si>
    <t>1820 DISP "Premere la SOFTKEY corrispondente all'operazione da eseguire";</t>
  </si>
  <si>
    <t>1830 ALPHA PEN 5</t>
  </si>
  <si>
    <t>1840   ON KEY 1 LABEL "DATI PARTIC." GOTO Insert_dati</t>
  </si>
  <si>
    <t>1850   ON KEY 2 LABEL "INGR.PARTIC." GOTO Ingr_part</t>
  </si>
  <si>
    <t>1860   ON KEY 3 LABEL "DATI UTENSILE" GOTO Utensile</t>
  </si>
  <si>
    <t>1870   ON KEY 4 LABEL "INGR.UTENSILE" GOTO Ingr_ut</t>
  </si>
  <si>
    <t>1880   ON KEY 5 LABEL "SAGOMA" GOTO Sagoma</t>
  </si>
  <si>
    <t>1890   ON KEY 6 LABEL "STAMPA DATI" GOTO Stampa</t>
  </si>
  <si>
    <t>1910   ON KEY 7 LABEL "MENU'PROG." GOTO Uscita</t>
  </si>
  <si>
    <t>1920   ON KEY 8 LABEL "PRG.NILES" GOTO Prg_nils</t>
  </si>
  <si>
    <t>2045          IF NOT Elic THEN</t>
  </si>
  <si>
    <t>2046               Mt=Mn</t>
  </si>
  <si>
    <t>2047               Apkt=Apkn</t>
  </si>
  <si>
    <t>2048               St1=Sn1</t>
  </si>
  <si>
    <t>2049               Et1=En1</t>
  </si>
  <si>
    <t>2050          END IF</t>
  </si>
  <si>
    <t>2051            Inv_apt=TAN(Apt)-Apt</t>
  </si>
  <si>
    <t>2052            Psbt1=St1/(Mt*Z1)+Inv_apt</t>
  </si>
  <si>
    <t>2053        IF Dk1 THEN</t>
  </si>
  <si>
    <t>2054            Inv_apkt1=TAN(ACS(Db1/Dk1))-ACS(Db1/Dk1)</t>
  </si>
  <si>
    <t>2055            Skt1=Dk1*(St1/D1+Inv_apt-Inv_apkt1)</t>
  </si>
  <si>
    <t>2056            Dkb1=Mt*Z1*COS(Apkt)</t>
  </si>
  <si>
    <t>2057            Inv_apkkt1=TAN(ACS(Dkb1/Dk1))-ACS(Dkb1/Dk1)</t>
  </si>
  <si>
    <t>2058            Pskbt1=Skt1/Dk1+Inv_apkkt1</t>
  </si>
  <si>
    <t>2059        END IF</t>
  </si>
  <si>
    <t>2060        IF Elic THEN</t>
  </si>
  <si>
    <t>2061            Pz=ABS(D1)*PI/TAN(Ael)</t>
  </si>
  <si>
    <t>2062        END IF</t>
  </si>
  <si>
    <t>2064        IF Elic AND Dk1 THEN</t>
  </si>
  <si>
    <t>2065            Aelk1=ATN(ABS(Dk1)*PI/Pz)</t>
  </si>
  <si>
    <t>2066            Skn1=Skt1*COS(Aelk1)</t>
  </si>
  <si>
    <t>2067        END IF</t>
  </si>
  <si>
    <t>2072            INTEGER R_t</t>
  </si>
  <si>
    <t>2073            IF Int THEN Dnf1=-Dnf1</t>
  </si>
  <si>
    <t>2074            R_t=4</t>
  </si>
  <si>
    <t>2075         IF ABS(Df1)&lt;ABS(Db1) THEN</t>
  </si>
  <si>
    <t>2076            A=ABS((Db1-Df1)/2)</t>
  </si>
  <si>
    <t>2077         ELSE</t>
  </si>
  <si>
    <t>2078            A=0</t>
  </si>
  <si>
    <t>2079         END IF</t>
  </si>
  <si>
    <t>2080         IF Int THEN</t>
  </si>
  <si>
    <t>2081                    B=ABS(Df1-Db1)/2</t>
  </si>
  <si>
    <t>2082         ELSE</t>
  </si>
  <si>
    <t>2083                    B=2*Mn</t>
  </si>
  <si>
    <t>2084         END IF</t>
  </si>
  <si>
    <t>2085            Apnf1=ACS(Db1/Dnf1)</t>
  </si>
  <si>
    <t>2087            Rf1=Root</t>
  </si>
  <si>
    <t>2088    Rf1p$=VAL$(Rf1)</t>
  </si>
  <si>
    <t>2099                   BEEP 2000,.2            ! Avviso per KEY non attivata</t>
  </si>
  <si>
    <t>2100                   GOTO Spin            ! Ritorno al LOOP</t>
  </si>
  <si>
    <t>2103                Part=1                  ! Attivazione registro Part</t>
  </si>
  <si>
    <t>2104                OUTPUT 2;Clear$;            ! CLR video</t>
  </si>
  <si>
    <t>2105                OFF KEY</t>
  </si>
  <si>
    <t>2106                CALL Dati_particol            !Accesso al sottopr.per il part.</t>
  </si>
  <si>
    <t>2107                GOTO Menu               ! Ritorno al Menu</t>
  </si>
  <si>
    <t>2110              IF Part THEN              ! Verifica esistenza dati part.</t>
  </si>
  <si>
    <t>2111              OUTPUT 2;Clear$;            ! CLR video</t>
  </si>
  <si>
    <t>2112              OFF KEY</t>
  </si>
  <si>
    <t>2120              CALL Ingr_particol</t>
  </si>
  <si>
    <t>2130              ELSE</t>
  </si>
  <si>
    <t>2140              GOTO Fuori_servizio            ! Ritorno alla routine di errore</t>
  </si>
  <si>
    <t>2150              END IF</t>
  </si>
  <si>
    <t>2160              GOTO Menu                 !Ritorno al Menu</t>
  </si>
  <si>
    <t>2190              IF Part THEN              ! Verifica esistenza dati part.</t>
  </si>
  <si>
    <t>2200              OUTPUT 2;Clear$;            ! CLR video</t>
  </si>
  <si>
    <t>2210              OFF KEY</t>
  </si>
  <si>
    <t>2220              Utens=1                   ! Attivazione registro Utens</t>
  </si>
  <si>
    <t>2230              CALL Dati_utensile</t>
  </si>
  <si>
    <t>2240              ELSE</t>
  </si>
  <si>
    <t>2250              GOTO Fuori_servizio            ! Ritorno alla routine di errore</t>
  </si>
  <si>
    <t>2260              END IF</t>
  </si>
  <si>
    <t>2270              GOTO Menu                 ! Ritorno al Menu</t>
  </si>
  <si>
    <t>2300              IF Utens THEN             ! Verifica esistenza dati utens.</t>
  </si>
  <si>
    <t>2310              OUTPUT 2;Clear$;            !CLR video</t>
  </si>
  <si>
    <t>2320              OFF KEY</t>
  </si>
  <si>
    <t>2330              CALL Ingr_utens</t>
  </si>
  <si>
    <t>2340              ELSE</t>
  </si>
  <si>
    <t>2350              GOTO Fuori_servizio            ! Ritorno alla routine di errore</t>
  </si>
  <si>
    <t>2360              END IF</t>
  </si>
  <si>
    <t>2370              GOTO Menu                 ! Ritorno al Menu</t>
  </si>
  <si>
    <t>2400             IF Utens THEN              ! Verifica esistenza dati utens</t>
  </si>
  <si>
    <t>2410             OUTPUT 2;Clear$;            ! CLR video</t>
  </si>
  <si>
    <t>2420             OFF KEY</t>
  </si>
  <si>
    <t>2430             CALL Sagoma_mola            !Accesso al sottopr.sagoma</t>
  </si>
  <si>
    <t>2440             ELSE</t>
  </si>
  <si>
    <t>2450             GOTO Fuori_servizio            ! Ritorno alla routine di errore</t>
  </si>
  <si>
    <t>2460             END IF</t>
  </si>
  <si>
    <t>2470             GOTO Menu                  ! Ritorno al menu</t>
  </si>
  <si>
    <t>2500             IF Utens THEN              ! Verifica esistenza dati utens.</t>
  </si>
  <si>
    <t>2510             OUTPUT 2;Clear$;            ! CLR video</t>
  </si>
  <si>
    <t>2520             OFF KEY</t>
  </si>
  <si>
    <t>2530             CALL Stampa_dati            ! Accesso al sottopr.* la stampa</t>
  </si>
  <si>
    <t>2540             ELSE</t>
  </si>
  <si>
    <t>2550             GOTO Fuori_servizio            ! Ritorno alla routine di errore</t>
  </si>
  <si>
    <t>2560             END IF</t>
  </si>
  <si>
    <t>2570             GOTO Menu                  ! Ritorno al menu</t>
  </si>
  <si>
    <t>2600             IF Utens THEN              ! Verifica esistenza dati utens.</t>
  </si>
  <si>
    <t>2610             OUTPUT 2;Clear$;            ! CLR video</t>
  </si>
  <si>
    <t>2620             CALL Dis_torneria            ! Accesso al sottopr.dis.torneria</t>
  </si>
  <si>
    <t>2630             ELSE</t>
  </si>
  <si>
    <t>2640             GOTO Fuori_servizio            ! Ritorno alla routine di errore</t>
  </si>
  <si>
    <t>2650             END IF</t>
  </si>
  <si>
    <t>2660             GOTO Menu                  ! Ritorno al menu</t>
  </si>
  <si>
    <t>2690             OUTPUT 2;Clear$;</t>
  </si>
  <si>
    <t>2700             CALL Cartellino</t>
  </si>
  <si>
    <t>2710             GOTO Menu</t>
  </si>
  <si>
    <t>2740             OUTPUT 2;Clear$;</t>
  </si>
  <si>
    <t>2750             LINPUT "VUOI VERAMENTE TERMINARE il PROGRAMMA ? [NO/CONTINUE]",Prg_out$</t>
  </si>
  <si>
    <t>2760             IF LEN(Prg_out$) THEN</t>
  </si>
  <si>
    <t>2770                                 LOAD "NILES"</t>
  </si>
  <si>
    <t>2780             ELSE</t>
  </si>
  <si>
    <t>2790                                 GOTO Menu</t>
  </si>
  <si>
    <t>2800             END IF</t>
  </si>
  <si>
    <t>2830             OUTPUT 2;Clear$;</t>
  </si>
  <si>
    <t>2840             LINPUT "VUOI VERAMENTE TERMINARE il PROGRAMMA ? [NO/CONTINUE]",Prg_out$</t>
  </si>
  <si>
    <t>2850             IF LEN(Prg_out$) THEN</t>
  </si>
  <si>
    <t>2860                                 LOAD "C:\programmi\htbwin83\newprog\hello2000"</t>
  </si>
  <si>
    <t>2870             ELSE</t>
  </si>
  <si>
    <t>2880                                 GOTO Menu</t>
  </si>
  <si>
    <t>2890             END IF</t>
  </si>
  <si>
    <t>2900             END                        ! Fine programma</t>
  </si>
  <si>
    <t>2910    SUB Dis_torneria</t>
  </si>
  <si>
    <t>2920    OFF KEY</t>
  </si>
  <si>
    <t>2930    DISP "SUBPRROGRAMM non attivato premere CONTINUE "</t>
  </si>
  <si>
    <t>2940    ENTER 2;A$</t>
  </si>
  <si>
    <t>2950    OUTPUT 2;Clear$;</t>
  </si>
  <si>
    <t>2960   SUBEND</t>
  </si>
  <si>
    <t>2990    SUB Gms_rad(Ang$,Ang,INTEGER Gr,Min,Sec)</t>
  </si>
  <si>
    <t>3010    Gr=0</t>
  </si>
  <si>
    <t>3020    Min=0</t>
  </si>
  <si>
    <t>3030    Sec=0</t>
  </si>
  <si>
    <t>3040    Delim=0</t>
  </si>
  <si>
    <t>3050    Delim_2=0</t>
  </si>
  <si>
    <t>3060    IF POS(Ang$,".") THEN</t>
  </si>
  <si>
    <t>3070    Delim=POS(Ang$,".")</t>
  </si>
  <si>
    <t>3080    Gr=VAL(Ang$[1,Delim])</t>
  </si>
  <si>
    <t>3090    Min=VAL(Ang$[Delim+1;2])</t>
  </si>
  <si>
    <t>3100    IF POS(Ang$[Delim+1],".") THEN</t>
  </si>
  <si>
    <t>3110    Delim_2=POS(Ang$[Delim+1],".")</t>
  </si>
  <si>
    <t>3120    Sec=VAL(Ang$[Delim+Delim_2+1;2])</t>
  </si>
  <si>
    <t>3130    Min_2=Min+Sec/60</t>
  </si>
  <si>
    <t>3140    ELSE</t>
  </si>
  <si>
    <t>3150    Min_2=Min</t>
  </si>
  <si>
    <t>3160    END IF</t>
  </si>
  <si>
    <t>3170    ELSE</t>
  </si>
  <si>
    <t>3180    Gr=VAL(Ang$)</t>
  </si>
  <si>
    <t>3190    END IF</t>
  </si>
  <si>
    <t>3200    IF NOT Delim THEN Min_2=0</t>
  </si>
  <si>
    <t>3210    Gr_2=Gr+Min_2/60</t>
  </si>
  <si>
    <t>3220    Ang=Gr_2*PI/180</t>
  </si>
  <si>
    <t>3230    SUBEND</t>
  </si>
  <si>
    <t>3250    SUB Rad_gms(Ang,INTEGER G,Mi,S)</t>
  </si>
  <si>
    <t>3270    Ang=Ang*180/PI</t>
  </si>
  <si>
    <t>3280    G=INT(Ang)</t>
  </si>
  <si>
    <t>3290    Min_sec=FRACT(Ang)</t>
  </si>
  <si>
    <t>3300    Mi=INT(Min_sec*60)</t>
  </si>
  <si>
    <t>3310    S=INT((FRACT(Min_sec*60))*60)</t>
  </si>
  <si>
    <t>3320    SUBEND</t>
  </si>
  <si>
    <t>3340    SUB Bisect(A,B,Root,Da0,OPTIONAL Da1,Df1,Eaat1,Psat0,Db0,Apna0,Apnf1,Psbt0,Pskbt1_max,Dkb1,Psbt1,Gm,Ra0,Mwt,Solz(*),Db1,INTEGER Z0,Z1,R_t)</t>
  </si>
  <si>
    <t>3360    COM /Dati_ep/ REAL Dkb0h,Dkb0t,Psep_kb0h,Psep_kb0t,Psep_b0h,Psep_b0t,Da0_ep,Da0_ept,Da0_eph,H_pzepm_t,H_pzepm_h</t>
  </si>
  <si>
    <t>3380    Maxbi=1000</t>
  </si>
  <si>
    <t>3390    Tol=1.E-7</t>
  </si>
  <si>
    <t>3400               IF R_t=5 THEN</t>
  </si>
  <si>
    <t>3410                             Delta_x=.03</t>
  </si>
  <si>
    <t>3420                             N=0</t>
  </si>
  <si>
    <t>3430                             N_rad=2</t>
  </si>
  <si>
    <t>3440               END IF</t>
  </si>
  <si>
    <t>3460          X=A</t>
  </si>
  <si>
    <t>3470               IF R_t=5 THEN</t>
  </si>
  <si>
    <t>3480                             IF N&gt;=N_rad THEN Exit</t>
  </si>
  <si>
    <t>3490                             N=N+1</t>
  </si>
  <si>
    <t>3500               END IF</t>
  </si>
  <si>
    <t>3520          SELECT R_t</t>
  </si>
  <si>
    <t>3530          CASE 0</t>
  </si>
  <si>
    <t>3540          Y=FNF(X,Da1,Eaat1,Da0,Psat0,Z0,Z1)</t>
  </si>
  <si>
    <t>3550          CASE 1</t>
  </si>
  <si>
    <t>3560          Y=FNR_testa_ut(Db0,Da0,Apna0,X)</t>
  </si>
  <si>
    <t>3570          CASE 2</t>
  </si>
  <si>
    <t>3580          Y=FNRacc_testa_ut(Db0,Da0,Psbt0,X)</t>
  </si>
  <si>
    <t>3590          CASE 3</t>
  </si>
  <si>
    <t>3600          Y=FNS_dent_bis(X,Pskbt1_max,Dkb1,Db1,Psbt1)</t>
  </si>
  <si>
    <t>3610          CASE 4</t>
  </si>
  <si>
    <t>3620          Y=FNR_fondo_p(Db1,Df1,Apnf1,X)</t>
  </si>
  <si>
    <t>3630          CASE 5</t>
  </si>
  <si>
    <t>3640          CALL Troc(X,Db1,Da0,Ra0,Mwt,Psbt1,Gm,Dt,Ph,Y,Z0,Z1)</t>
  </si>
  <si>
    <t>3650          CASE 6</t>
  </si>
  <si>
    <t>3660          Y=FNDwtm(X,Teta,Pz0_t,Pz0_h,Db0h,Db0t)</t>
  </si>
  <si>
    <t>3670          CASE 7</t>
  </si>
  <si>
    <t>3680          Y=FNDf0_cusp(X,Psep_kb0h,Psep_kb0t,Dkb0h,Dkb0t,Z0)</t>
  </si>
  <si>
    <t>3690          END SELECT</t>
  </si>
  <si>
    <t>3710          F=Y</t>
  </si>
  <si>
    <t>3720                IF R_t=5 THEN</t>
  </si>
  <si>
    <t>3730                             A=A+Delta_x</t>
  </si>
  <si>
    <t>3740                          IF A&gt;B THEN Exit</t>
  </si>
  <si>
    <t>3750                             X=A</t>
  </si>
  <si>
    <t>3760                    CALL Troc(X,Db1,Da0,Ra0,Mwt,Psbt1,Gm,Dt,Ph,Y,Z0,Z1)</t>
  </si>
  <si>
    <t>3770                             Prod=F*Y</t>
  </si>
  <si>
    <t>3780                          IF Prod&gt;0 THEN F</t>
  </si>
  <si>
    <t>3790                          IF Prod&lt;0 THEN Lr_1</t>
  </si>
  <si>
    <t>3800                          IF F&lt;&gt;0 THEN Root_1</t>
  </si>
  <si>
    <t>3810                             X=A-Delta_x</t>
  </si>
  <si>
    <t>3820                             Y=F</t>
  </si>
  <si>
    <t>3840                             Solz(N)=X</t>
  </si>
  <si>
    <t>3850                             A=A+Delta_x</t>
  </si>
  <si>
    <t>3860                             GOTO Start</t>
  </si>
  <si>
    <t>3870               END IF</t>
  </si>
  <si>
    <t>3890               IF R_t=5 THEN</t>
  </si>
  <si>
    <t>3900                             Left=A-Delta_x</t>
  </si>
  <si>
    <t>3910                             Right=A</t>
  </si>
  <si>
    <t>3920               ELSE</t>
  </si>
  <si>
    <t>3930                             Left=A</t>
  </si>
  <si>
    <t>3940                             Right=B</t>
  </si>
  <si>
    <t>3950               END IF</t>
  </si>
  <si>
    <t>3960          C=0</t>
  </si>
  <si>
    <t>3980          X=(Left+Right)/2</t>
  </si>
  <si>
    <t>3990          SELECT R_t</t>
  </si>
  <si>
    <t>4000          CASE 0</t>
  </si>
  <si>
    <t>4010          Y=FNF(X,Da1,Eaat1,Da0,Psat0,Z0,Z1)</t>
  </si>
  <si>
    <t>4020          CASE 1</t>
  </si>
  <si>
    <t>4030          Y=FNR_testa_ut(Db0,Da0,Apna0,X)</t>
  </si>
  <si>
    <t>4040          CASE 2</t>
  </si>
  <si>
    <t>4050          Y=FNRacc_testa_ut(Db0,Da0,Psbt0,X)</t>
  </si>
  <si>
    <t>4060          CASE 3</t>
  </si>
  <si>
    <t>4070          Y=FNS_dent_bis(X,Pskbt1_max,Dkb1,Db1,Psbt1)</t>
  </si>
  <si>
    <t>4080          CASE 4</t>
  </si>
  <si>
    <t>4090          Y=FNR_fondo_p(Db1,Df1,Apnf1,X)</t>
  </si>
  <si>
    <t>4100          CASE 5</t>
  </si>
  <si>
    <t>4110          CALL Troc(X,Db1,Da0,Ra0,Mwt,Psbt1,Gm,Dt,Ph,Y,Z0,Z1)</t>
  </si>
  <si>
    <t>4120          CASE 6</t>
  </si>
  <si>
    <t>4130          Y=FNDwtm(X,Teta,Pz0_t,Pz0_h,Db0h,Db0t)</t>
  </si>
  <si>
    <t>4140          CASE 7</t>
  </si>
  <si>
    <t>4150          Y=FNDf0_cusp(X,Psep_kb0h,Psep_kb0t,Dkb0h,Dkb0t,Z0)</t>
  </si>
  <si>
    <t>4160          END SELECT</t>
  </si>
  <si>
    <t>4170          C=C+1</t>
  </si>
  <si>
    <t>4180          IF C&gt;Maxbi THEN N_bis</t>
  </si>
  <si>
    <t>4190          IF ABS(Y)&lt;Tol THEN Root</t>
  </si>
  <si>
    <t>4200          Prod=F*Y</t>
  </si>
  <si>
    <t>4210          IF Prod&lt;=0 THEN Prod</t>
  </si>
  <si>
    <t>4220          Left=X</t>
  </si>
  <si>
    <t>4230          F=Y</t>
  </si>
  <si>
    <t>4240          GOTO Lr</t>
  </si>
  <si>
    <t>4260          IF Prod=0 THEN Root</t>
  </si>
  <si>
    <t>4270          Right=X</t>
  </si>
  <si>
    <t>4280          GOTO Lr</t>
  </si>
  <si>
    <t>4300                IF R_t=5 THEN</t>
  </si>
  <si>
    <t>4310                             Solz(N)=X</t>
  </si>
  <si>
    <t>4320                             GOTO Start</t>
  </si>
  <si>
    <t>4330                ELSE</t>
  </si>
  <si>
    <t>4340                             Root=X</t>
  </si>
  <si>
    <t>4350                             GOTO Exit</t>
  </si>
  <si>
    <t>4360                END IF</t>
  </si>
  <si>
    <t>4380          DISP "MAX N.DI BISEZIONI RAGGIUNTO"</t>
  </si>
  <si>
    <t>4390          ENTER 2;A$</t>
  </si>
  <si>
    <t>4400          GOTO Exit</t>
  </si>
  <si>
    <t>4420          SUBEXIT</t>
  </si>
  <si>
    <t>4430   SUBEND</t>
  </si>
  <si>
    <t>4450   DEF FNF(X,Da1,Eaat1,Da0,Psat0,INTEGER Z0,Z1)</t>
  </si>
  <si>
    <t>4470     RETURN F</t>
  </si>
  <si>
    <t>4480     FNEND</t>
  </si>
  <si>
    <t>4500   DEF FNR_testa_ut(Db0,Da0,Apna0,X)</t>
  </si>
  <si>
    <t>4510      Apc0=ACS(Db0/(Da0-2*X))</t>
  </si>
  <si>
    <t>4530      RETURN F</t>
  </si>
  <si>
    <t>4540      FNEND</t>
  </si>
  <si>
    <t>4560    DEF FNRacc_testa_ut(Db0,Da0,Psbt0,X)</t>
  </si>
  <si>
    <t>4570      Apc0=ACS(Db0/(Da0-2*X))</t>
  </si>
  <si>
    <t>4590      RETURN F</t>
  </si>
  <si>
    <t>4600      FNEND</t>
  </si>
  <si>
    <t>4620    DEF FNInv(Inv_ap)</t>
  </si>
  <si>
    <t>4630      X=Inv_ap^.66666667</t>
  </si>
  <si>
    <t>4640      Y=1+X*(1.04004192+X*(.32450594+X*(-.00320902+X*(-.00893663+X*(.00318978+X*(.00047725))))))</t>
  </si>
  <si>
    <t>4660      RETURN F</t>
  </si>
  <si>
    <t>4670      FNEND</t>
  </si>
  <si>
    <t>4690    DEF FNS_dent_bis(X,Pskbt1_max,Dkb1,Db1,Psbt1)</t>
  </si>
  <si>
    <t>4710            IF ABS(X)&lt;ABS(Dkb1) THEN X=Dkb1</t>
  </si>
  <si>
    <t>4720            Z=ACS(Dkb1/X)</t>
  </si>
  <si>
    <t>4730                         IF ABS(X)&lt;ABS(Db1) THEN</t>
  </si>
  <si>
    <t>4740                                                Y=1</t>
  </si>
  <si>
    <t>4750                         ELSE</t>
  </si>
  <si>
    <t>4760                                                Y=Db1/X</t>
  </si>
  <si>
    <t>4770                         END IF</t>
  </si>
  <si>
    <t>4780            Y=ACS(Y)</t>
  </si>
  <si>
    <t>4800                RETURN F</t>
  </si>
  <si>
    <t>4810                FNEND</t>
  </si>
  <si>
    <t>4830    DEF FNR_fondo_p(Db1,Df1,Apnf1,X)</t>
  </si>
  <si>
    <t>4860           RETURN F</t>
  </si>
  <si>
    <t>4870           FNEND</t>
  </si>
  <si>
    <t>4890   SUB Troc(X,Db1,Da0,Ra0,Mwt,Psbt1,Gm,Dt,Ph,Y,INTEGER Z0,Z1)</t>
  </si>
  <si>
    <t>4910           INTEGER S</t>
  </si>
  <si>
    <t>4920           Dc0=Da0-2*Ra0</t>
  </si>
  <si>
    <t>4930                   IF Dc0&lt;Mwt*Z0 THEN</t>
  </si>
  <si>
    <t>4940                                           S=-1</t>
  </si>
  <si>
    <t>4950                   ELSE</t>
  </si>
  <si>
    <t>4960                                           S=1</t>
  </si>
  <si>
    <t>4970                   END IF</t>
  </si>
  <si>
    <t>4980           Cp=(Mwt*Z0)/(2*SIN(X))*SIN(S*(-X+ASN(Dc0/(Mwt*Z0)*SIN(X))))</t>
  </si>
  <si>
    <t>4990           Dt=Z1/ABS(Z1)*2*SQR((S*Ra0+Cp)^2+(Mwt*Z1)^2/4-S*(S*Ra0+Cp)*(Mwt*Z1)*COS(ASN(Dc0/(Mwt*Z0)*SIN(X))))</t>
  </si>
  <si>
    <t>5000           Ph=PI/Z1+S*(-ASN((S*Ra0+Cp)/(.5*Dt)*Dc0/(Mwt*Z0)*SIN(X)))+Z0/Z1*(+ASN(Dc0/(Mwt*Z0)*SIN(X))-X-Gm)</t>
  </si>
  <si>
    <t>5010        IF ABS(Dt)&lt;ABS(Db1) THEN</t>
  </si>
  <si>
    <t>5020                      Q=1</t>
  </si>
  <si>
    <t>5030        ELSE</t>
  </si>
  <si>
    <t>5040                      Q=Db1/Dt</t>
  </si>
  <si>
    <t>5050        END IF</t>
  </si>
  <si>
    <t>5060           Inv_apt=TAN(ACS(Q))-ACS(Q)</t>
  </si>
  <si>
    <t>5070           Pst1=Psbt1-Inv_apt</t>
  </si>
  <si>
    <t>5100    SUBEXIT</t>
  </si>
  <si>
    <t>5110    SUBEND</t>
  </si>
  <si>
    <t>5130    DEF FNDwtm(X,Teta,Pz0_t,Pz0_h,Db0h,Db0t)</t>
  </si>
  <si>
    <t>5160     RETURN F</t>
  </si>
  <si>
    <t>5170     FNEND</t>
  </si>
  <si>
    <t>5190    DEF FNDf0_cusp(X,Psep_kb0h,Psep_kb0t,Dkb0h,Dkb0t,INTEGER Z0)</t>
  </si>
  <si>
    <t>5210    IF X&lt;Dkb0h THEN X=Dkb0h</t>
  </si>
  <si>
    <t>5220    Z=TAN(ACS(Dkb0h/X))-ACS(Dkb0h/X)</t>
  </si>
  <si>
    <t>5240    IF X&lt;Dkb0t THEN X=Dkb0t</t>
  </si>
  <si>
    <t>5250    Y=TAN(ACS(Dkb0t/X))-ACS(Dkb0t/X)</t>
  </si>
  <si>
    <t>5280         RETURN F</t>
  </si>
  <si>
    <t>5290         FNEND</t>
  </si>
  <si>
    <t>5310   SUB Rgm(X,Da0_epx,Ra0,Dwm0,Gm_ep,X_ep,Y_ep,INTEGER Z0)</t>
  </si>
  <si>
    <t>5330         INTEGER S</t>
  </si>
  <si>
    <t>5350         Dc0=Da0_epx-2*Ra0</t>
  </si>
  <si>
    <t>5370              IF Dc0&lt;Dwm0 THEN</t>
  </si>
  <si>
    <t>5380                              S=-1</t>
  </si>
  <si>
    <t>5390              ELSE</t>
  </si>
  <si>
    <t>5400                              S=1</t>
  </si>
  <si>
    <t>5410              END IF</t>
  </si>
  <si>
    <t>5430    Cp=Dwm0/(2*SIN(X))*SIN(S*(-X+ASN(Dc0/Dwm0*SIN(X))))</t>
  </si>
  <si>
    <t>5440    X_ep=Dwm0/2*(PI/Z0+ASN(Dc0/Dwm0*SIN(X))-X-Gm_ep)-S*(Cp+S*Ra0)*COS(S*(PI/2-ASN(Dc0/Dwm0*SIN(X))))</t>
  </si>
  <si>
    <t>5450    Y_ep=(Cp+S*Ra0)*SIN(S*(PI/2-ASN(Dc0/Dwm0*SIN(X))))</t>
  </si>
  <si>
    <t>5470    SUBEXIT</t>
  </si>
  <si>
    <t>5480    SUBEND</t>
  </si>
  <si>
    <t>5500 SUB Dati_particol</t>
  </si>
  <si>
    <t>5520        OPTION BASE 1</t>
  </si>
  <si>
    <t>5530        COM Progettista$,Clear$,Home$,Cliente$,Dis$,K1$,Dp$,Mn$,Mt$,Apn$,Apt$,Apkn$,Ael$,Sen_el$,Senso$,N_ingr$,N_sag$,Topping$,Lavor$,Work$,Tip_colt$,Work_b$,Work_c$,Fgtorn$,Tip_colt1$,Carkey$,Rf1p$,Rasap$,Dk1_f$,Apktprt$,Tetaprt$</t>
  </si>
  <si>
    <t>5540        COM REAL Sp,Mn,Mt,Ael,Apn,Apt,Db1,Da1,Df1,Dnf1,Dnf1_pr,Dk1,Apkn,Apkt,Sn1,St1,St1_f,En1,Et1,Skt1,Skn1,Psbt1,X1,W1,Dm,Mdk,Sykes,D_topp,X_hap,X_hfp,X1mn,Dk1_f,Rf1p,Prtmdk,Prtw,Prtsps,Dk1_f1</t>
  </si>
  <si>
    <t>5550        COM REAL Mwt,Da0,Dna0,Da0t,Pskbt1,Db0h,Db0t,Dkb0,D_stc_f,D_stc_i,Ra0,X_max,Swmt0,San0,Skwmt0,Dwm0,Apkwtm,Inv_apt,Gm,Zeta_h,Zeta_t,Zeta_kb_f,Dv0</t>
  </si>
  <si>
    <t>5560        COM /Dati_rasatura/Et1_f,En1_f,Sn1_f,Mdk_f,W1_f,Dm_f,D_stc_fprt,D_stc_iprt</t>
  </si>
  <si>
    <t>5570        COM INTEGER Z1,Z0,K1,Int,Elic,Std,Centro,Protuberanzap</t>
  </si>
  <si>
    <t>5580        OUTPUT KBD;"SCRATCH KEYÿX";</t>
  </si>
  <si>
    <t>5590        DIM Risp$[2],Dato$[12],Div$[2],Dp_num$[6]</t>
  </si>
  <si>
    <t>5600        DIM Dp_denom$[6],Mn_num$[6],Mn_denom$[6]</t>
  </si>
  <si>
    <t>5610        INTEGER Lungh</t>
  </si>
  <si>
    <t>5620        N_solz=2</t>
  </si>
  <si>
    <t>5630        DIM Solz(2)</t>
  </si>
  <si>
    <t>5640        OUTPUT 2;Clear$;</t>
  </si>
  <si>
    <t>5670          PRINT TAB(Centro);</t>
  </si>
  <si>
    <t>5680          PRINT CHR$(129);"INTRODUZIONE DATI PARTICOLARE"</t>
  </si>
  <si>
    <t>5690          PRINT CHR$(128)</t>
  </si>
  <si>
    <t>5700          PRINT</t>
  </si>
  <si>
    <t>5710          PRINT TAB(Centro);"ko     DENTATURA DIRITTA ESTERNA"</t>
  </si>
  <si>
    <t>5720          PRINT</t>
  </si>
  <si>
    <t>5730          PRINT</t>
  </si>
  <si>
    <t>5740          PRINT TAB(Centro);"k1     DENTATURA DIRITTA INTERNA"</t>
  </si>
  <si>
    <t>5750          PRINT</t>
  </si>
  <si>
    <t>5760          PRINT</t>
  </si>
  <si>
    <t>5770          PRINT TAB(Centro);"k2     DENTATURA ELICOIDALE ESTERNA"</t>
  </si>
  <si>
    <t>5780          PRINT</t>
  </si>
  <si>
    <t>5790          PRINT</t>
  </si>
  <si>
    <t>5800          PRINT TAB(Centro);"k3     DENTATURA ELICOIDALE INTERNA"</t>
  </si>
  <si>
    <t>5830     DISP "Premere la SOFTKEY corrispondente al tipo di dentatura";</t>
  </si>
  <si>
    <t>5860     ON KEY 1 LABEL "DENT.DRT.EXT" GOTO Diritta_ext</t>
  </si>
  <si>
    <t>5870     ON KEY 2 LABEL "DENT.DRT.INT" GOTO Diritta_int</t>
  </si>
  <si>
    <t>5880     ON KEY 3 LABEL "DENT.ELIC.EXT" GOTO Elic_ext</t>
  </si>
  <si>
    <t>5890     ON KEY 4 LABEL "DENT.ELIC.INT" GOTO Elic_int</t>
  </si>
  <si>
    <t>5940              OUTPUT 2;Clear$;</t>
  </si>
  <si>
    <t>5950              PRINT TAB(Centro);</t>
  </si>
  <si>
    <t>5960              PRINT CHR$(129);"DENTATURA DIRITTA ESTERNA"</t>
  </si>
  <si>
    <t>5970              GOTO Dp_n</t>
  </si>
  <si>
    <t>5990              OUTPUT 2;Clear$;</t>
  </si>
  <si>
    <t>6000              Int=1</t>
  </si>
  <si>
    <t>6010              PRINT TAB(Centro);</t>
  </si>
  <si>
    <t>6020              PRINT CHR$(129);"DENTATURA DIRITTA INTERNA"</t>
  </si>
  <si>
    <t>6030              GOTO Dp_n</t>
  </si>
  <si>
    <t>6050              OUTPUT 2;Clear$;</t>
  </si>
  <si>
    <t>6060              Elic=1</t>
  </si>
  <si>
    <t>6070              PRINT TAB(Centro);</t>
  </si>
  <si>
    <t>6080              PRINT CHR$(129);"DENTATURA ELICOIDALE ESTERNA"</t>
  </si>
  <si>
    <t>6090              GOTO Senso_elica</t>
  </si>
  <si>
    <t>6110              OUTPUT 2;Clear$;</t>
  </si>
  <si>
    <t>6120              Elic=1</t>
  </si>
  <si>
    <t>6130              Int=1</t>
  </si>
  <si>
    <t>6140              PRINT TAB(Centro);</t>
  </si>
  <si>
    <t>6150              PRINT CHR$(129);"DENTATURA ELICOIDALE INTERNA"</t>
  </si>
  <si>
    <t>6160              GOTO Senso_elica</t>
  </si>
  <si>
    <t>6190                   DISP "SENSO ELICA ?"</t>
  </si>
  <si>
    <t>6210                   OFF KEY</t>
  </si>
  <si>
    <t>6220                   ON KEY 5 LABEL "SINISTRO" GOTO Sx</t>
  </si>
  <si>
    <t>6230                   ON KEY 8 LABEL "DESTRO" GOTO Dx</t>
  </si>
  <si>
    <t>6280              OFF KEY</t>
  </si>
  <si>
    <t>6290              Sen_el$="DESTRO"</t>
  </si>
  <si>
    <t>6300  IF Int THEN</t>
  </si>
  <si>
    <t>6310              Senso$="DESTRO"</t>
  </si>
  <si>
    <t>6320  ELSE</t>
  </si>
  <si>
    <t>6330              Senso$="SINISTRO"</t>
  </si>
  <si>
    <t>6340  END IF</t>
  </si>
  <si>
    <t>6350              GOTO Dp_n</t>
  </si>
  <si>
    <t>6380              OFF KEY</t>
  </si>
  <si>
    <t>6390              Sen_el$="SINISTRO"</t>
  </si>
  <si>
    <t>6400  IF Int THEN</t>
  </si>
  <si>
    <t>6410              Senso$="SINISTRO"</t>
  </si>
  <si>
    <t>6420  ELSE</t>
  </si>
  <si>
    <t>6430              Senso$="DESTRO"</t>
  </si>
  <si>
    <t>6440  END IF</t>
  </si>
  <si>
    <t>6450              GOTO Dp_n</t>
  </si>
  <si>
    <t>6480      DIM Ris$[3]</t>
  </si>
  <si>
    <t>6490      OFF KEY</t>
  </si>
  <si>
    <t>6500      PRINT CHR$(132)</t>
  </si>
  <si>
    <t>6510      IF Elic THEN</t>
  </si>
  <si>
    <t>6520      INPUT "DPn.? [Risp.X/Y]",Dp$</t>
  </si>
  <si>
    <t>6530      ELSE</t>
  </si>
  <si>
    <t>6540      INPUT "DP.? [Risp.X/Y]",Dp$</t>
  </si>
  <si>
    <t>6550      END IF</t>
  </si>
  <si>
    <t>6560      IF Dp$="" THEN Modulo_n</t>
  </si>
  <si>
    <t>6570      Div$="/"</t>
  </si>
  <si>
    <t>6580      Delim=POS(Dp$,Div$)</t>
  </si>
  <si>
    <t>6590      IF Delim THEN</t>
  </si>
  <si>
    <t>6600      Dp_num$=Dp$[1;Delim-1]</t>
  </si>
  <si>
    <t>6610      Lungh=LEN(Dp$)</t>
  </si>
  <si>
    <t>6620      Dp_denom$=Dp$[Delim+1,Lungh]</t>
  </si>
  <si>
    <t>6630      ENTER Dp_num$;Dp</t>
  </si>
  <si>
    <t>6640      ENTER Dp_denom$;Dp_denom</t>
  </si>
  <si>
    <t>6650      Mn=25.4/Dp</t>
  </si>
  <si>
    <t>6660      Mn_denom=25.4/Dp_denom</t>
  </si>
  <si>
    <t>6670      ELSE</t>
  </si>
  <si>
    <t>6680      ENTER Dp$;Dp</t>
  </si>
  <si>
    <t>6690      Mn=25.4/Dp</t>
  </si>
  <si>
    <t>6700      END IF</t>
  </si>
  <si>
    <t>6740 Format_mr: IMAGE 2D.4D,A,2D.4D</t>
  </si>
  <si>
    <t>6750 Format_m:      IMAGE 2D.4D</t>
  </si>
  <si>
    <t>6760         IF Elic THEN</t>
  </si>
  <si>
    <t>6770                     PRINT TABXY(1,3);"D.P.n=";Dp$;</t>
  </si>
  <si>
    <t>6780         ELSE</t>
  </si>
  <si>
    <t>6790                     PRINT TABXY(1,3),"D.P.=";Dp$;</t>
  </si>
  <si>
    <t>6800         END IF</t>
  </si>
  <si>
    <t>6810         IF Delim THEN</t>
  </si>
  <si>
    <t>6820                  IF Elic THEN</t>
  </si>
  <si>
    <t>6830                              PRINT TABXY(15,3),"Mod.norm.=";</t>
  </si>
  <si>
    <t>6840                              PRINT USING Format_mr;Mn,"/",Mn_denom</t>
  </si>
  <si>
    <t>6850                              Mn_s=DROUND(Mn,4)</t>
  </si>
  <si>
    <t>6860                              Mn_denom_s=DROUND(Mn_denom,3)</t>
  </si>
  <si>
    <t>6870                              Mn$=VAL$(Mn_s)&amp;"/"&amp;VAL$(Mn_denom_s)</t>
  </si>
  <si>
    <t>6880                  ELSE</t>
  </si>
  <si>
    <t>6890                              PRINT TABXY(15,3),"Modulo=";</t>
  </si>
  <si>
    <t>6900                              PRINT USING Format_mr;Mn;"/";Mn_denom</t>
  </si>
  <si>
    <t>6910                              Mn_s=DROUND(Mn,4)</t>
  </si>
  <si>
    <t>6920                              Mn_denom_s=DROUND(Mn_denom,3)</t>
  </si>
  <si>
    <t>6930                              Mn$=VAL$(Mn_s)&amp;"/"&amp;VAL$(Mn_denom_s)</t>
  </si>
  <si>
    <t>6940                  END IF</t>
  </si>
  <si>
    <t>6950          END IF</t>
  </si>
  <si>
    <t>6960          IF NOT Delim THEN</t>
  </si>
  <si>
    <t>6970                       IF Elic THEN</t>
  </si>
  <si>
    <t>6980                                   PRINT TABXY(15,3),"Mod.norm.=";</t>
  </si>
  <si>
    <t>6990                                   PRINT USING Format_m;Mn</t>
  </si>
  <si>
    <t>7000                                   Mn_s=DROUND(Mn,6)</t>
  </si>
  <si>
    <t>7010                                   Mn$=VAL$(Mn_s)</t>
  </si>
  <si>
    <t>7020                       ELSE</t>
  </si>
  <si>
    <t>7030                                   PRINT TABXY(15,3),"Modulo=";</t>
  </si>
  <si>
    <t>7040                                   PRINT USING Format_m;Mn</t>
  </si>
  <si>
    <t>7050                                   Mn_s=DROUND(Mn,6)</t>
  </si>
  <si>
    <t>7060                                   Mn$=VAL$(Mn_s)</t>
  </si>
  <si>
    <t>7070                       END IF</t>
  </si>
  <si>
    <t>7080          END IF</t>
  </si>
  <si>
    <t>7100            GOTO Z</t>
  </si>
  <si>
    <t>7120           IF Elic THEN</t>
  </si>
  <si>
    <t>7130           INPUT "Modulo normale ? [Risp.X/Y]",Mn$</t>
  </si>
  <si>
    <t>7140           ELSE</t>
  </si>
  <si>
    <t>7150           INPUT "Modulo ? [Risp.X/Y]",Mn$</t>
  </si>
  <si>
    <t>7160           END IF</t>
  </si>
  <si>
    <t>7170           Delim=POS(Mn$,"/")</t>
  </si>
  <si>
    <t>7180           IF Delim THEN</t>
  </si>
  <si>
    <t>7190           Mn_num$=Mn$[1;Delim-1]</t>
  </si>
  <si>
    <t>7200           Lungh=LEN(Mn$)</t>
  </si>
  <si>
    <t>7210           Mn_denom$=Mn$[Delim+1,Lungh]</t>
  </si>
  <si>
    <t>7220           ENTER Mn_num$;Mn</t>
  </si>
  <si>
    <t>7230           ENTER Mn_denom$;Mn_denom</t>
  </si>
  <si>
    <t>7240           ELSE</t>
  </si>
  <si>
    <t>7250           ENTER Mn$;Mn</t>
  </si>
  <si>
    <t>7260           END IF</t>
  </si>
  <si>
    <t>7280             IF Elic THEN</t>
  </si>
  <si>
    <t>7290             PRINT TABXY(1,3),"Mod.norm.=";Mn$</t>
  </si>
  <si>
    <t>7300             ELSE</t>
  </si>
  <si>
    <t>7310             PRINT TABXY(1,3),"Modulo=";Mn$</t>
  </si>
  <si>
    <t>7320             END IF</t>
  </si>
  <si>
    <t>7340      INPUT "Numero di denti ? ",Z1</t>
  </si>
  <si>
    <t>7350      IF Int THEN Z1=-Z1</t>
  </si>
  <si>
    <t>7360      IF Elic THEN</t>
  </si>
  <si>
    <t>7370      PRINT TABXY(75,3),"Z=";</t>
  </si>
  <si>
    <t>7380      PRINT USING "DDDDDD";ABS(Z1)</t>
  </si>
  <si>
    <t>7390      ELSE</t>
  </si>
  <si>
    <t>7400      IF NOT Dp THEN</t>
  </si>
  <si>
    <t>7410      PRINT TABXY(28,3),"Z=";</t>
  </si>
  <si>
    <t>7420      PRINT USING "DDDDDD";ABS(Z1)</t>
  </si>
  <si>
    <t>7430      ELSE</t>
  </si>
  <si>
    <t>7440      PRINT TABXY(40,3),"Z=";</t>
  </si>
  <si>
    <t>7450      PRINT USING "DDDDDD";ABS(Z1)</t>
  </si>
  <si>
    <t>7460      END IF</t>
  </si>
  <si>
    <t>7470      END IF</t>
  </si>
  <si>
    <t>7490        OFF KEY</t>
  </si>
  <si>
    <t>7500        INTEGER Gms,Gr,Min,Sec</t>
  </si>
  <si>
    <t>7510        DIM Apni$[8],Aeli$[8],Ang$[8],Apn_t$[25],Ap_t$[20],Ael_t$[16],Gms$[16],Gdc$[19],Rad$[16]</t>
  </si>
  <si>
    <t>7520        Apn_t$="Ang.di pressione normale "</t>
  </si>
  <si>
    <t>7530        Ael_t$="Angolo di elica "</t>
  </si>
  <si>
    <t>7540        Ap_t$="Angolo di pressione "</t>
  </si>
  <si>
    <t>7550        Gms$="[Risp.GG.MM.SS.]"</t>
  </si>
  <si>
    <t>7560        Gdc$="[Risp.GG.Decimali]"</t>
  </si>
  <si>
    <t>7570        Rad$="[Risp.Radianti]"</t>
  </si>
  <si>
    <t>7580        DISP "Premere la SOFTKEY per la scelta della notazione angolare"</t>
  </si>
  <si>
    <t>7600        ON KEY 5 LABEL "GR.MIN.SEC" GOTO Gms</t>
  </si>
  <si>
    <t>7610        ON KEY 6 LABEL "GR.DECIMALI" GOTO Gdg</t>
  </si>
  <si>
    <t>7620        ON KEY 7 LABEL "RADIANTI" GOTO Rad</t>
  </si>
  <si>
    <t>7670       Gms=1</t>
  </si>
  <si>
    <t>7680       IF Elic THEN</t>
  </si>
  <si>
    <t>7690       DISP Apn_t$&amp;Gms$;</t>
  </si>
  <si>
    <t>7700       INPUT Apni$</t>
  </si>
  <si>
    <t>7710       DISP Ael_t$&amp;Gms$;</t>
  </si>
  <si>
    <t>7720       INPUT Aeli$</t>
  </si>
  <si>
    <t>7730       Ang$=Aeli$</t>
  </si>
  <si>
    <t>7740       CALL Gms_rad(Ang$,Ang,Gr,Min,Sec)</t>
  </si>
  <si>
    <t>7750       Ael=Ang</t>
  </si>
  <si>
    <t>7760       Ael$=VAL$(Gr)&amp;"°"&amp;VAL$(Min)&amp;"'"&amp;VAL$(Sec)&amp;"''"</t>
  </si>
  <si>
    <t>7770       ELSE</t>
  </si>
  <si>
    <t>7780       DISP Ap_t$&amp;Gms$;</t>
  </si>
  <si>
    <t>7790       INPUT Apni$</t>
  </si>
  <si>
    <t>7800       END IF</t>
  </si>
  <si>
    <t>7810       Ang$=Apni$</t>
  </si>
  <si>
    <t>7820       CALL Gms_rad(Ang$,Ang,Gr,Min,Sec)</t>
  </si>
  <si>
    <t>7830       Apn=Ang</t>
  </si>
  <si>
    <t>7840       Apn$=VAL$(Gr)&amp;"°"&amp;VAL$(Min)&amp;"'"&amp;VAL$(Sec)&amp;"''"</t>
  </si>
  <si>
    <t>7850       GOTO Print_ang</t>
  </si>
  <si>
    <t>7880       Gms=0</t>
  </si>
  <si>
    <t>7890       IF Elic THEN</t>
  </si>
  <si>
    <t>7900       DISP Apn_t$&amp;Gdc$;</t>
  </si>
  <si>
    <t>7910       INPUT Apni</t>
  </si>
  <si>
    <t>7920       DISP Ael_t$&amp;Gdc$;</t>
  </si>
  <si>
    <t>7930       INPUT Aeli</t>
  </si>
  <si>
    <t>7940       Ael=Aeli*PI/180</t>
  </si>
  <si>
    <t>7950       ELSE</t>
  </si>
  <si>
    <t>7960       DISP Ap_t$&amp;Gdc$;</t>
  </si>
  <si>
    <t>7970       INPUT Apni</t>
  </si>
  <si>
    <t>7980       END IF</t>
  </si>
  <si>
    <t>7990       Apn=Apni*PI/180</t>
  </si>
  <si>
    <t>8000       GOTO Print_ang</t>
  </si>
  <si>
    <t>8040        Gms=-1</t>
  </si>
  <si>
    <t>8050        IF Elic THEN</t>
  </si>
  <si>
    <t>8060        DISP Apn_t$&amp;Rad$;</t>
  </si>
  <si>
    <t>8070        INPUT Apn</t>
  </si>
  <si>
    <t>8080        DISP Ael_t$&amp;Rad$;</t>
  </si>
  <si>
    <t>8090        INPUT Ael</t>
  </si>
  <si>
    <t>8100        ELSE</t>
  </si>
  <si>
    <t>8110        DISP Ap_t$&amp;Rad$;</t>
  </si>
  <si>
    <t>8120        INPUT Apn</t>
  </si>
  <si>
    <t>8130        END IF</t>
  </si>
  <si>
    <t>8140        GOTO Print_ang</t>
  </si>
  <si>
    <t>8180          INTEGER G,Mi,S</t>
  </si>
  <si>
    <t>8190          Apt=ATN(TAN(Apn)/COS(Ael))</t>
  </si>
  <si>
    <t>8200          IF Elic THEN</t>
  </si>
  <si>
    <t>8210          IF Gms=0 OR Gms=-1 THEN</t>
  </si>
  <si>
    <t>8230          Ang=Apn</t>
  </si>
  <si>
    <t>8240          CALL Rad_gms(Ang,G,Mi,S)</t>
  </si>
  <si>
    <t>8250          Apn$=VAL$(G)&amp;"°"&amp;VAL$(Mi)&amp;"'"&amp;VAL$(S)&amp;"''"</t>
  </si>
  <si>
    <t>8260          Ang=Ael</t>
  </si>
  <si>
    <t>8270          CALL Rad_gms(Ang,G,Mi,S)</t>
  </si>
  <si>
    <t>8280          Ael$=VAL$(G)&amp;"°"&amp;VAL$(Mi)&amp;"'"&amp;VAL$(S)&amp;"''"</t>
  </si>
  <si>
    <t>8290          END IF</t>
  </si>
  <si>
    <t>8300          Ang=Apt</t>
  </si>
  <si>
    <t>8310          CALL Rad_gms(Ang,G,Mi,S)</t>
  </si>
  <si>
    <t>8320          Apt$=VAL$(G)&amp;"°"&amp;VAL$(Mi)&amp;"'"&amp;VAL$(S)&amp;"''"</t>
  </si>
  <si>
    <t>8360               PRINT TABXY(1,5),"Ang.press.norm.=";</t>
  </si>
  <si>
    <t>8370               PRINT USING "K";Apn$</t>
  </si>
  <si>
    <t>8380               PRINT TABXY(31,5),"Ang.press.circ.=";</t>
  </si>
  <si>
    <t>8390               PRINT USING "K";Apt$</t>
  </si>
  <si>
    <t>8400               PRINT TABXY(60,5),"Ang.elica=";</t>
  </si>
  <si>
    <t>8410               PRINT USING "K";Ael$</t>
  </si>
  <si>
    <t>8450       Mt=Mn/COS(Ael)</t>
  </si>
  <si>
    <t>8460       Mt_s=DROUND(Mt,4)</t>
  </si>
  <si>
    <t>8470       PRINT TABXY(43,3),"Modulo circ.=";</t>
  </si>
  <si>
    <t>8480       IF Delim THEN</t>
  </si>
  <si>
    <t>8490       Mt_denom=Mn_denom/COS(Ael)</t>
  </si>
  <si>
    <t>8500       Mt_denom_s=DROUND(Mt_denom,4)</t>
  </si>
  <si>
    <t>8510       PRINT USING Format_mr;Mt;"/";Mt_denom</t>
  </si>
  <si>
    <t>8520       Mt$=VAL$(Mt_s)&amp;"/"&amp;VAL$(Mt_denom_s)</t>
  </si>
  <si>
    <t>8530       ELSE</t>
  </si>
  <si>
    <t>8540       PRINT USING Format_m;Mt</t>
  </si>
  <si>
    <t>8550       Mt$=VAL$(Mt_s)</t>
  </si>
  <si>
    <t>8560       END IF</t>
  </si>
  <si>
    <t>8570       ELSE</t>
  </si>
  <si>
    <t>8600          IF Gms=0 OR Gms=-1 THEN</t>
  </si>
  <si>
    <t>8620          Ang=Apn</t>
  </si>
  <si>
    <t>8630          CALL Rad_gms(Ang,G,Mi,S)</t>
  </si>
  <si>
    <t>8640          Apn$=VAL$(G)&amp;"°"&amp;VAL$(Mi)&amp;"'"&amp;VAL$(S)&amp;"''"</t>
  </si>
  <si>
    <t>8650          END IF</t>
  </si>
  <si>
    <t>8670          PRINT TABXY(50,3),"Angolo di pressione=";</t>
  </si>
  <si>
    <t>8680          PRINT USING "K";Apn$</t>
  </si>
  <si>
    <t>8690          END IF</t>
  </si>
  <si>
    <t>8710            OFF KEY</t>
  </si>
  <si>
    <t>8720            DISP "Premere la SOFTKEY per eventuali correzioni o per proseguire"</t>
  </si>
  <si>
    <t>8740            ON KEY 5 LABEL "CORREZIONI" GOTO Dp_n</t>
  </si>
  <si>
    <t>8750            ON KEY 8 LABEL "PROSECUZIONE" GOTO Calc_diam</t>
  </si>
  <si>
    <t>8810            OFF KEY</t>
  </si>
  <si>
    <t>8820            IF Elic THEN</t>
  </si>
  <si>
    <t>8830            M=Mt</t>
  </si>
  <si>
    <t>8840            Ap=Apt</t>
  </si>
  <si>
    <t>8850            ELSE</t>
  </si>
  <si>
    <t>8860            M=Mn</t>
  </si>
  <si>
    <t>8870            Ap=Apn</t>
  </si>
  <si>
    <t>8880            Mt=Mn</t>
  </si>
  <si>
    <t>8890            END IF</t>
  </si>
  <si>
    <t>8900            D1=M*Z1</t>
  </si>
  <si>
    <t>8910            Db1=D1*COS(Ap)</t>
  </si>
  <si>
    <t>8930            OFF KEY</t>
  </si>
  <si>
    <t>8970          INTEGER Y</t>
  </si>
  <si>
    <t>8980          IF Elic THEN</t>
  </si>
  <si>
    <t>8990          Y=7</t>
  </si>
  <si>
    <t>9000          ELSE</t>
  </si>
  <si>
    <t>9010          Y=5</t>
  </si>
  <si>
    <t>9020          END IF</t>
  </si>
  <si>
    <t>9030          PRINT TABXY(1,Y),"Diametro Primitivo =";</t>
  </si>
  <si>
    <t>9040          PRINT USING Fmt_diam;ABS(D1)</t>
  </si>
  <si>
    <t>9050          PRINT TABXY(50,Y),"Diametro Base =";</t>
  </si>
  <si>
    <t>9060          PRINT USING Fmt_diam;ABS(Db1)</t>
  </si>
  <si>
    <t>9080            OFF KEY</t>
  </si>
  <si>
    <t>9090     DISP "Premere la SOFTKEY corrispondente al tipo di dimensionamento della dentatura"</t>
  </si>
  <si>
    <t>9110     ON KEY 8 LABEL "DIS.CLIENTE" GOTO Poll_mm</t>
  </si>
  <si>
    <t>9120     ON KEY 6 LABEL "DIN 3972/II" GOTO Standard</t>
  </si>
  <si>
    <t>9130     ON KEY 5 LABEL "RIBASSATA" GOTO Ribassata</t>
  </si>
  <si>
    <t>9170            OFF KEY</t>
  </si>
  <si>
    <t>9180            INTEGER Rib</t>
  </si>
  <si>
    <t>9190            Rib=1</t>
  </si>
  <si>
    <t>9210              Std=1</t>
  </si>
  <si>
    <t>9220              OFF KEY</t>
  </si>
  <si>
    <t>9230              INTEGER R</t>
  </si>
  <si>
    <t>9240   IF Rib THEN</t>
  </si>
  <si>
    <t>9250              INPUT "Coefficiente di ADDENDUM ?",X_hap</t>
  </si>
  <si>
    <t>9260              INPUT "Coefficiente di DEDENDUM ?",X_hfp</t>
  </si>
  <si>
    <t>9270   ELSE</t>
  </si>
  <si>
    <t>9280              X_hap=1</t>
  </si>
  <si>
    <t>9290              X_hfp=1.25</t>
  </si>
  <si>
    <t>9300   END IF</t>
  </si>
  <si>
    <t>9310              INPUT "Spostamento di profilo XMn =?",X1mn</t>
  </si>
  <si>
    <t>9330              Hap1=X_hap</t>
  </si>
  <si>
    <t>9340              Hfp1=X_hfp</t>
  </si>
  <si>
    <t>9370              Da1=D1+2*X1mn+2*X_hap*Mn</t>
  </si>
  <si>
    <t>9380              Df1=D1+2*X1mn-2*X_hfp*Mn</t>
  </si>
  <si>
    <t>9400              Sn1=Mn*PI/2+2*X1mn*TAN(Apn)</t>
  </si>
  <si>
    <t>9410              St1=Mt*PI/2+2*X1mn*TAN(Apt)</t>
  </si>
  <si>
    <t>9420              En1=Mn*PI-Sn1</t>
  </si>
  <si>
    <t>9430              Et1=Mt*PI-St1</t>
  </si>
  <si>
    <t>9440              Psbt1=St1/(Mt*Z1)+TAN(Apt)-Apt</t>
  </si>
  <si>
    <t>9450              Hfp$="1.25Mn"</t>
  </si>
  <si>
    <t>9470   IF Int AND Da1&gt;Db1 THEN</t>
  </si>
  <si>
    <t>9480              Da1=Db1</t>
  </si>
  <si>
    <t>9490              Hap=(Da1-D1-2*X1mn)/2</t>
  </si>
  <si>
    <t>9500              X_hap=Hap/Mn</t>
  </si>
  <si>
    <t>9510   END IF</t>
  </si>
  <si>
    <t>9530      IF Elic THEN</t>
  </si>
  <si>
    <t>9540              R=9</t>
  </si>
  <si>
    <t>9550      ELSE</t>
  </si>
  <si>
    <t>9560              R=7</t>
  </si>
  <si>
    <t>9570      END IF</t>
  </si>
  <si>
    <t>9600                 IF Spessore=1 THEN R=7</t>
  </si>
  <si>
    <t>9610                 PRINT TABXY(1,R),"hfp =";</t>
  </si>
  <si>
    <t>9620                 PRINT USING "DDD.DDDD,K";X_hfp;" Mn"</t>
  </si>
  <si>
    <t>9630                 PRINT TABXY(50,R),"hap =";</t>
  </si>
  <si>
    <t>9640                 PRINT USING "DDD.DDDD,K";X_hap;" Mn"</t>
  </si>
  <si>
    <t>9650                 R=R+2</t>
  </si>
  <si>
    <t>9660                 PRINT TABXY(1,R),"X0Mn =";</t>
  </si>
  <si>
    <t>9670                 PRINT USING "DDD.DDD";X1mn</t>
  </si>
  <si>
    <t>9680                 IF Spessore=1 THEN GOTO Semit_stand</t>
  </si>
  <si>
    <t>9690     IF Elic AND Int THEN</t>
  </si>
  <si>
    <t>9700                          PRINT TABXY(50,R),"Amp.v.norm.=";</t>
  </si>
  <si>
    <t>9710                          PRINT USING "DDD.DD";En1</t>
  </si>
  <si>
    <t>9720     END IF</t>
  </si>
  <si>
    <t>9730     IF NOT Elic AND NOT Int THEN</t>
  </si>
  <si>
    <t>9740                                  PRINT TABXY(50,R),"Spessore dente =";</t>
  </si>
  <si>
    <t>9750                                  PRINT USING "DDD.DD";Sn1</t>
  </si>
  <si>
    <t>9760     END IF</t>
  </si>
  <si>
    <t>9770     IF Elic AND NOT Int THEN</t>
  </si>
  <si>
    <t>9780                              PRINT TABXY(50,R),"Spess.norm. =";</t>
  </si>
  <si>
    <t>9790                              PRINT USING "DDD.DD";Sn1</t>
  </si>
  <si>
    <t>9800     END IF</t>
  </si>
  <si>
    <t>9810     IF NOT Elic AND Int THEN</t>
  </si>
  <si>
    <t>9820                              PRINT TABXY(50,R),"Ampiezza vano =";</t>
  </si>
  <si>
    <t>9830                              PRINT USING "DDD.DD";En1</t>
  </si>
  <si>
    <t>9840     END IF</t>
  </si>
  <si>
    <t>9870              Ris$=""</t>
  </si>
  <si>
    <t>9880 INPUT "Utensile NORMALE o SEMITOPPING ? [Risp. SI=Semit./Continue=Norm.]",Ris$</t>
  </si>
  <si>
    <t>9890           IF Ris$="" THEN</t>
  </si>
  <si>
    <t>9900              GOTO Fine</t>
  </si>
  <si>
    <t>9910           ELSE</t>
  </si>
  <si>
    <t>9920              R=R+2</t>
  </si>
  <si>
    <t>9930              INPUT "H.Radiale bisello = ? [NO RISP.H.Rad.=.1*Mn]",H_bis</t>
  </si>
  <si>
    <t>9940                       IF H_bis=0 THEN H_bis=.1*Mn</t>
  </si>
  <si>
    <t>9960              Dk1=Da1-2*H_bis</t>
  </si>
  <si>
    <t>9980              Apkn=0</t>
  </si>
  <si>
    <t>10000     INPUT "Ang.Press.Norm.bisello = ? [NO RISP.Elic.&gt;46-Dir.&gt;56]",Apkn</t>
  </si>
  <si>
    <t>10010         IF NOT Apkn THEN</t>
  </si>
  <si>
    <t>10020                IF Elic THEN</t>
  </si>
  <si>
    <t>10030                   Apkn=46*PI/180</t>
  </si>
  <si>
    <t>10040                   Apkt=ATN(TAN(Apkn)/COS(Ael))</t>
  </si>
  <si>
    <t>10050                ELSE</t>
  </si>
  <si>
    <t>10060                   Apkn=56*PI/180</t>
  </si>
  <si>
    <t>10070                END IF</t>
  </si>
  <si>
    <t>10080         ELSE</t>
  </si>
  <si>
    <t>10090                   Apkn=Apkn*PI/180</t>
  </si>
  <si>
    <t>10100         END IF</t>
  </si>
  <si>
    <t>10110               Ang=Apkn</t>
  </si>
  <si>
    <t>10120               CALL Rad_gms(Ang,G,Mi,S)</t>
  </si>
  <si>
    <t>10130               Apkn$=VAL$(G)&amp;"°"&amp;VAL$(Mi)&amp;"'"</t>
  </si>
  <si>
    <t>10150            PRINT TABXY(1,R),"H-radiale bisello =";H_bis</t>
  </si>
  <si>
    <t>10160            PRINT TABXY(50,R),"Ang.press.norm.bis.=";</t>
  </si>
  <si>
    <t>10170            PRINT USING "K";Apkn$</t>
  </si>
  <si>
    <t>10190            DISP "Premere CONTINUE per proseguire "</t>
  </si>
  <si>
    <t>10200                ENTER 2;A$</t>
  </si>
  <si>
    <t>10210                GOTO Verif_ras</t>
  </si>
  <si>
    <t>10220         END IF</t>
  </si>
  <si>
    <t>10250          OFF KEY</t>
  </si>
  <si>
    <t>10260          DISP "Premere la SOFTKEY per la scelta dell'unita'di misura"</t>
  </si>
  <si>
    <t>10280          ON KEY 5 LABEL "POLLICI" GOTO Pollici</t>
  </si>
  <si>
    <t>10290          ON KEY 8 LABEL "MILLIMETRI" GOTO Intr_diam</t>
  </si>
  <si>
    <t>10340        INTEGER Poll</t>
  </si>
  <si>
    <t>10350        Poll=1</t>
  </si>
  <si>
    <t>10380         OFF KEY</t>
  </si>
  <si>
    <t>10400         INPUT "Diametro di testa ?",Da1</t>
  </si>
  <si>
    <t>10410         INPUT "Diametro di fondo ?",Df1</t>
  </si>
  <si>
    <t>10420         IF Poll THEN</t>
  </si>
  <si>
    <t>10430         Da1=25.4*Da1</t>
  </si>
  <si>
    <t>10440         Df1=25.4*Df1</t>
  </si>
  <si>
    <t>10450         END IF</t>
  </si>
  <si>
    <t>10460         IF Int THEN</t>
  </si>
  <si>
    <t>10470         Da1=-Da1</t>
  </si>
  <si>
    <t>10480         Df1=-Df1</t>
  </si>
  <si>
    <t>10490         END IF</t>
  </si>
  <si>
    <t>10530        IF Elic THEN</t>
  </si>
  <si>
    <t>10540        Y=9</t>
  </si>
  <si>
    <t>10550        ELSE</t>
  </si>
  <si>
    <t>10560        Y=7</t>
  </si>
  <si>
    <t>10570        END IF</t>
  </si>
  <si>
    <t>10580        PRINT TABXY(1,Y),"Diametro di Testa =";</t>
  </si>
  <si>
    <t>10590        PRINT USING Fmt_diam;ABS(Da1)</t>
  </si>
  <si>
    <t>10600        PRINT TABXY(50,Y),"Diametro di Fondo =";</t>
  </si>
  <si>
    <t>10610        PRINT USING Fmt_diam;ABS(Df1)</t>
  </si>
  <si>
    <t>10650         IF Int THEN</t>
  </si>
  <si>
    <t>10660         IF ABS(Da1)&lt;ABS(Db1) THEN</t>
  </si>
  <si>
    <t>10670         BEEP 2000,.3</t>
  </si>
  <si>
    <t>10680         DISP "ATTENZIONE il diametro di testa e'inferiore al diametro base"</t>
  </si>
  <si>
    <t>10690         ENTER 2;A$</t>
  </si>
  <si>
    <t>10700         GOTO Correzioni</t>
  </si>
  <si>
    <t>10710         END IF</t>
  </si>
  <si>
    <t>10720         END IF</t>
  </si>
  <si>
    <t>10760       DIM Dk1$[23]</t>
  </si>
  <si>
    <t>10770       Dk1$="Diametro att.Bisello ="</t>
  </si>
  <si>
    <t>10780       DISP Dk1$;</t>
  </si>
  <si>
    <t>10790       INPUT Dk1</t>
  </si>
  <si>
    <t>10800       IF Poll THEN Dk1=25.4*Dk1</t>
  </si>
  <si>
    <t>10810       IF Int THEN Dk1=-Dk1</t>
  </si>
  <si>
    <t>10820        IF Dk1 THEN</t>
  </si>
  <si>
    <t>10830        DIM Apk_t$[32],Apkn_t$[34],Apkni$[8],Apkt$[6]</t>
  </si>
  <si>
    <t>10840        Apk_t$=Ap_t$&amp;" bisello ="</t>
  </si>
  <si>
    <t>10850        Apkn_t$=Apn_t$&amp;" bisello "</t>
  </si>
  <si>
    <t>10860        SELECT Gms</t>
  </si>
  <si>
    <t>10870        CASE 1</t>
  </si>
  <si>
    <t>10880        IF Elic THEN</t>
  </si>
  <si>
    <t>10890        DISP Apkn_t$&amp;Gms$;</t>
  </si>
  <si>
    <t>10900        ELSE</t>
  </si>
  <si>
    <t>10910        DISP Apk_t$&amp;Gms$;</t>
  </si>
  <si>
    <t>10920        END IF</t>
  </si>
  <si>
    <t>10930        INPUT Apkni$</t>
  </si>
  <si>
    <t>10940        Ang$=Apkni$</t>
  </si>
  <si>
    <t>10950        CALL Gms_rad(Ang$,Ang,Gr,Min,Sec)</t>
  </si>
  <si>
    <t>10960        Apkn=Ang</t>
  </si>
  <si>
    <t>10970        GOTO Print_dk</t>
  </si>
  <si>
    <t>10980        CASE 0</t>
  </si>
  <si>
    <t>10990        IF Elic THEN</t>
  </si>
  <si>
    <t>11000        DISP Apkn_t$&amp;Gdc$;</t>
  </si>
  <si>
    <t>11010        ELSE</t>
  </si>
  <si>
    <t>11020        DISP Apk_t$&amp;Gdc$;</t>
  </si>
  <si>
    <t>11030        END IF</t>
  </si>
  <si>
    <t>11040        INPUT Apkni</t>
  </si>
  <si>
    <t>11050        Apkn=Apkni*PI/180</t>
  </si>
  <si>
    <t>11060        GOTO Print_dk</t>
  </si>
  <si>
    <t>11070        CASE -1</t>
  </si>
  <si>
    <t>11080        IF Elic THEN</t>
  </si>
  <si>
    <t>11090        DISP Apkn_t$&amp;Rad$;</t>
  </si>
  <si>
    <t>11100        ELSE</t>
  </si>
  <si>
    <t>11110        DISP Apk_t$&amp;Rad$;</t>
  </si>
  <si>
    <t>11120        END IF</t>
  </si>
  <si>
    <t>11130        INPUT Apkn</t>
  </si>
  <si>
    <t>11140        GOTO Print_dk</t>
  </si>
  <si>
    <t>11150        END SELECT</t>
  </si>
  <si>
    <t>11160        ELSE</t>
  </si>
  <si>
    <t>11170        GOTO Pos_prt</t>
  </si>
  <si>
    <t>11180        END IF</t>
  </si>
  <si>
    <t>11200         IF Elic THEN</t>
  </si>
  <si>
    <t>11210       PRINT TABXY(1,11),Dk1$;</t>
  </si>
  <si>
    <t>11220         ELSE</t>
  </si>
  <si>
    <t>11230       PRINT TABXY(1,9),Dk1$;</t>
  </si>
  <si>
    <t>11240         END IF</t>
  </si>
  <si>
    <t>11250         PRINT USING Fmt_diam;ABS(Dk1)</t>
  </si>
  <si>
    <t>11280           Ang=Apkn</t>
  </si>
  <si>
    <t>11290           CALL Rad_gms(Ang,G,Mi,S)</t>
  </si>
  <si>
    <t>11300           Apkn$=VAL$(G)&amp;"°"&amp;VAL$(Mi)&amp;"'"</t>
  </si>
  <si>
    <t>11320        IF Elic THEN</t>
  </si>
  <si>
    <t>11330        PRINT TABXY(33,11),"Ang.pr.norm.bis.=";</t>
  </si>
  <si>
    <t>11340        ELSE</t>
  </si>
  <si>
    <t>11350        PRINT TABXY(45,9),Apk_t$;</t>
  </si>
  <si>
    <t>11360        END IF</t>
  </si>
  <si>
    <t>11370        PRINT USING "K";Apkn$</t>
  </si>
  <si>
    <t>11390        IF Elic THEN</t>
  </si>
  <si>
    <t>11400        Apkt=ATN(TAN(Apkn)/COS(Ael))</t>
  </si>
  <si>
    <t>11410        Ang=Apkt</t>
  </si>
  <si>
    <t>11420        CALL Rad_gms(Ang,G,Mi,S)</t>
  </si>
  <si>
    <t>11430        Apkt$=VAL$(G)&amp;"°"&amp;VAL$(Mi)&amp;"'"</t>
  </si>
  <si>
    <t>11440        PRINT TABXY(58,11),"Ang.pr.circ.bis.=";</t>
  </si>
  <si>
    <t>11450        PRINT USING "K";Apkt$</t>
  </si>
  <si>
    <t>11460        Apktprt$=Apkt$</t>
  </si>
  <si>
    <t>11470        END IF</t>
  </si>
  <si>
    <t>11500         IF Elic THEN</t>
  </si>
  <si>
    <t>11510         IF Dk1 THEN</t>
  </si>
  <si>
    <t>11520         Y=11</t>
  </si>
  <si>
    <t>11530         ELSE</t>
  </si>
  <si>
    <t>11540         Y=9</t>
  </si>
  <si>
    <t>11550         END IF</t>
  </si>
  <si>
    <t>11560         ELSE</t>
  </si>
  <si>
    <t>11570         IF Dk1 THEN</t>
  </si>
  <si>
    <t>11580         Y=9</t>
  </si>
  <si>
    <t>11590         ELSE</t>
  </si>
  <si>
    <t>11600         Y=7</t>
  </si>
  <si>
    <t>11610         END IF</t>
  </si>
  <si>
    <t>11620         END IF</t>
  </si>
  <si>
    <t>11710 DISP "INTRODURRE i dati disponibili per la risoluzione dello spessore dente"</t>
  </si>
  <si>
    <t>11730                ON KEY 5 LABEL "SPESS.D/AMP.VANO" GOTO Intr_sp</t>
  </si>
  <si>
    <t>11740                ON KEY 6 LABEL "MIS.SU RULLI" GOTO Ris_mdk</t>
  </si>
  <si>
    <t>11750                ON KEY 7 LABEL "MISURA W." GOTO Ris_w</t>
  </si>
  <si>
    <t>11760                ON KEY 8 LABEL "PROSECUZIONE" GOTO Verif_ras</t>
  </si>
  <si>
    <t>11820     Prtw=1</t>
  </si>
  <si>
    <t>11830     Prtmdk=0</t>
  </si>
  <si>
    <t>11840     Prtsps=0</t>
  </si>
  <si>
    <t>11850         OFF KEY</t>
  </si>
  <si>
    <t>11860         IF Int THEN</t>
  </si>
  <si>
    <t>11870         K1$="Su Vani "</t>
  </si>
  <si>
    <t>11880         ELSE</t>
  </si>
  <si>
    <t>11890         K1$="Su Denti "</t>
  </si>
  <si>
    <t>11900         END IF</t>
  </si>
  <si>
    <t>11910         INPUT "W - Misura cordale ?",W1</t>
  </si>
  <si>
    <t>11920         IF Poll THEN W1=25.4*W1</t>
  </si>
  <si>
    <t>11930         IF NOT W1 THEN Ris_mdk</t>
  </si>
  <si>
    <t>11940         DISP K1$;</t>
  </si>
  <si>
    <t>11950         INPUT K1</t>
  </si>
  <si>
    <t>11960         IF Int THEN</t>
  </si>
  <si>
    <t>11970         W1=-W1</t>
  </si>
  <si>
    <t>11980         K1=-K1</t>
  </si>
  <si>
    <t>11990         END IF</t>
  </si>
  <si>
    <t>12000         Sn1w=W1/COS(Apn)-Mn*(Z1*(TAN(Apt)-Apt)+(K1-Z1/ABS(Z1))*PI)</t>
  </si>
  <si>
    <t>12010         IF Int THEN</t>
  </si>
  <si>
    <t>12020         En1w=Z1/ABS(Z1)*Sn1w</t>
  </si>
  <si>
    <t>12030         Sn1w=Mn*PI-ABS(Sn1w)</t>
  </si>
  <si>
    <t>12040         END IF</t>
  </si>
  <si>
    <t>12050         IF Elic THEN St1w=Sn1w/COS(Ael)</t>
  </si>
  <si>
    <t>12060         IF Elic AND Int THEN Et1w=En1w/COS(Ael)</t>
  </si>
  <si>
    <t>12090         Y=Y+2</t>
  </si>
  <si>
    <t>12110         PRINT TABXY(1,Y),"Misura Cordale =";</t>
  </si>
  <si>
    <t>12120         PRINT USING "4D.3D,X,K,DD";ABS(W1);K1$;ABS(K1)</t>
  </si>
  <si>
    <t>12130         Sn1=Sn1w</t>
  </si>
  <si>
    <t>12140         St1=St1w</t>
  </si>
  <si>
    <t>12150         En1=En1w</t>
  </si>
  <si>
    <t>12160         Et1=Et1w</t>
  </si>
  <si>
    <t>12180         GOSUB Prt_sp</t>
  </si>
  <si>
    <t>12200         GOTO Spess_d</t>
  </si>
  <si>
    <t>12240   Prtmdk=1</t>
  </si>
  <si>
    <t>12250   Prtw=0</t>
  </si>
  <si>
    <t>12260   Prtsps=0</t>
  </si>
  <si>
    <t>12280        OFF KEY</t>
  </si>
  <si>
    <t>12290        INPUT "Quota su 2 rulli ?",Mdk</t>
  </si>
  <si>
    <t>12300        IF Poll THEN Mdk=25.4*Mdk</t>
  </si>
  <si>
    <t>12310        IF Int THEN Mdk=-Mdk</t>
  </si>
  <si>
    <t>12320        INPUT "Diametro rulli ?",Dm</t>
  </si>
  <si>
    <t>12330        IF Poll THEN Dm=25.4*Dm</t>
  </si>
  <si>
    <t>12340        IF FRACT(Z1/2) THEN</t>
  </si>
  <si>
    <t>12350        Dk=(Mdk-Dm)/COS(PI/(2*Z1))</t>
  </si>
  <si>
    <t>12360        ELSE</t>
  </si>
  <si>
    <t>12370        Dk=Mdk-Dm</t>
  </si>
  <si>
    <t>12380        END IF</t>
  </si>
  <si>
    <t>12390        Et1m=D1*(Dm/(Z1*Mn*COS(Apn))+(TAN(Apt)-Apt)-(TAN(ACS(D1*COS(Apt)/Dk))-ACS(D1*COS(Apt)/Dk)))</t>
  </si>
  <si>
    <t>12400        St1m=M*PI-Et1m</t>
  </si>
  <si>
    <t>12410        IF Elic THEN Sn1m=St1m*COS(Ael)</t>
  </si>
  <si>
    <t>12440           Y=Y+2</t>
  </si>
  <si>
    <t>12460           PRINT TABXY(1,Y),"Quota su 2 rulli ";Dm;"=";</t>
  </si>
  <si>
    <t>12470           PRINT USING "4D.3D";ABS(Mdk)</t>
  </si>
  <si>
    <t>12480           IF Elic THEN</t>
  </si>
  <si>
    <t>12490           Sn1=Sn1m</t>
  </si>
  <si>
    <t>12500           St1=St1m</t>
  </si>
  <si>
    <t>12510           En1=Et1m*COS(Ael)</t>
  </si>
  <si>
    <t>12520           Et1=Et1m</t>
  </si>
  <si>
    <t>12530           ELSE</t>
  </si>
  <si>
    <t>12540           Sn1=St1m</t>
  </si>
  <si>
    <t>12550           En1=Et1m</t>
  </si>
  <si>
    <t>12560           END IF</t>
  </si>
  <si>
    <t>12580           GOSUB Prt_sp</t>
  </si>
  <si>
    <t>12600           GOTO Spess_d</t>
  </si>
  <si>
    <t>12630        Prtmdk=0</t>
  </si>
  <si>
    <t>12640        Prtw=0</t>
  </si>
  <si>
    <t>12650        Prtsps=1</t>
  </si>
  <si>
    <t>12660             OFF KEY</t>
  </si>
  <si>
    <t>12670 IF Elic THEN</t>
  </si>
  <si>
    <t>12680   IF Int THEN</t>
  </si>
  <si>
    <t>12690             INPUT "Ampiezza vano normale ?",En1s</t>
  </si>
  <si>
    <t>12700          IF Poll THEN En1s=25.4*En1s</t>
  </si>
  <si>
    <t>12710        IF En1s THEN</t>
  </si>
  <si>
    <t>12720             Et1s=En1s/COS(Ael)</t>
  </si>
  <si>
    <t>12730             Sn1s=Mn*PI-En1s</t>
  </si>
  <si>
    <t>12740             St1s=Sn1s/COS(Ael)</t>
  </si>
  <si>
    <t>12750        ELSE</t>
  </si>
  <si>
    <t>12760             INPUT "Ampiezza vano circonferenziale ?",Et1s</t>
  </si>
  <si>
    <t>12770          IF Poll THEN Et1s=25.4*Et1s</t>
  </si>
  <si>
    <t>12780             En1s=Et1s*COS(Ael)</t>
  </si>
  <si>
    <t>12790             St1s=Mt*PI-Et1s</t>
  </si>
  <si>
    <t>12800             Sn1s=St1s*COS(Ael)</t>
  </si>
  <si>
    <t>12810        END IF</t>
  </si>
  <si>
    <t>12820    ELSE</t>
  </si>
  <si>
    <t>12830             INPUT "Spessore dente normale ?",Sn1s</t>
  </si>
  <si>
    <t>12840          IF Poll THEN Sn1s=25.4*Sn1s</t>
  </si>
  <si>
    <t>12850        IF Sn1s THEN</t>
  </si>
  <si>
    <t>12860             St1s=Sn1s/COS(Ael)</t>
  </si>
  <si>
    <t>12870        ELSE</t>
  </si>
  <si>
    <t>12880             INPUT "Spessore dente circonferenziale ?",St1s</t>
  </si>
  <si>
    <t>12890          IF Poll THEN St1s=25.4*St1s</t>
  </si>
  <si>
    <t>12900             Sn1s=St1s*COS(Ael)</t>
  </si>
  <si>
    <t>12910        END IF</t>
  </si>
  <si>
    <t>12920    END IF</t>
  </si>
  <si>
    <t>12930 ELSE</t>
  </si>
  <si>
    <t>12940          IF Int THEN</t>
  </si>
  <si>
    <t>12950                 INPUT "Ampiezza vano ?",E1s</t>
  </si>
  <si>
    <t>12960                       IF Poll THEN E1s=25.4*E1s</t>
  </si>
  <si>
    <t>12970                                    S1s=M*PI-E1s</t>
  </si>
  <si>
    <t>12980          ELSE</t>
  </si>
  <si>
    <t>12990                 INPUT "Spessore dente ?",S1s</t>
  </si>
  <si>
    <t>13000                 IF Poll THEN S1s=25.4*S1s</t>
  </si>
  <si>
    <t>13010                              E1s=M*PI-S1s</t>
  </si>
  <si>
    <t>13020          END IF</t>
  </si>
  <si>
    <t>13030 END IF</t>
  </si>
  <si>
    <t>13060          IF Elic THEN</t>
  </si>
  <si>
    <t>13070          Sn1=Sn1s</t>
  </si>
  <si>
    <t>13080          St1=St1s</t>
  </si>
  <si>
    <t>13090          En1=En1s</t>
  </si>
  <si>
    <t>13100          Et1=Et1s</t>
  </si>
  <si>
    <t>13110          ELSE</t>
  </si>
  <si>
    <t>13120          Sn1=S1s</t>
  </si>
  <si>
    <t>13130          En1=E1s</t>
  </si>
  <si>
    <t>13140          END IF</t>
  </si>
  <si>
    <t>13160          Y=Y+2</t>
  </si>
  <si>
    <t>13180          GOSUB Prt_sp</t>
  </si>
  <si>
    <t>13200          GOTO Spess_d</t>
  </si>
  <si>
    <t>13240       IF Elic AND Int THEN</t>
  </si>
  <si>
    <t>13250       PRINT TABXY(37,Y),"Amp.v.norm.=";</t>
  </si>
  <si>
    <t>13260       PRINT USING Fmt_sp;En1</t>
  </si>
  <si>
    <t>13270       PRINT TABXY(61,Y),"Amp.v.circ.=";</t>
  </si>
  <si>
    <t>13280       PRINT USING Fmt_sp;Et1</t>
  </si>
  <si>
    <t>13290       END IF</t>
  </si>
  <si>
    <t>13300       IF NOT Elic AND NOT Int THEN</t>
  </si>
  <si>
    <t>13310       PRINT TABXY(50,Y),"Spessore dente =";</t>
  </si>
  <si>
    <t>13320       PRINT USING Fmt_sp;Sn1</t>
  </si>
  <si>
    <t>13330       END IF</t>
  </si>
  <si>
    <t>13340       IF Elic AND NOT Int THEN</t>
  </si>
  <si>
    <t>13350       PRINT TABXY(37,Y),"Spess.norm.=";</t>
  </si>
  <si>
    <t>13360       PRINT USING Fmt_sp;Sn1</t>
  </si>
  <si>
    <t>13370       PRINT TABXY(61,Y),"Spess.circ.=";</t>
  </si>
  <si>
    <t>13380       PRINT USING Fmt_sp;St1</t>
  </si>
  <si>
    <t>13390       END IF</t>
  </si>
  <si>
    <t>13400       IF NOT Elic AND Int THEN</t>
  </si>
  <si>
    <t>13410       PRINT TABXY(50,Y),"Ampiezza vano =";</t>
  </si>
  <si>
    <t>13420       PRINT USING Fmt_sp;En1</t>
  </si>
  <si>
    <t>13430       END IF</t>
  </si>
  <si>
    <t>13450       RETURN</t>
  </si>
  <si>
    <t>13480        IF NOT Elic THEN</t>
  </si>
  <si>
    <t>13490             Mt=Mn</t>
  </si>
  <si>
    <t>13500             Apkt=Apkn</t>
  </si>
  <si>
    <t>13510             St1=Sn1</t>
  </si>
  <si>
    <t>13520             Et1=En1</t>
  </si>
  <si>
    <t>13530        END IF</t>
  </si>
  <si>
    <t>13540          Inv_apt=TAN(Apt)-Apt</t>
  </si>
  <si>
    <t>13550          Psbt1=St1/(Mt*Z1)+Inv_apt</t>
  </si>
  <si>
    <t>13560      IF Dk1 THEN</t>
  </si>
  <si>
    <t>13570          Inv_apkt1=TAN(ACS(Db1/Dk1))-ACS(Db1/Dk1)</t>
  </si>
  <si>
    <t>13580          Skt1=Dk1*(St1/D1+Inv_apt-Inv_apkt1)</t>
  </si>
  <si>
    <t>13590          Dkb1=Mt*Z1*COS(Apkt)</t>
  </si>
  <si>
    <t>13600          Inv_apkkt1=TAN(ACS(Dkb1/Dk1))-ACS(Dkb1/Dk1)</t>
  </si>
  <si>
    <t>13610          Pskbt1=Skt1/Dk1+Inv_apkkt1</t>
  </si>
  <si>
    <t>13620      END IF</t>
  </si>
  <si>
    <t>13630      IF Elic THEN</t>
  </si>
  <si>
    <t>13640          Pz=ABS(D1)*PI/TAN(Ael)</t>
  </si>
  <si>
    <t>13650      END IF</t>
  </si>
  <si>
    <t>13670      IF Elic AND Dk1 THEN</t>
  </si>
  <si>
    <t>13680          Aelk1=ATN(ABS(Dk1)*PI/Pz)</t>
  </si>
  <si>
    <t>13690          Skn1=Skt1*COS(Aelk1)</t>
  </si>
  <si>
    <t>13700      END IF</t>
  </si>
  <si>
    <t>13720             OFF KEY</t>
  </si>
  <si>
    <t>13740    DISP "SI TRATTA DI DENTATURA DESTINATA AD ESSERE RASATA O RETTIFICATA ?"</t>
  </si>
  <si>
    <t>13750             ON KEY 8 LABEL "&gt;&gt; NO &lt;&lt;" GOTO Dnf1</t>
  </si>
  <si>
    <t>13760             ON KEY 5 LABEL "&gt;&gt; SI &lt;&lt;" GOTO Spess_d_f</t>
  </si>
  <si>
    <t>13810 Rasa=1</t>
  </si>
  <si>
    <t>13820 Rasap$="HH"</t>
  </si>
  <si>
    <t>13840  IF St1_f THEN</t>
  </si>
  <si>
    <t>13850     IF Int THEN</t>
  </si>
  <si>
    <t>13870          DISP USING "K,DD.DD";"Ampiezza vano normale di rasatura = ";En1_f</t>
  </si>
  <si>
    <t>13880     ELSE</t>
  </si>
  <si>
    <t>13890          DISP USING "K,DD.DD";"Spessore dente normale di rasatura =";Sn1_f</t>
  </si>
  <si>
    <t>13900     END IF</t>
  </si>
  <si>
    <t>13910          ENTER 2;A$</t>
  </si>
  <si>
    <t>13920  END IF</t>
  </si>
  <si>
    <t>13940  IF Std THEN</t>
  </si>
  <si>
    <t>13960  INPUT "INTRODURRE IL SOVRAMETALLO PER FIANCO ASPORTATO IN FINITURA ",Svrm</t>
  </si>
  <si>
    <t>13970  Sn1_f=Sn1-2*Svrm</t>
  </si>
  <si>
    <t>13980  St1_f=Sn1_f/COS(Ael)</t>
  </si>
  <si>
    <t>13990  GOTO Spess_bis</t>
  </si>
  <si>
    <t>14010  END IF</t>
  </si>
  <si>
    <t>14030 DISP "INTRODURRE i dati disponibili per la risoluzione dello spessore dente rasato "</t>
  </si>
  <si>
    <t>14050                ON KEY 5 LABEL "SPESS.D/AMP.VANO" GOTO Intr_sp_f</t>
  </si>
  <si>
    <t>14060                ON KEY 6 LABEL "MIS.SU RULLI" GOTO Ris_mdk_f</t>
  </si>
  <si>
    <t>14070                ON KEY 7 LABEL "MISURA W." GOTO Ris_w_f</t>
  </si>
  <si>
    <t>14080                ON KEY 8 LABEL "PROSECUZIONE" GOTO Spess_bis</t>
  </si>
  <si>
    <t>14140         OFF KEY</t>
  </si>
  <si>
    <t>14150         IF Int THEN</t>
  </si>
  <si>
    <t>14160         K1$="Su Vani "</t>
  </si>
  <si>
    <t>14170         ELSE</t>
  </si>
  <si>
    <t>14180         K1$="Su Denti "</t>
  </si>
  <si>
    <t>14190         END IF</t>
  </si>
  <si>
    <t>14200         INPUT "W - Misura cordale ?",W1_f</t>
  </si>
  <si>
    <t>14210         IF Poll THEN W1=25.4*W1_f</t>
  </si>
  <si>
    <t>14220         IF NOT W1_f THEN Spess_d_f</t>
  </si>
  <si>
    <t>14230         DISP K1$;</t>
  </si>
  <si>
    <t>14240         INPUT K1</t>
  </si>
  <si>
    <t>14250         IF Int THEN</t>
  </si>
  <si>
    <t>14260         W1_f=-W1_f</t>
  </si>
  <si>
    <t>14270         K1=-K1</t>
  </si>
  <si>
    <t>14280         END IF</t>
  </si>
  <si>
    <t>14290         Sn1w_f=W1_f/COS(Apn)-Mn*(Z1*(TAN(Apt)-Apt)+(K1-Z1/ABS(Z1))*PI)</t>
  </si>
  <si>
    <t>14300         IF Int THEN</t>
  </si>
  <si>
    <t>14310         En1w_f=Z1/ABS(Z1)*Sn1w_f</t>
  </si>
  <si>
    <t>14320         Sn1w_f=Mn*PI-ABS(Sn1w_f)</t>
  </si>
  <si>
    <t>14330         END IF</t>
  </si>
  <si>
    <t>14340         St1w_f=Sn1w_f/COS(Ael)</t>
  </si>
  <si>
    <t>14360         Sn1_f=Sn1w_f</t>
  </si>
  <si>
    <t>14370         St1_f=St1w_f</t>
  </si>
  <si>
    <t>14380         En1_f=En1w_f</t>
  </si>
  <si>
    <t>14400         GOTO Spess_d_f</t>
  </si>
  <si>
    <t>14430        OFF KEY</t>
  </si>
  <si>
    <t>14440        INPUT "Quota su 2 rulli ?",Mdk_f</t>
  </si>
  <si>
    <t>14450        IF Poll THEN Mdk_f=25.4*Mdk_f</t>
  </si>
  <si>
    <t>14460        IF Int THEN Mdk_f=-Mdk_f</t>
  </si>
  <si>
    <t>14470        INPUT "Diametro rulli ?",Dm</t>
  </si>
  <si>
    <t>14480        Dm_f=Dm</t>
  </si>
  <si>
    <t>14490        IF Poll THEN Dm=25.4*Dm</t>
  </si>
  <si>
    <t>14500        IF FRACT(Z1/2) THEN</t>
  </si>
  <si>
    <t>14510        Dk=(Mdk_f-Dm)/COS(PI/(2*Z1))</t>
  </si>
  <si>
    <t>14520        ELSE</t>
  </si>
  <si>
    <t>14530        Dk=Mdk_f-Dm</t>
  </si>
  <si>
    <t>14540        END IF</t>
  </si>
  <si>
    <t>14550        D1=Mt*Z1</t>
  </si>
  <si>
    <t>14560        Et1m_f=D1*(Dm/(Z1*Mn*COS(Apn))+(TAN(Apt)-Apt)-(TAN(ACS(D1*COS(Apt)/Dk))-ACS(D1*COS(Apt)/Dk)))</t>
  </si>
  <si>
    <t>14570        St1m_f=Mt*PI-Et1m_f</t>
  </si>
  <si>
    <t>14580        Sn1m_f=St1m_f*COS(Ael)</t>
  </si>
  <si>
    <t>14600           Sn1_f=Sn1m_f</t>
  </si>
  <si>
    <t>14610           St1_f=St1m_f</t>
  </si>
  <si>
    <t>14620           En1_f=Et1m_f*COS(Ael)</t>
  </si>
  <si>
    <t>14640           GOTO Spess_d_f</t>
  </si>
  <si>
    <t>14670             OFF KEY</t>
  </si>
  <si>
    <t>14680 IF Elic THEN</t>
  </si>
  <si>
    <t>14690   IF Int THEN</t>
  </si>
  <si>
    <t>14700             INPUT "Ampiezza vano normale ?",En1s_f</t>
  </si>
  <si>
    <t>14710          IF Poll THEN En1s_f=25.4*En1s_f</t>
  </si>
  <si>
    <t>14720        IF En1s_f THEN</t>
  </si>
  <si>
    <t>14730             Sn1s_f=Mn*PI-En1s_f</t>
  </si>
  <si>
    <t>14740             St1s_f=Sn1s_f/COS(Ael)</t>
  </si>
  <si>
    <t>14750        ELSE</t>
  </si>
  <si>
    <t>14760             INPUT "Ampiezza vano circonferenziale ?",Et1s_f</t>
  </si>
  <si>
    <t>14770          IF Poll THEN Et1s_f=25.4*Et1s_f</t>
  </si>
  <si>
    <t>14780             En1s_f=Et1s_f*COS(Ael)</t>
  </si>
  <si>
    <t>14790             St1s_f=Mt*PI-Et1s_f</t>
  </si>
  <si>
    <t>14800        END IF</t>
  </si>
  <si>
    <t>14810    ELSE</t>
  </si>
  <si>
    <t>14820             INPUT "Spessore dente normale ?",Sn1s_f</t>
  </si>
  <si>
    <t>14830          IF Poll THEN Sn1s_f=25.4*Sn1s_f</t>
  </si>
  <si>
    <t>14840        IF Sn1s_f THEN</t>
  </si>
  <si>
    <t>14850             St1s_f=Sn1s_f/COS(Ael)</t>
  </si>
  <si>
    <t>14860        ELSE</t>
  </si>
  <si>
    <t>14870             INPUT "Spessore dente circonferenziale ?",St1s_f</t>
  </si>
  <si>
    <t>14880          IF Poll THEN St1s_f=25.4*St1s_f</t>
  </si>
  <si>
    <t>14890             Sn1s_f=St1s_f*COS(Ael)</t>
  </si>
  <si>
    <t>14900        END IF</t>
  </si>
  <si>
    <t>14910    END IF</t>
  </si>
  <si>
    <t>14920 ELSE</t>
  </si>
  <si>
    <t>14930          IF Int THEN INPUT "Ampiezza vano ?",En1s_f</t>
  </si>
  <si>
    <t>14940          IF Poll THEN En1s_f=25.4*En1s_f</t>
  </si>
  <si>
    <t>14950        IF En1s_f THEN</t>
  </si>
  <si>
    <t>14960             St1s_f=Mn*PI-En1s_f</t>
  </si>
  <si>
    <t>14970        ELSE</t>
  </si>
  <si>
    <t>14980             INPUT "Spessore dente ?",Sn1s_f</t>
  </si>
  <si>
    <t>14990          IF Poll THEN Sn1s_f=25.4*Sn1s_f</t>
  </si>
  <si>
    <t>15000          St1s_f=Sn1s_f</t>
  </si>
  <si>
    <t>15010        END IF</t>
  </si>
  <si>
    <t>15020 END IF</t>
  </si>
  <si>
    <t>15050          Sn1_f=Sn1s_f</t>
  </si>
  <si>
    <t>15060          St1_f=St1s_f</t>
  </si>
  <si>
    <t>15070          En1_f=En1s_f</t>
  </si>
  <si>
    <t>15090          GOTO Spess_d_f</t>
  </si>
  <si>
    <t>15120          Psbt1_f=St1_f/(Mt*Z1)+Inv_apt</t>
  </si>
  <si>
    <t>15160          OFF KEY</t>
  </si>
  <si>
    <t>15180    IF Dk1 THEN</t>
  </si>
  <si>
    <t>15200          R_t=3</t>
  </si>
  <si>
    <t>15210          A=Dk1</t>
  </si>
  <si>
    <t>15220               IF Int THEN A=Da1</t>
  </si>
  <si>
    <t>15230          B=Dk1+Z1/ABS(Z1)*Mt</t>
  </si>
  <si>
    <t>15240               IF Int THEN B=Dk1</t>
  </si>
  <si>
    <t>15260           CALL Bisect(A,B,Root,Da0,Da1,Df1,Eaat1,Psat0,Db0,Apna0,Apnf1,Psbt0,Pskbt1,Dkb1,Psbt1_f,Gm,Ra0,Mwt,Solz(*),Db1,Z0,Z1,R_t)</t>
  </si>
  <si>
    <t>15280           Dk1_f=Root</t>
  </si>
  <si>
    <t>15290           R_t=0</t>
  </si>
  <si>
    <t>15310  IF Std THEN</t>
  </si>
  <si>
    <t>15330  DISP USING "K,D.DD,K";"VARIAZIONE ALTEZZA RADIALE SMUSSO = ";ABS(Dk1-Dk1_f)/2;" VUOI CORREGGERE ?"</t>
  </si>
  <si>
    <t>15340  Dk1_f1=ABS(Dk1-Dk1_f)/2</t>
  </si>
  <si>
    <t>15350  ELSE</t>
  </si>
  <si>
    <t>15370  DISP USING "K,3D.DD,K";"DIAM.INIZIO SMUSSO SUL PEZZO FINITO = ";ABS(Dk1_f);" VUOI CORREGGERE ?"</t>
  </si>
  <si>
    <t>15380  Dk1_f1=Dk1_f</t>
  </si>
  <si>
    <t>15400  END IF</t>
  </si>
  <si>
    <t>15420          OFF KEY</t>
  </si>
  <si>
    <t>15440          ON KEY 8 LABEL "&gt;&gt; NO &lt;&lt;" GOTO Dnf1</t>
  </si>
  <si>
    <t>15450          ON KEY 5 LABEL "&gt;&gt; SI &lt;&lt;" GOTO Var_bis</t>
  </si>
  <si>
    <t>15500          IF Std THEN</t>
  </si>
  <si>
    <t>15510                     R=R-2</t>
  </si>
  <si>
    <t>15520                     GOTO Semit_stand</t>
  </si>
  <si>
    <t>15530          ELSE</t>
  </si>
  <si>
    <t>15540                     GOTO Bisello</t>
  </si>
  <si>
    <t>15550          END IF</t>
  </si>
  <si>
    <t>15570     END IF</t>
  </si>
  <si>
    <t>15620          IF Std THEN GOTO Fine</t>
  </si>
  <si>
    <t>15640          DIM Roll$[25],Teta_dnf1$[8]</t>
  </si>
  <si>
    <t>15650          Ris$=" "</t>
  </si>
  <si>
    <t>15660          Spess=0</t>
  </si>
  <si>
    <t>15680          OFF KEY</t>
  </si>
  <si>
    <t>15690          DISP "PREMERE LA SOFTKEY RELATIVA AL TIPO DI DATO DISPONIBILE PER IL DNF1"</t>
  </si>
  <si>
    <t>15710       ON KEY 1 LABEL "RAGGIO FONDO" GOTO Intr_rf1</t>
  </si>
  <si>
    <t>15720       ON KEY 2 LABEL "LUNGH.ROTOL" GOTO L_rot</t>
  </si>
  <si>
    <t>15730       ON KEY 3 LABEL "ANG.ROTOL." GOTO Ang_rot</t>
  </si>
  <si>
    <t>15740       ON KEY 4 LABEL "DIAM.UTILE" GOTO D_utile</t>
  </si>
  <si>
    <t>15750       ON KEY 8 LABEL "NESSUN DATO" GOTO Correzioni_2</t>
  </si>
  <si>
    <t>15810          OFF KEY</t>
  </si>
  <si>
    <t>15820          INPUT "Diametro utile ?",Dnf1</t>
  </si>
  <si>
    <t>15830          IF Poll THEN Dnf1=25.4*Dnf1</t>
  </si>
  <si>
    <t>15840           GOTO Calc_rf1</t>
  </si>
  <si>
    <t>15880          OFF KEY</t>
  </si>
  <si>
    <t>15890          INPUT "Lunghezza Rotolamento,Dnf1 ?",L_dnf1</t>
  </si>
  <si>
    <t>15900          IF Poll THEN L_dnf1=25.4*L_dnf1</t>
  </si>
  <si>
    <t>15910          Dnf1=2*SQR((Db1/2)^2+L_dnf1^2)</t>
  </si>
  <si>
    <t>15920          GOTO Calc_rf1</t>
  </si>
  <si>
    <t>15960          OFF KEY</t>
  </si>
  <si>
    <t>15970          Roll$="Angolo Rotolamento,Dnf1"</t>
  </si>
  <si>
    <t>15980   SELECT Gms</t>
  </si>
  <si>
    <t>15990    CASE 1</t>
  </si>
  <si>
    <t>16000          DISP Roll$&amp;Gms$;</t>
  </si>
  <si>
    <t>16010          INPUT Teta_dnf1$</t>
  </si>
  <si>
    <t>16020          Ang$=Teta_dnf1$</t>
  </si>
  <si>
    <t>16030          CALL Gms_rad(Ang$,Ang,Gr,Min,Sec)</t>
  </si>
  <si>
    <t>16040          Teta_dnf1=Ang</t>
  </si>
  <si>
    <t>16050    CASE 0</t>
  </si>
  <si>
    <t>16060          DISP Roll$&amp;Gdc$;</t>
  </si>
  <si>
    <t>16070          INPUT Teta_dnf1</t>
  </si>
  <si>
    <t>16080          Teta_dnf1=Teta_dnf1*PI/180</t>
  </si>
  <si>
    <t>16090    CASE -1</t>
  </si>
  <si>
    <t>16100          DISP Roll$&amp;Rad$;</t>
  </si>
  <si>
    <t>16110          INPUT Teta_dnf1</t>
  </si>
  <si>
    <t>16120 END SELECT</t>
  </si>
  <si>
    <t>16130          Dnf1=2*SQR((Db1/2)^2+(Db1/2*Teta_dnf1)^2)</t>
  </si>
  <si>
    <t>16140          GOTO Calc_rf1</t>
  </si>
  <si>
    <t>16180          OFF KEY</t>
  </si>
  <si>
    <t>16190          INPUT "Raggio del raccordo di fondo dente ?",Rf1</t>
  </si>
  <si>
    <t>16200    IF ABS(Df1+2*Rf1)&lt;ABS(Db1) THEN</t>
  </si>
  <si>
    <t>16210          Dnf1=Db1</t>
  </si>
  <si>
    <t>16220    ELSE</t>
  </si>
  <si>
    <t>16230          Apnf1=ATN(TAN(ACS(Db1/(Df1+2*Rf1)))-2*Rf1/Db1)</t>
  </si>
  <si>
    <t>16240          Dnf1=Db1/COS(Apnf1)</t>
  </si>
  <si>
    <t>16250    END IF</t>
  </si>
  <si>
    <t>16260          GOTO Prt_dnf1</t>
  </si>
  <si>
    <t>16300          INTEGER R_t</t>
  </si>
  <si>
    <t>16310          IF Int THEN Dnf1=-Dnf1</t>
  </si>
  <si>
    <t>16320          R_t=4</t>
  </si>
  <si>
    <t>16330       IF ABS(Df1)&lt;ABS(Db1) THEN</t>
  </si>
  <si>
    <t>16340          A=ABS((Db1-Df1)/2)</t>
  </si>
  <si>
    <t>16350       ELSE</t>
  </si>
  <si>
    <t>16360          A=0</t>
  </si>
  <si>
    <t>16370       END IF</t>
  </si>
  <si>
    <t>16380       IF Int THEN</t>
  </si>
  <si>
    <t>16390                  B=ABS(Df1-Db1)/2</t>
  </si>
  <si>
    <t>16400       ELSE</t>
  </si>
  <si>
    <t>16410                  B=2*Mn</t>
  </si>
  <si>
    <t>16420       END IF</t>
  </si>
  <si>
    <t>16430          Apnf1=ACS(Db1/Dnf1)</t>
  </si>
  <si>
    <t>16440          CALL Bisect(A,B,Root,Da0,Da1,Df1,Eaat1,Psat0,Db0,Apna0,Apnf1,Psbt0,Pskbt1_max,Dkb1,Psbt1,Gm,Ra0,Mwt,Solz(*),Db1,Z0,Z1,R_t)</t>
  </si>
  <si>
    <t>16450          Rf1=Root</t>
  </si>
  <si>
    <t>16490          Y=Y+2</t>
  </si>
  <si>
    <t>16500          PRINT TABXY(1,Y),"Diam.inizio evolvente utile =";</t>
  </si>
  <si>
    <t>16510          PRINT USING Fmt_diam;ABS(Dnf1)</t>
  </si>
  <si>
    <t>16530          Rf1p$=VAL$(Rf1)</t>
  </si>
  <si>
    <t>16540          PRINT TABXY(50,Y),"Raggio del raccordo =";</t>
  </si>
  <si>
    <t>16550          PRINT USING "2D.2D";Rf1</t>
  </si>
  <si>
    <t>16570             OFF KEY</t>
  </si>
  <si>
    <t>16580             Ris$=""</t>
  </si>
  <si>
    <t>16590             DISP "Premere la SOFTKEY per eventuali correzioni o per proseguire"</t>
  </si>
  <si>
    <t>16610             ON KEY 5 LABEL "CORREZIONI" GOTO Intr_diam</t>
  </si>
  <si>
    <t>16620             ON KEY 8 LABEL "PROSECUZIONE" GOTO Fine</t>
  </si>
  <si>
    <t>16670             OUTPUT 2;Clear$;</t>
  </si>
  <si>
    <t>16720          X1=(St1-Mt*PI/2)/(2*Mn*TAN(Apt))</t>
  </si>
  <si>
    <t>16730   SUBEND</t>
  </si>
  <si>
    <t>16800   SUB Ingr_particol</t>
  </si>
  <si>
    <t>16850 COM /Plot/@Plot,File$[80],Prima,Raps,Ang_piv,Lorg,Csize,Ldir</t>
  </si>
  <si>
    <t>16890   COM Progettista$,Clear$,Home$,Cliente$,Dis$,K1$,Dp$,Mn$,Mt$,Apn$,Apt$,Apkn$,Ael$,Sen_el$,Senso$,N_ingr$,N_sag$,Topping$,Lavor$,Work$,Tip_colt$,Work_b$,Work_c$,Fgtorn$,Tip_colt1$,Carkey$,Rf1p$,Rasap$,Dk1_f$,Apktprt$,Tetaprt$</t>
  </si>
  <si>
    <t>16900   COM /Dati_rasatura/Et1_f,En1_f,Sn1_f,Mdk_f,W1_f,Dm_f,D_stc_fprt,D_stc_iprt</t>
  </si>
  <si>
    <t>16910   COM REAL Sp,Mn,Mt,Ael,Apn,Apt,Db1,Da1,Df1,Dnf1,Dnf1_pr,Dk1,Apkn,Apkt,Sn1,St1,St1_f,En1,Et1,Skt1,Skn1,Psbt1,X1,W1,Dm,Mdk,Sykes,D_topp,X_hap,X_hfp,X1mn,Dk1_f,Rf1p,Prtmdk,Prtw,Prtsps,Dk1_f1</t>
  </si>
  <si>
    <t>16920   COM REAL Mwt,Da0,Dna0,Da0t,Pskbt1,Db0h,Db0t,Dkb0,D_stc_f,D_stc_i,Ra0,X_max,Swmt0,San0,Skwmt0,Dwtm,Apkwtm,Inv_apt,Gm,Zeta_h,Zeta_t,Zeta_kb_f,Dv0</t>
  </si>
  <si>
    <t>16930   COM INTEGER Z1,Z0,K1,Int,Elic,Std,Centro,Protuberanzap</t>
  </si>
  <si>
    <t>16940   OFF KEY</t>
  </si>
  <si>
    <t>16950   OUTPUT 2;Clear$;</t>
  </si>
  <si>
    <t>16970  OFF KEY</t>
  </si>
  <si>
    <t>16980  OUTPUT 2;Clear$;</t>
  </si>
  <si>
    <t>17000        PRINT TAB(Centro);</t>
  </si>
  <si>
    <t>17010        PRINT CHR$(129);"INGRANDIMENTO PROFILO PARTICOLARE"</t>
  </si>
  <si>
    <t>17020        PRINT CHR$(128);</t>
  </si>
  <si>
    <t>17030        PRINT TABXY(Centro,5);"k0        STAMPA SU VIDEO"</t>
  </si>
  <si>
    <t>17040        PRINT TABXY(Centro,8);"k4        STAMPA SU OLD PLOTTER"</t>
  </si>
  <si>
    <t>17050        PRINT TABXY(Centro,11);"k7        USCITA PROGRAMMA"</t>
  </si>
  <si>
    <t>17070        DISP "Premere la SOFTKEY per la scelta della stampa -(Verificare accensione PLOTTER)";</t>
  </si>
  <si>
    <t>17090        ON KEY 1 LABEL "STAMPA VIDEO" GOTO Video</t>
  </si>
  <si>
    <t>17100        ON KEY 4 LABEL "STAMPA  DATI" GOTO Plotter</t>
  </si>
  <si>
    <t>17110        ON KEY 8 LABEL "USCITA" GOTO Fine</t>
  </si>
  <si>
    <t>17160            Printdata$="YYY"</t>
  </si>
  <si>
    <t>17170            INTEGER Plott</t>
  </si>
  <si>
    <t>17180            Plott=1</t>
  </si>
  <si>
    <t>17190            GINIT</t>
  </si>
  <si>
    <t>17200            PLOTTER IS "c:\Programmi\HTBwin83\NEWPROG\dxfPART","HPGL;HPGL2;PORTRAIT",0,410,0,287</t>
  </si>
  <si>
    <t>17220            Gdu_mm=1              !Gdu_mm=.02487315</t>
  </si>
  <si>
    <t>17230            GOTO Ann_matr</t>
  </si>
  <si>
    <t>17250            Printdata$=""</t>
  </si>
  <si>
    <t>17260            Plott=0</t>
  </si>
  <si>
    <t>17270             File$="C:\programmi\htbwin83\newprog\filesfellows\Ingr_Part.scr"              ! @@@@@@@@@inizializzazione File$</t>
  </si>
  <si>
    <t>17290             CALL Plot_init              !GINIT</t>
  </si>
  <si>
    <t>17310            PLOTTER IS CRT,"INTERNAL"</t>
  </si>
  <si>
    <t>17320            OFF KEY</t>
  </si>
  <si>
    <t>17330            OUTPUT 2;Clear$;</t>
  </si>
  <si>
    <t>17340            IF Neo AND Norm THEN DEALLOCATE Prof_n(*)</t>
  </si>
  <si>
    <t>17350            IF Neo AND NOT Norm THEN</t>
  </si>
  <si>
    <t>17360                                     DEALLOCATE Prof_t(*)</t>
  </si>
  <si>
    <t>17370                         IF Ra0 THEN DEALLOCATE Troc(*)</t>
  </si>
  <si>
    <t>17380            END IF</t>
  </si>
  <si>
    <t>17390            IF Bis THEN</t>
  </si>
  <si>
    <t>17400            Bis=0</t>
  </si>
  <si>
    <t>17410            IF Neo AND Norm THEN DEALLOCATE Bis_n(*)</t>
  </si>
  <si>
    <t>17420            IF Neo AND NOT Norm THEN DEALLOCATE Bis_t(*)</t>
  </si>
  <si>
    <t>17430            END IF</t>
  </si>
  <si>
    <t>17440            IF NOT Elic THEN Sez_circ</t>
  </si>
  <si>
    <t>17450            OFF KEY</t>
  </si>
  <si>
    <t>17460            OUTPUT 2;Clear$;</t>
  </si>
  <si>
    <t>17480            PRINT TABXY(Centro,5),"k0     INGRANDIMENTO SEZIONE NORMALE"</t>
  </si>
  <si>
    <t>17490            PRINT TABXY(Centro,8),"k4     INGRANDIMENTO SEZIONE CIRCONFERENZIALE"</t>
  </si>
  <si>
    <t>17510            DISP "Premere la SOFTKEY corrispondente alla Sezione prescelta"</t>
  </si>
  <si>
    <t>17530            ON KEY 5 LABEL "SEZ.NORMALE" GOTO Sez_norm</t>
  </si>
  <si>
    <t>17540            ON KEY 8 LABEL "SEZ.CIRCONF." GOTO Sez_circ</t>
  </si>
  <si>
    <t>17590         INTEGER Norm</t>
  </si>
  <si>
    <t>17600         Norm=1</t>
  </si>
  <si>
    <t>17610         Z=Z1/(COS(Ael)^3)</t>
  </si>
  <si>
    <t>17620         M=Mn</t>
  </si>
  <si>
    <t>17630         Ap=Apn</t>
  </si>
  <si>
    <t>17640         Psb=Sn1/(M*Z)+TAN(Ap)-Ap</t>
  </si>
  <si>
    <t>17650         Db=M*Z*COS(Ap)</t>
  </si>
  <si>
    <t>17660         Da=M*Z+Da1-Mt*Z1</t>
  </si>
  <si>
    <t>17670         Df=M*Z+Df1-Mt*Z1</t>
  </si>
  <si>
    <t>17680         IF Dk1 THEN</t>
  </si>
  <si>
    <t>17690         Dk=M*Z+Dk1-Mt*Z1</t>
  </si>
  <si>
    <t>17700         Dbk=M*Z*COS(Apkn)</t>
  </si>
  <si>
    <t>17710         Inv_apkkn=TAN(ACS(Dbk/Dk))-ACS(Dbk/Dk)</t>
  </si>
  <si>
    <t>17720         Pskb=Skn1/Dk+Inv_apkkn</t>
  </si>
  <si>
    <t>17730         END IF</t>
  </si>
  <si>
    <t>17740         GOTO Graphics</t>
  </si>
  <si>
    <t>17770         Norm=0</t>
  </si>
  <si>
    <t>17780         M=Mt</t>
  </si>
  <si>
    <t>17790         Z=Z1</t>
  </si>
  <si>
    <t>17800         Ap=Apt</t>
  </si>
  <si>
    <t>17810         Psb=St1/(M*Z)+TAN(Ap)-Ap</t>
  </si>
  <si>
    <t>17820         Db=Db1</t>
  </si>
  <si>
    <t>17830         Da=Da1</t>
  </si>
  <si>
    <t>17840         Df=Df1</t>
  </si>
  <si>
    <t>17850         IF Dk1 THEN</t>
  </si>
  <si>
    <t>17860         Dk=Dk1</t>
  </si>
  <si>
    <t>17870         Dbk=M*Z*COS(Apkt)</t>
  </si>
  <si>
    <t>17880         Inv_apkkt=TAN(ACS(Dbk/Dk1))-ACS(Dbk/Dk)</t>
  </si>
  <si>
    <t>17890         Pskb=Skt1/Dk1+Inv_apkkt</t>
  </si>
  <si>
    <t>17900         END IF</t>
  </si>
  <si>
    <t>17930           INTEGER Scala</t>
  </si>
  <si>
    <t>17940           OFF KEY</t>
  </si>
  <si>
    <t>17950           OUTPUT 2;Clear$;</t>
  </si>
  <si>
    <t>17960           GRAPHICS ON</t>
  </si>
  <si>
    <t>17970           GCLEAR</t>
  </si>
  <si>
    <t>17980 IF Plott=1 THEN GOTO Chktutto</t>
  </si>
  <si>
    <t>17990                 Scala=0</t>
  </si>
  <si>
    <t>18000           INPUT "SCALA  ?",Scala</t>
  </si>
  <si>
    <t>18010 IF Scala=0 THEN Scala=1</t>
  </si>
  <si>
    <t>18040           IF Plott THEN</t>
  </si>
  <si>
    <t>18050                       GOTO Label_dati</t>
  </si>
  <si>
    <t>18070        REM   PLOTTER IS CRT !,"HPGL;HPGL2;PORTRAIT",0,274.186,0,191.666</t>
  </si>
  <si>
    <t>18080           PLOTTER IS 705,"HPGL"</t>
  </si>
  <si>
    <t>18090           OUTPUT 705;"OP;"</t>
  </si>
  <si>
    <t>18100           ENTER 705;P1x,P1y,P2x,P2y</t>
  </si>
  <si>
    <t>18110           X_min=0</t>
  </si>
  <si>
    <t>18120           Y_min=0</t>
  </si>
  <si>
    <t>18130           INPUT "X Minimo?[RISP.(-);RIF.(-201)]",X_min</t>
  </si>
  <si>
    <t>18140           INPUT "Y Minimo?[RISP.(-);RIF.(-137)]",Y_min</t>
  </si>
  <si>
    <t>18150           IF X_min=0 THEN X_min=-(P2x/2*Gdu_mm)</t>
  </si>
  <si>
    <t>18160           IF Y_min=0 THEN Y_min=-(P2y/2*Gdu_mm)</t>
  </si>
  <si>
    <t>18180 X_0=X_min/Scala</t>
  </si>
  <si>
    <t>18190           X_1=P2x*Gdu_mm/Scala+X_0</t>
  </si>
  <si>
    <t>18200           Y_0=ABS(M*Z)/2+Y_min/Scala</t>
  </si>
  <si>
    <t>18210           Y_1=Y_0+P2y*Gdu_mm/Scala</t>
  </si>
  <si>
    <t>18220           ELSE</t>
  </si>
  <si>
    <t>18230           X_min=0</t>
  </si>
  <si>
    <t>18240           Y_min=0</t>
  </si>
  <si>
    <t>18250           INPUT "X Minimo ? [Risp.(-);Rif.(-80)]",X_min</t>
  </si>
  <si>
    <t>18260           INPUT "Y Minimo ? [Risp.(-);Rif.(-60)]",Y_min</t>
  </si>
  <si>
    <t>18270           IF X_min=0 THEN X_min=-60*RATIO</t>
  </si>
  <si>
    <t>18280           IF Y_min=0 THEN Y_min=-60</t>
  </si>
  <si>
    <t>18290           X_0=X_min/Scala</t>
  </si>
  <si>
    <t>18300           X_1=(120*RATIO+X_min)/Scala</t>
  </si>
  <si>
    <t>18310           Y_0=ABS(M*Z)/2+Y_min/Scala</t>
  </si>
  <si>
    <t>18320           Y_1=ABS(M*Z)/2+(120+Y_min)/Scala</t>
  </si>
  <si>
    <t>18330           END IF</t>
  </si>
  <si>
    <t>18340           PEN 2</t>
  </si>
  <si>
    <t>18350           SHOW X_0,X_1,Y_0,Y_1</t>
  </si>
  <si>
    <t>18360           AXES</t>
  </si>
  <si>
    <t>18370           FRAME</t>
  </si>
  <si>
    <t>18380           GOSUB Diam</t>
  </si>
  <si>
    <t>18400           DISP "Scegliere tramite la SOFTKEY la posizione del dente"</t>
  </si>
  <si>
    <t>18410           ON KEY 5 LABEL "DENTE CENTR." GOTO Z_centr</t>
  </si>
  <si>
    <t>18420           ON KEY 8 LABEL "VANO CENTR." GOTO V_centr</t>
  </si>
  <si>
    <t>18470             OFF KEY</t>
  </si>
  <si>
    <t>18480             Angle=0</t>
  </si>
  <si>
    <t>18490             GOTO N_z</t>
  </si>
  <si>
    <t>18520             OFF KEY</t>
  </si>
  <si>
    <t>18530             Angle=PI/ABS(Z)</t>
  </si>
  <si>
    <t>18560         INTEGER Zv</t>
  </si>
  <si>
    <t>18570         INPUT "Numero di denti visualizzato ?",Zv</t>
  </si>
  <si>
    <t>18580         GOTO Profilo</t>
  </si>
  <si>
    <t>18610           Dp=ABS(Df)</t>
  </si>
  <si>
    <t>18620           GOSUB Plt_diam</t>
  </si>
  <si>
    <t>18630           IF ABS(Db)&gt;ABS(Df) THEN</t>
  </si>
  <si>
    <t>18640           Dp=ABS(Db)</t>
  </si>
  <si>
    <t>18650           LINE TYPE 8</t>
  </si>
  <si>
    <t>18660           GOSUB Plt_diam</t>
  </si>
  <si>
    <t>18670           END IF</t>
  </si>
  <si>
    <t>18680           Dp=M*ABS(Z)</t>
  </si>
  <si>
    <t>18690           LINE TYPE 6</t>
  </si>
  <si>
    <t>18700           GOSUB Plt_diam</t>
  </si>
  <si>
    <t>18710           Dp=ABS(Da)</t>
  </si>
  <si>
    <t>18720           LINE TYPE 1</t>
  </si>
  <si>
    <t>18730           GOSUB Plt_diam</t>
  </si>
  <si>
    <t>18740           IF Dk THEN</t>
  </si>
  <si>
    <t>18750           LINE TYPE 4</t>
  </si>
  <si>
    <t>18760           Dp=ABS(Dk)</t>
  </si>
  <si>
    <t>18770           GOSUB Plt_diam</t>
  </si>
  <si>
    <t>18780           END IF</t>
  </si>
  <si>
    <t>18790           IF D_stc_f THEN</t>
  </si>
  <si>
    <t>18800           LINE TYPE 4</t>
  </si>
  <si>
    <t>18810           Dp=ABS(D_stc_f)</t>
  </si>
  <si>
    <t>18820           GOSUB Plt_diam</t>
  </si>
  <si>
    <t>18830           END IF</t>
  </si>
  <si>
    <t>18850           INPUT "Diametro da plottare ?",Dp</t>
  </si>
  <si>
    <t>18860           IF Dp THEN</t>
  </si>
  <si>
    <t>18870           LINE TYPE 5</t>
  </si>
  <si>
    <t>18880           IF Int AND Norm THEN Dp=-Dp</t>
  </si>
  <si>
    <t>18890           IF Norm THEN Dp=ABS(M*Z+Dp-Mt*Z1)</t>
  </si>
  <si>
    <t>18900           GOSUB Plt_diam</t>
  </si>
  <si>
    <t>18910           ELSE</t>
  </si>
  <si>
    <t>18920           GOTO Rientro</t>
  </si>
  <si>
    <t>18930           END IF</t>
  </si>
  <si>
    <t>18940           GOTO Inp_diam</t>
  </si>
  <si>
    <t>18980        Dp=Dp/2</t>
  </si>
  <si>
    <t>18990        Lim_dx=X_1/Dp</t>
  </si>
  <si>
    <t>19000        Lim_sx=X_0/Dp</t>
  </si>
  <si>
    <t>19010                     IF Lim_dx&gt;1 THEN Lim_dx=1</t>
  </si>
  <si>
    <t>19020                     IF ABS(Lim_sx)&gt;1 THEN Lim_sx=-1</t>
  </si>
  <si>
    <t>19030        End=ASN(Lim_dx)</t>
  </si>
  <si>
    <t>19040        Start=ASN(Lim_sx)</t>
  </si>
  <si>
    <t>19050        Step=(End-Start)/100</t>
  </si>
  <si>
    <t>19060        PEN 1</t>
  </si>
  <si>
    <t>19070        CALL Plot_move(Dp*SIN(Start),Dp*COS(Start))</t>
  </si>
  <si>
    <t>19080        FOR I=Start TO End STEP Step</t>
  </si>
  <si>
    <t>19090        CALL Plot_draw(Dp*SIN(I),Dp*COS(I))</t>
  </si>
  <si>
    <t>19100        NEXT I</t>
  </si>
  <si>
    <t>19110        PEN -1</t>
  </si>
  <si>
    <t>19120        PENUP</t>
  </si>
  <si>
    <t>19130        RETURN</t>
  </si>
  <si>
    <t>19160        INTEGER F,Nt</t>
  </si>
  <si>
    <t>19170        Max_diam=MAX(ABS(Df),ABS(Da))</t>
  </si>
  <si>
    <t>19180        IF Dk AND NOT Int THEN Max_diam=Dk</t>
  </si>
  <si>
    <t>19190  IF Int AND Ra0 THEN</t>
  </si>
  <si>
    <t>19200             IF D_stc_i THEN</t>
  </si>
  <si>
    <t>19210                            Max_diam=ABS(D_stc_i)</t>
  </si>
  <si>
    <t>19220             ELSE</t>
  </si>
  <si>
    <t>19230                            Max_diam=ABS(Dnf1_pr)</t>
  </si>
  <si>
    <t>19240             END IF</t>
  </si>
  <si>
    <t>19250  END IF</t>
  </si>
  <si>
    <t>19260        IF Int THEN</t>
  </si>
  <si>
    <t>19270        IF Dk THEN</t>
  </si>
  <si>
    <t>19280        Min_diam=ABS(Dk)</t>
  </si>
  <si>
    <t>19290        ELSE</t>
  </si>
  <si>
    <t>19300        Min_diam=ABS(Da)</t>
  </si>
  <si>
    <t>19310        END IF</t>
  </si>
  <si>
    <t>19320        ELSE</t>
  </si>
  <si>
    <t>19330  IF Ra0 THEN</t>
  </si>
  <si>
    <t>19340         IF D_stc_i THEN</t>
  </si>
  <si>
    <t>19350                        Min_diam=D_stc_i</t>
  </si>
  <si>
    <t>19360         ELSE</t>
  </si>
  <si>
    <t>19370                        Min_diam=Dnf1_pr</t>
  </si>
  <si>
    <t>19380         END IF</t>
  </si>
  <si>
    <t>19390  ELSE</t>
  </si>
  <si>
    <t>19400        Min_diam=Df</t>
  </si>
  <si>
    <t>19410  END IF</t>
  </si>
  <si>
    <t>19420        END IF</t>
  </si>
  <si>
    <t>19430        N=(Max_diam-Min_diam)/(3/Scala)</t>
  </si>
  <si>
    <t>19440        N=INT(N)</t>
  </si>
  <si>
    <t>19450        Incr=(Max_diam-Min_diam)/N</t>
  </si>
  <si>
    <t>19460        Nt=2*N+1</t>
  </si>
  <si>
    <t>19470     IF D_stc_f THEN S=ABS(D_stc_f-D_stc_i)/Incr</t>
  </si>
  <si>
    <t>19480        IF Norm THEN</t>
  </si>
  <si>
    <t>19490        ALLOCATE Prof_n(0:Nt,0:2)</t>
  </si>
  <si>
    <t>19500        ELSE</t>
  </si>
  <si>
    <t>19510        ALLOCATE Prof_t(0:Nt,0:2)</t>
  </si>
  <si>
    <t>19520        END IF</t>
  </si>
  <si>
    <t>19530        GOSUB Matr_prof</t>
  </si>
  <si>
    <t>19550        IF Dk1 THEN</t>
  </si>
  <si>
    <t>19560        INTEGER Bis</t>
  </si>
  <si>
    <t>19570        Bis=1</t>
  </si>
  <si>
    <t>19580        N=ABS(Da-Dk)/(1/Scala)</t>
  </si>
  <si>
    <t>19590        N=INT(N)</t>
  </si>
  <si>
    <t>19600        Incr=ABS(Da-Dk)/N</t>
  </si>
  <si>
    <t>19610        Nt=N*2+1</t>
  </si>
  <si>
    <t>19620        IF Int THEN</t>
  </si>
  <si>
    <t>19630        Min_diam=ABS(Da)</t>
  </si>
  <si>
    <t>19640        ELSE</t>
  </si>
  <si>
    <t>19650        Min_diam=Dk</t>
  </si>
  <si>
    <t>19660        END IF</t>
  </si>
  <si>
    <t>19670        Db=Dbk</t>
  </si>
  <si>
    <t>19680        Psb=Pskb</t>
  </si>
  <si>
    <t>19690        IF Norm THEN</t>
  </si>
  <si>
    <t>19700        ALLOCATE Bis_n(0:Nt,0:2)</t>
  </si>
  <si>
    <t>19710        ELSE</t>
  </si>
  <si>
    <t>19720        ALLOCATE Bis_t(0:Nt,0:2)</t>
  </si>
  <si>
    <t>19730        END IF</t>
  </si>
  <si>
    <t>19740        GOSUB Matr_prof</t>
  </si>
  <si>
    <t>19750        END IF</t>
  </si>
  <si>
    <t>19790    IF NOT Norm THEN</t>
  </si>
  <si>
    <t>19800           IF Ra0 THEN</t>
  </si>
  <si>
    <t>19810                      INTEGER S,Tt,Tr</t>
  </si>
  <si>
    <t>19820                      T=(X_max-.0001)/(.5/Scala)</t>
  </si>
  <si>
    <t>19830                      T=INT(T)</t>
  </si>
  <si>
    <t>19840                      Incr_tr=(X_max-.0001)/T</t>
  </si>
  <si>
    <t>19850                      Tt=2*T+1</t>
  </si>
  <si>
    <t>19890            ALLOCATE Troc(0:Tt,0:2)</t>
  </si>
  <si>
    <t>19900                     FOR Tr=0 TO Tt STEP 1</t>
  </si>
  <si>
    <t>19910                  IF Tr&gt;T THEN</t>
  </si>
  <si>
    <t>19920                              S=-1</t>
  </si>
  <si>
    <t>19930                              J=Tr-T-1</t>
  </si>
  <si>
    <t>19940                  ELSE</t>
  </si>
  <si>
    <t>19950                              S=1</t>
  </si>
  <si>
    <t>19960                              J=Tr</t>
  </si>
  <si>
    <t>19970                  END IF</t>
  </si>
  <si>
    <t>19980                              X=.0001+J*Incr_tr</t>
  </si>
  <si>
    <t>20000     CALL Troc(X,Db1,Da0,Ra0,Mwt,Psbt1,Gm,Dt,Ph,Y,Z0,Z1)</t>
  </si>
  <si>
    <t>20010                              Xt=S*Dt*SIN(Ph)/2</t>
  </si>
  <si>
    <t>20020                              Yt=ABS(Dt)*COS(Ph)/2</t>
  </si>
  <si>
    <t>20030                        IF Tr=T THEN</t>
  </si>
  <si>
    <t>20040                                    Pen=0</t>
  </si>
  <si>
    <t>20050                        ELSE</t>
  </si>
  <si>
    <t>20060                                    Pen=1</t>
  </si>
  <si>
    <t>20070                        END IF</t>
  </si>
  <si>
    <t>20080                            Troc(Tr,0)=Xt</t>
  </si>
  <si>
    <t>20090                            Troc(Tr,1)=Yt</t>
  </si>
  <si>
    <t>20100                            Troc(Tr,2)=Pen</t>
  </si>
  <si>
    <t>20110                     NEXT Tr</t>
  </si>
  <si>
    <t>20120           END IF</t>
  </si>
  <si>
    <t>20130    END IF</t>
  </si>
  <si>
    <t>20150         FOR Nz=-INT(Zv/2)*2*PI/Z TO INT(Zv/2)*2*PI/Z STEP 2*PI/Z</t>
  </si>
  <si>
    <t>20160         Ang_rot=Angle+Nz</t>
  </si>
  <si>
    <t>20170         CALL Plot_move(0,0)</t>
  </si>
  <si>
    <t>20180         GOSUB Plt_prof</t>
  </si>
  <si>
    <t>20190         NEXT Nz</t>
  </si>
  <si>
    <t>20230 IF LEN(Printdata$) THEN</t>
  </si>
  <si>
    <t>20240                        GOTO Printdd                 !GOTO Neo_ingr</t>
  </si>
  <si>
    <t>20250 ELSE</t>
  </si>
  <si>
    <t>20260                        GOTO Neo_ingr1               !GOTO Printdd</t>
  </si>
  <si>
    <t>20270 END IF</t>
  </si>
  <si>
    <t>20300    PLOTTER IS "c:\Programmi\HTBwin83\NEWPROG\DxfPART","HPGL;HPGL2",0,410,0,287</t>
  </si>
  <si>
    <t>20310    SHOW 0,410,0,287</t>
  </si>
  <si>
    <t>20320    LORG 1</t>
  </si>
  <si>
    <t>20330    FRAME</t>
  </si>
  <si>
    <t>20340    LDIR 0</t>
  </si>
  <si>
    <t>20350    IF NOT Scala THEN</t>
  </si>
  <si>
    <t>20360                    INPUT "SCALA  ?",Scala</t>
  </si>
  <si>
    <t>20370    ELSE</t>
  </si>
  <si>
    <t>20390                    BEEP</t>
  </si>
  <si>
    <t>20400                    PRINT</t>
  </si>
  <si>
    <t>20410                    PRINT</t>
  </si>
  <si>
    <t>20420                    PRINT</t>
  </si>
  <si>
    <t>20430                    PRINT</t>
  </si>
  <si>
    <t>20440                    PRINT</t>
  </si>
  <si>
    <t>20450                    PRINT</t>
  </si>
  <si>
    <t>20460                    PRINT CHR$(129);              !"ESTERNI OD INTERNI"</t>
  </si>
  <si>
    <t>20480                    PRINT "RICORDATI!!  che nel CAD IL PROFILO VIENE SEMPRE RIPORTATO X 10 !!!!"</t>
  </si>
  <si>
    <t>20490                    PRINT</t>
  </si>
  <si>
    <t>20500                    PRINT</t>
  </si>
  <si>
    <t>20510                    PRINT "QUI DEVI INSERIRE SOLO IL VALORE DELLA SCALA DI STAMPA !!!"</t>
  </si>
  <si>
    <t>20520                    PRINT</t>
  </si>
  <si>
    <t>20530                    PRINT CHR$(128)</t>
  </si>
  <si>
    <t>20550                    INPUT "DIGITARE la SCALA da RIPORTARE nel FRAME di INGRANDIMENTO  ?",Scala</t>
  </si>
  <si>
    <t>20580    END IF</t>
  </si>
  <si>
    <t>20610    LINPUT "Introdurre il Numero di Ingrandimento",N_ingr$</t>
  </si>
  <si>
    <t>20630           PIVOT 0                !  CALL Plot_pivot(0)!PIVOT 0</t>
  </si>
  <si>
    <t>20640           PEN 1</t>
  </si>
  <si>
    <t>20660           PEN 2</t>
  </si>
  <si>
    <t>20690 CSIZE 5,.5</t>
  </si>
  <si>
    <t>20700 LORG 5</t>
  </si>
  <si>
    <t>20710       MOVE 85+Sp,256+Sp</t>
  </si>
  <si>
    <t xml:space="preserve">20720                         !      </t>
  </si>
  <si>
    <t>20730       LABEL "SCALA x ",Scala</t>
  </si>
  <si>
    <t>20750       MOVE 160+Sp,30+Sp</t>
  </si>
  <si>
    <t>20760           IF Norm THEN</t>
  </si>
  <si>
    <t>20770       LABEL "SEZIONE  NORMALE"</t>
  </si>
  <si>
    <t>20780           ELSE</t>
  </si>
  <si>
    <t>20790       LABEL "SEZIONE  CIRCONFERENZIALE"</t>
  </si>
  <si>
    <t>20800           END IF</t>
  </si>
  <si>
    <t>20810 CSIZE 3,.6</t>
  </si>
  <si>
    <t>20820 LORG 2</t>
  </si>
  <si>
    <t>20840       MOVE 15+Sp,10+Sp</t>
  </si>
  <si>
    <t xml:space="preserve">20850                         !  </t>
  </si>
  <si>
    <t>20860       LABEL "CLIENTE ",Cliente$</t>
  </si>
  <si>
    <t>20880       MOVE 165+Sp,10+Sp</t>
  </si>
  <si>
    <t xml:space="preserve">20890                         !                  </t>
  </si>
  <si>
    <t>20900       LABEL "DISEGNO N.",Dis$</t>
  </si>
  <si>
    <t>20920           IF Elic THEN</t>
  </si>
  <si>
    <t>20930       MOVE 20+Sp,275+Sp</t>
  </si>
  <si>
    <t>20950       LABEL USING "K,2D.3D";"MOD.N.";Mn</t>
  </si>
  <si>
    <t>20960           ELSE</t>
  </si>
  <si>
    <t>20970       MOVE 20+Sp,275+Sp</t>
  </si>
  <si>
    <t>20990       LABEL USING "K,2D.3D";"MOD";Mn</t>
  </si>
  <si>
    <t>21000           END IF</t>
  </si>
  <si>
    <t>21020       MOVE 130+Sp,275+Sp</t>
  </si>
  <si>
    <t>21040       LABEL USING "K,6D";"Z ";ABS(Z1)</t>
  </si>
  <si>
    <t>21060           IF Elic THEN</t>
  </si>
  <si>
    <t>21070       MOVE 215+Sp,275+Sp</t>
  </si>
  <si>
    <t>21090       LABEL USING "K,K";"AP.n.";Apn$</t>
  </si>
  <si>
    <t>21100           ELSE</t>
  </si>
  <si>
    <t>21110       MOVE 215+Sp,275+Sp</t>
  </si>
  <si>
    <t>21130       LABEL USING "K,K";"AP.";Apn$</t>
  </si>
  <si>
    <t>21140           END IF</t>
  </si>
  <si>
    <t>21150           IF Elic THEN</t>
  </si>
  <si>
    <t>21160       MOVE 300+Sp,275+Sp</t>
  </si>
  <si>
    <t>21180       LABEL USING "K,K";"A.El.";Ael$</t>
  </si>
  <si>
    <t>21190           END IF</t>
  </si>
  <si>
    <t>21220 CSIZE 5.5,.5</t>
  </si>
  <si>
    <t>21230       MOVE 315+Sp,10+Sp</t>
  </si>
  <si>
    <t>21250       LABEL USING "K,K";"INGR.";N_ingr$</t>
  </si>
  <si>
    <t xml:space="preserve">21320 Neo_ingr1: !                   </t>
  </si>
  <si>
    <t>21330           DISP "Premere CONTINUE per proseguire"</t>
  </si>
  <si>
    <t>21340       ENTER 2;A$</t>
  </si>
  <si>
    <t>21350       GOTO Neo_ingr</t>
  </si>
  <si>
    <t>21380          INTEGER P,Pen</t>
  </si>
  <si>
    <t>21390          FOR P=0 TO Nt STEP 1</t>
  </si>
  <si>
    <t>21400          IF P&gt;N THEN</t>
  </si>
  <si>
    <t>21410          F=-1</t>
  </si>
  <si>
    <t>21420          I=P-N-1</t>
  </si>
  <si>
    <t>21430          ELSE</t>
  </si>
  <si>
    <t>21440          I=P</t>
  </si>
  <si>
    <t>21450          F=1</t>
  </si>
  <si>
    <t>21460          END IF</t>
  </si>
  <si>
    <t>21470          Di=Min_diam+I*Incr</t>
  </si>
  <si>
    <t>21480          IF ABS(Di)&lt;ABS(Db) THEN</t>
  </si>
  <si>
    <t>21490          Q=1</t>
  </si>
  <si>
    <t>21500          ELSE</t>
  </si>
  <si>
    <t>21510          Q=ABS(Db)/Di</t>
  </si>
  <si>
    <t>21520          END IF</t>
  </si>
  <si>
    <t>21530          Inv_api=TAN(ACS(Q))-ACS(Q)</t>
  </si>
  <si>
    <t>21540          X=F*Di*SIN(Psb-Inv_api)/2</t>
  </si>
  <si>
    <t>21550          Y=Di*COS(Psb-Inv_api)/2</t>
  </si>
  <si>
    <t>21560          Pen=1</t>
  </si>
  <si>
    <t>21570   IF NOT Bis AND NOT Norm THEN</t>
  </si>
  <si>
    <t>21580          IF D_stc_f THEN</t>
  </si>
  <si>
    <t>21590                     IF NOT Int AND I&lt;S THEN</t>
  </si>
  <si>
    <t>21600                            IF FRACT(I/2) THEN</t>
  </si>
  <si>
    <t>21610                                          Pen=0</t>
  </si>
  <si>
    <t>21620                            ELSE</t>
  </si>
  <si>
    <t>21630                                          Pen=1</t>
  </si>
  <si>
    <t>21640                            END IF</t>
  </si>
  <si>
    <t>21650                     END IF</t>
  </si>
  <si>
    <t>21670                     IF Int AND I&gt;(N-S) THEN</t>
  </si>
  <si>
    <t>21680                            IF FRACT(I/2) THEN</t>
  </si>
  <si>
    <t>21690                                          Pen=0</t>
  </si>
  <si>
    <t>21700                            ELSE</t>
  </si>
  <si>
    <t>21710                                          Pen=1</t>
  </si>
  <si>
    <t>21720                            END IF</t>
  </si>
  <si>
    <t>21730                     END IF</t>
  </si>
  <si>
    <t>21750          END IF</t>
  </si>
  <si>
    <t>21760   END IF</t>
  </si>
  <si>
    <t>21770       IF P=N THEN Pen=0</t>
  </si>
  <si>
    <t>21780          IF Bis THEN</t>
  </si>
  <si>
    <t>21790          IF Norm THEN</t>
  </si>
  <si>
    <t>21800          Bis_n(P,0)=X</t>
  </si>
  <si>
    <t>21810          Bis_n(P,1)=Y</t>
  </si>
  <si>
    <t>21820          Bis_n(P,2)=Pen</t>
  </si>
  <si>
    <t>21830          ELSE</t>
  </si>
  <si>
    <t>21840          Bis_t(P,0)=X</t>
  </si>
  <si>
    <t>21850          Bis_t(P,1)=Y</t>
  </si>
  <si>
    <t>21860          Bis_t(P,2)=Pen</t>
  </si>
  <si>
    <t>21870          END IF</t>
  </si>
  <si>
    <t>21880          ELSE</t>
  </si>
  <si>
    <t>21890          IF Norm THEN</t>
  </si>
  <si>
    <t>21900          Prof_n(P,0)=X</t>
  </si>
  <si>
    <t>21910          Prof_n(P,1)=Y</t>
  </si>
  <si>
    <t>21920          Prof_n(P,2)=Pen</t>
  </si>
  <si>
    <t>21930          ELSE</t>
  </si>
  <si>
    <t>21940          Prof_t(P,0)=X</t>
  </si>
  <si>
    <t>21950          Prof_t(P,1)=Y</t>
  </si>
  <si>
    <t>21960          Prof_t(P,2)=Pen</t>
  </si>
  <si>
    <t>21970          END IF</t>
  </si>
  <si>
    <t>21980          END IF</t>
  </si>
  <si>
    <t>21990          NEXT P</t>
  </si>
  <si>
    <t>22000          RETURN</t>
  </si>
  <si>
    <t>22030         GRAPHICS ON</t>
  </si>
  <si>
    <t>22040         LINE TYPE 1</t>
  </si>
  <si>
    <t>22050         CALL Plot_pivot(Ang_rot)</t>
  </si>
  <si>
    <t>22060         IF Norm THEN</t>
  </si>
  <si>
    <t>22070         PEN 1</t>
  </si>
  <si>
    <t>22080         CALL Plot_array(Prof_n(*))</t>
  </si>
  <si>
    <t>22090         PEN -1</t>
  </si>
  <si>
    <t>22100         MOVE 0,0</t>
  </si>
  <si>
    <t>22110         IF Bis THEN</t>
  </si>
  <si>
    <t>22120         PEN 1</t>
  </si>
  <si>
    <t>22130         CALL Plot_array(Bis_n(*))</t>
  </si>
  <si>
    <t>22140         PEN -1</t>
  </si>
  <si>
    <t>22150         CALL Plot_move(0,0)</t>
  </si>
  <si>
    <t>22160         END IF</t>
  </si>
  <si>
    <t>22170         ELSE</t>
  </si>
  <si>
    <t>22180         PEN 1</t>
  </si>
  <si>
    <t>22190         CALL Plot_array(Prof_t(*))</t>
  </si>
  <si>
    <t>22200         PEN -1</t>
  </si>
  <si>
    <t>22210         CALL Plot_move(0,0)</t>
  </si>
  <si>
    <t>22220         IF Bis THEN</t>
  </si>
  <si>
    <t>22230         PEN 1</t>
  </si>
  <si>
    <t>22240         CALL Plot_array(Bis_t(*))</t>
  </si>
  <si>
    <t>22250         PEN -1</t>
  </si>
  <si>
    <t>22260         CALL Plot_move(0,0)</t>
  </si>
  <si>
    <t>22270         END IF</t>
  </si>
  <si>
    <t>22280      IF Ra0 THEN</t>
  </si>
  <si>
    <t>22290                 PEN 1</t>
  </si>
  <si>
    <t>22300                 CALL Plot_array(Troc(*))</t>
  </si>
  <si>
    <t>22310                 PEN -1</t>
  </si>
  <si>
    <t>22320                 CALL Plot_move(0,0)</t>
  </si>
  <si>
    <t>22330      END IF</t>
  </si>
  <si>
    <t>22340         END IF</t>
  </si>
  <si>
    <t>22350         RETURN</t>
  </si>
  <si>
    <t>22380         GCLEAR</t>
  </si>
  <si>
    <t>22390         PEN 0</t>
  </si>
  <si>
    <t>22400         INTEGER Neo</t>
  </si>
  <si>
    <t>22410         Neo=1</t>
  </si>
  <si>
    <t>22420         GOTO Titolo</t>
  </si>
  <si>
    <t>22450   OUTPUT 2;Clear$;</t>
  </si>
  <si>
    <t>22460   GCLEAR</t>
  </si>
  <si>
    <t>22470   ASSIGN @Plot TO *              ! @@@@ CHISURA FILE  @@@@</t>
  </si>
  <si>
    <t>22490    SUBEND</t>
  </si>
  <si>
    <t>22510   SUB Dati_utensile</t>
  </si>
  <si>
    <t>22530       OPTION BASE 1</t>
  </si>
  <si>
    <t>22550 COM Progettista$,Clear$,Home$,Cliente$,Dis$,K1$,Dp$,Mn$,Mt$,Apn$,Apt$,Apkn$,Ael$,Sen_el$,Senso$,N_ingr$,N_sag$,Topping$,Lavor$,Work$,Tip_colt$,Work_b$,Work_c$,Fgtorn$,Tip_colt1$,Carkey$,Rf1p$,Rasap$,Dk1_f$,Apktprt$,Tetaprt$</t>
  </si>
  <si>
    <t>22560 COM REAL Sp,Mn,Mt,Ael,Apn,Apt,Db1,Da1,Df1,Dnf1,Dnf1_pr,Dk1,Apkn,Apkt,Sn1,St1,St1_f,En1,Et1,Skt1,Skn1,Psbt1,X1,W1,Dm,Mdk,Sykes,D_topp,X_hap,X_hfp,X1mn,Dk1_f,Rf1p,Prtmdk,Prtw,Prtsps,Dk1_f1</t>
  </si>
  <si>
    <t>22570 COM REAL Mwt,Da0,Dna0,Da0t,Pskbt1,Db0h,Db0t,Dkb0,D_stc_f,D_stc_i,Ra0,X_max,Swmt0,San0,Skwmt0,Dwm0,Apkwtm,Inv_apt,Gm,Zeta_h,Zeta_t,Zeta_kb_f,Dv0</t>
  </si>
  <si>
    <t>22580 COM /Dati_rasatura/Et1_f,En1_f,Sn1_f,Mdk_f,W1_f,Dm_f,D_stc_fprt,D_stc_iprt</t>
  </si>
  <si>
    <t>22590 COM INTEGER Z1,Z0,K1,Int,Elic,Std,Centro,Protuberanzap              !,Dv0</t>
  </si>
  <si>
    <t>22600 COM /Dati_ep/ REAL Dkb0h,Dkb0t,Psep_kb0h,Psep_kb0t,Psep_b0h,Psep_b0t,Da0_ep,Da0_ept,Da0_eph,H_pzepm_t,H_pzepm_h</t>
  </si>
  <si>
    <t>22610 COM /Mola/ REAL Swmnm_h,Swmnm_t,Skwmnm_h,Skwmnm_t,Apwmnmh,Apwmnmt,Apkwmnmh,Apkwmnmt,Xep0h_max,Xep0t_max,Gm_eph,Gm_ept,Aelwm0,Df0,Teta,Tau</t>
  </si>
  <si>
    <t>22620 COM /Str_dati_ut/Tau$,Zeta_h$,Zeta_t$,Aelwm0$,Teta$,Apwmnmt$,Apwmnmh$,Apkwmnmt$,Apkwmnmh$,Aelb0h_m$,Aelb0t_m$,Part$</t>
  </si>
  <si>
    <t>22630 COM /Dati_ut_dis/ REAL Prtz,Hab,H_ra0,H_vn0,Hk0,S_vn0,Dk0,X0,X_hap0,W0,K,H_ut,H_err_max,Err_max,Err_max_dk,L_ut,Pz0,Pz0_h,Pz0_t,Pbt,Eta</t>
  </si>
  <si>
    <t>22640 COM /Collaudo/ REAL Db0h_m,Db0t_m,Fha_h,Fha_t,Alfa_e_h,Alfa_e_t,Aelb0h,Aelb0t,Gioco,Inesistente,Dx_inesistente,Sx_inesistente,Dna1_2</t>
  </si>
  <si>
    <t>22660       INTEGER Z0i,Tent_2,R_t</t>
  </si>
  <si>
    <t>22670       DIM Ris$[3]</t>
  </si>
  <si>
    <t>22680       DIM Solz(2)</t>
  </si>
  <si>
    <t>22690   OFF KEY</t>
  </si>
  <si>
    <t>22710           PRINT TAB(Centro+10);</t>
  </si>
  <si>
    <t>22720           PRINT CHR$(129);"DATI UTENSILE"</t>
  </si>
  <si>
    <t>22750   IF NOT Int THEN</t>
  </si>
  <si>
    <t>22790          Da0=0</t>
  </si>
  <si>
    <t>22800         INPUT "Numero di denti ?",Z0</t>
  </si>
  <si>
    <t>22820         INPUT "Diametro di testa voluto ?",Da0</t>
  </si>
  <si>
    <t>22830      IF NOT Da0 THEN Da0=Z0*Mt+(Mt*Z1-Df1)</t>
  </si>
  <si>
    <t>22840   ELSE</t>
  </si>
  <si>
    <t>22850         Z0=ABS(Z1)-5              !   N.DENTI DI TENTATIVO PER DENTATURA INTERNA</t>
  </si>
  <si>
    <t>22870         Da0=Z0*Mt+(Mt*Z1-Df1)</t>
  </si>
  <si>
    <t>22880   END IF</t>
  </si>
  <si>
    <t>22890         Inv_apt=TAN(Apt)-Apt</t>
  </si>
  <si>
    <t>22930    IF Int THEN</t>
  </si>
  <si>
    <t>22940       IF NOT Tent_2 THEN Da0=Z0*Mt+(Mt*Z1-Df1)</t>
  </si>
  <si>
    <t>22950    END IF</t>
  </si>
  <si>
    <t>22960             Db0=Mt*Z0*COS(Apt)</t>
  </si>
  <si>
    <t>22970 IF NOT Dk1 THEN Df0=Da0-Da1+Df1-.5*Mn</t>
  </si>
  <si>
    <t>22980             A0=(Df1+Da0)/2</t>
  </si>
  <si>
    <t>22990             Mwt=2*A0/(Z0+Z1)</t>
  </si>
  <si>
    <t>23000             Apwt=ACS((Mt*(Z1+Z0)*COS(Apt))/(2*A0))</t>
  </si>
  <si>
    <t>23010             Inv_apwt=TAN(Apwt)-Apwt</t>
  </si>
  <si>
    <t>23020             St0=(PI*Mt-St1)+(Inv_apwt-Inv_apt)*(Z1+Z0)*Mt</t>
  </si>
  <si>
    <t>23030             X0=(St0-Mt*PI/2)/(2*Mn*TAN(Apt))</t>
  </si>
  <si>
    <t>23040             Psbt0=St0/(Mt*Z0)+Inv_apt</t>
  </si>
  <si>
    <t>23050             Apat1_max=ATN((1+Z0/Z1)*TAN(Apwt))</t>
  </si>
  <si>
    <t>23060             Da1_max=Db1/COS(Apat1_max)</t>
  </si>
  <si>
    <t>23070             Apat1=ACS(Db1/Da1)</t>
  </si>
  <si>
    <t>23080             Apat0=ACS(Db0/Da0)</t>
  </si>
  <si>
    <t>23090             Apna0_max=ATN((1+Z1/Z0)*TAN(Apwt))</t>
  </si>
  <si>
    <t>23100             Dna0_max=Db0/COS(Apna0_max)</t>
  </si>
  <si>
    <t>23110             Inv_apat0=TAN(Apat0)-Apat0</t>
  </si>
  <si>
    <t>23120             Psat0=Psbt0-Inv_apat0</t>
  </si>
  <si>
    <t>23130             Sat0=Da0*Psat0</t>
  </si>
  <si>
    <t>23140             San0=Sat0*COS(ATN(Da0/(Mt*Z0)*TAN(Ael)))</t>
  </si>
  <si>
    <t>23160 IF Int THEN               !    RISOLUZIONE INTERFERENZA DI PENETRAZIONE RADIALE</t>
  </si>
  <si>
    <t>23180             Inv_apat1=TAN(Apat1)-Apat1</t>
  </si>
  <si>
    <t>23190             Eaat1=(ABS(Et1)/(Mt*ABS(Z1))+Inv_apt-Inv_apat1)</t>
  </si>
  <si>
    <t>23200             A=(Apat1-Eaat1)*ABS(Z1)/Z0</t>
  </si>
  <si>
    <t>23210             Ph=(Da1^2+4*A0^2-Da0^2)/(4*Da1*A0)</t>
  </si>
  <si>
    <t>23220             B=ABS(Z1)/Z0*(ACS(Ph)-Eaat1)</t>
  </si>
  <si>
    <t>23240   IF Da0*SIN(Apat0)&lt;=ABS(Da1)*SIN(Apat1) THEN</t>
  </si>
  <si>
    <t>23250             Gioco=99</t>
  </si>
  <si>
    <t>23260        GOTO Disp</t>
  </si>
  <si>
    <t>23270   END IF</t>
  </si>
  <si>
    <t>23290             R_t=0</t>
  </si>
  <si>
    <t>23300             CALL Bisect(A,B,Root,Da0,Da1,Df1,Eaat1,Psat0,Db0,Apna0,Apnf1,Psbt0,Pskbt1_max,Dkb1,Psbt1,Gm,Ra0,Mwt,Solz(*),Db1,Z0,Z1,R_t)</t>
  </si>
  <si>
    <t>23320          Gioco=ABS(Da1)/2*SIN(Z0/ABS(Z1)*Root+Eaat1)-Da0/2*SIN(Root+Psat0)</t>
  </si>
  <si>
    <t>23330  IF Tent_2 THEN Disp</t>
  </si>
  <si>
    <t>23340  IF Gioco&lt;0 THEN</t>
  </si>
  <si>
    <t>23350          Z0=Z0-1</t>
  </si>
  <si>
    <t>23360      GOTO Calc_dati</t>
  </si>
  <si>
    <t>23370  ELSE</t>
  </si>
  <si>
    <t>23400 DISP USING "K,X,K,3X,K,MDD.DDD,3X,K,X,5D.DD,3X,K,MDD.DD,3X,K,X,DDD.DD";"Z0 =";Z0;"2X0mn =";2*X0*Mn;"DIAM.DI TESTA =";Da0;"GIOCO =";Gioco;"San0 =";San0</t>
  </si>
  <si>
    <t>23420        ENTER 2;A$</t>
  </si>
  <si>
    <t>23430  END IF</t>
  </si>
  <si>
    <t>23450        Z0i=Z0</t>
  </si>
  <si>
    <t>23460        Da0i=Da0</t>
  </si>
  <si>
    <t>23470        Tent_2=0</t>
  </si>
  <si>
    <t>23480        INPUT "NUMERO DI DENTI",Z0i</t>
  </si>
  <si>
    <t>23500   IF Z0i&lt;&gt;Z0 THEN Da0i=Mt*Z0i+(Mt*Z1-Df1)              !</t>
  </si>
  <si>
    <t>23540        INPUT "DIAMETRO DI TESTA UTENSILE ?",Da0i</t>
  </si>
  <si>
    <t>23550   IF Z0i=Z0 AND Da0i=Da0 THEN Prt_z0_da0</t>
  </si>
  <si>
    <t>23560     IF Z0i&lt;&gt;Z0 THEN Z0=Z0i</t>
  </si>
  <si>
    <t>23570     IF Da0i&lt;&gt;Da0 THEN Da0=Da0i</t>
  </si>
  <si>
    <t>23580        Tent_2=1</t>
  </si>
  <si>
    <t>23590        GOTO Calc_dati</t>
  </si>
  <si>
    <t>23600  END IF</t>
  </si>
  <si>
    <t>23640           PRINT CHR$(132)</t>
  </si>
  <si>
    <t>23660                 PRINT TABXY(1,3);"Z0 =";</t>
  </si>
  <si>
    <t>23670                 PRINT USING "5D";Z0</t>
  </si>
  <si>
    <t>23680                 PRINT TABXY(54,5);"DIAM.DI TESTA =";</t>
  </si>
  <si>
    <t>23690                 PRINT USING Fmt_diam;Da0</t>
  </si>
  <si>
    <t>23730  IF Dk1 THEN</t>
  </si>
  <si>
    <t>23740                Dna1=Dk1</t>
  </si>
  <si>
    <t>23750     ELSE</t>
  </si>
  <si>
    <t>23760                Dna1=Da1</t>
  </si>
  <si>
    <t>23770  END IF</t>
  </si>
  <si>
    <t>23790 IF Dna1&gt;Da1_max THEN</t>
  </si>
  <si>
    <t>23810             IF Std THEN</t>
  </si>
  <si>
    <t>23820                        X_hap_max=((Da1_max-(Mt*Z1+2*X1*Mn))/2)/Mn</t>
  </si>
  <si>
    <t>23840   DISP USING "K,DD.DD,K";"ATT.MAX.Addendum realizzabile = ";X_hap_max;" Mn"</t>
  </si>
  <si>
    <t>23860             ELSE</t>
  </si>
  <si>
    <t>23880                DISP "ATT.MAX Diametro di testa realizzabile =";ABS(Da1_max)</t>
  </si>
  <si>
    <t>23890             END IF</t>
  </si>
  <si>
    <t>23900                ENTER 2;A$</t>
  </si>
  <si>
    <t>23940                Ris$=""</t>
  </si>
  <si>
    <t>23950                INPUT "Variazione dati utensile ? [Risp.SI/Continue]",Ris$</t>
  </si>
  <si>
    <t>23960 IF LEN(Ris$) THEN</t>
  </si>
  <si>
    <t>23970    IF Int THEN</t>
  </si>
  <si>
    <t>23980                GOTO Z0i</t>
  </si>
  <si>
    <t>23990       ELSE</t>
  </si>
  <si>
    <t>24000                GOTO Dent_ext</t>
  </si>
  <si>
    <t>24010  END IF</t>
  </si>
  <si>
    <t>24020  END IF</t>
  </si>
  <si>
    <t>24030  END IF</t>
  </si>
  <si>
    <t>24060             R_t=2</t>
  </si>
  <si>
    <t>24070             A=0</t>
  </si>
  <si>
    <t>24080             B=2*Mt</t>
  </si>
  <si>
    <t>24090             IF (Da0-2*B)&lt;Db0 THEN B=(Da0-Db0)/2</t>
  </si>
  <si>
    <t>24100   CALL Bisect(A,B,Root,Da0,Da1,Df1,Eaat1,Psat0,Db0,Apna0,Apnf1,Psbt0,Pskbt1_max,Dkb1,Psbt1,Gm,Ra0,Mwt,Solz(*),Db1,Z0,Z1,R_t)</t>
  </si>
  <si>
    <t>24110             Racc_a0=Root</t>
  </si>
  <si>
    <t>24120             R_t=0</t>
  </si>
  <si>
    <t>24160 IF Dnf1 THEN</t>
  </si>
  <si>
    <t>24170             Apnf1=ACS(Db1/Dnf1)</t>
  </si>
  <si>
    <t>24180             Apna0_min=ATN(-Z1/Z0*TAN(Apnf1)+TAN(Apwt)*(Z1/Z0+1))</t>
  </si>
  <si>
    <t>24190             Dna0_min=Db0/COS(Apna0_min)</t>
  </si>
  <si>
    <t>24200    IF Dna0_min&gt;Da0 THEN</t>
  </si>
  <si>
    <t>24210             DISP "ATT. il Dnf1 non viene rispettato,variare i dati utensile"</t>
  </si>
  <si>
    <t>24220             BEEP 2000,.2</t>
  </si>
  <si>
    <t>24230             ENTER 2;A$</t>
  </si>
  <si>
    <t>24240       IF Int THEN</t>
  </si>
  <si>
    <t>24250              GOTO Z0i</t>
  </si>
  <si>
    <t>24260       ELSE</t>
  </si>
  <si>
    <t>24270              GOTO Da0</t>
  </si>
  <si>
    <t>24280       END IF</t>
  </si>
  <si>
    <t>24290    ELSE</t>
  </si>
  <si>
    <t>24330             R_t=1</t>
  </si>
  <si>
    <t>24340             Hab_r_max=(Da0-Dna0_min)/2</t>
  </si>
  <si>
    <t>24350             Apna0=Apna0_min</t>
  </si>
  <si>
    <t>24360   CALL Bisect(A,B,Root,Da0,Da1,Df1,Eaat1,Psat0,Db0,Apna0,Apnf1,Psbt0,Pskbt1_max,Dkb1,Psbt1,Gm,Ra0,Mwt,Solz(*),Db1,Z0,Z1,R_t)</t>
  </si>
  <si>
    <t>24370             Ra0_max=Root</t>
  </si>
  <si>
    <t>24390     END IF</t>
  </si>
  <si>
    <t>24400 ELSE</t>
  </si>
  <si>
    <t>24430             Apnf1_eff=ATN(Z0/Z1*(TAN(Apwt)-TAN(Apat0))+TAN(Apwt))</t>
  </si>
  <si>
    <t>24470      IF Apnf1_eff&lt;0 THEN</t>
  </si>
  <si>
    <t>24510       Hab_r_min=(Da0-Dna0_max)/2</t>
  </si>
  <si>
    <t>24520       R_t=1</t>
  </si>
  <si>
    <t>24530       A=0</t>
  </si>
  <si>
    <t>24540       B=Mt</t>
  </si>
  <si>
    <t>24550       IF (Da0-2*B)&lt;Db0 THEN B=(Da0-Db0)/2</t>
  </si>
  <si>
    <t>24560       Apna0=Apna0_max</t>
  </si>
  <si>
    <t>24570   CALL Bisect(A,B,Root,Da0,Da1,Df1,Eaat1,Psat0,Db0,Apna0,Apnf1,Psbt0,Pskbt1_max,Dkb1,Psbt1,Gm,Ra0,Mwt,Solz(*),Db1,Z0,Z1,R_t)</t>
  </si>
  <si>
    <t>24580       Ra0_min=Root</t>
  </si>
  <si>
    <t>24590                    IF Ra0_min&gt;Racc_a0 THEN</t>
  </si>
  <si>
    <t>24600           DISP "ATTENZIONE - IL RACCORDO COMPLETO NON EVITA IL SOTTOSCAVO"</t>
  </si>
  <si>
    <t>24610                           BEEP 2000,.5</t>
  </si>
  <si>
    <t>24620                           ENTER 2;A$</t>
  </si>
  <si>
    <t>24630                    ELSE</t>
  </si>
  <si>
    <t>24640  DISP USING "K,DD.DD,K,DD.DD";"SMUSSO O RAGGIO MINIMI NECESSARI PER EVITARE IL SOTTOSCAVO SM= ";Hab_r_min;"/ R= ";Ra0_min</t>
  </si>
  <si>
    <t>24650                           BEEP 2000,.3</t>
  </si>
  <si>
    <t>24660                           ENTER 2;A$</t>
  </si>
  <si>
    <t>24670                    END IF</t>
  </si>
  <si>
    <t>24690             GOTO Variaz</t>
  </si>
  <si>
    <t>24700      ELSE</t>
  </si>
  <si>
    <t>24710             Dnf1_eff=Db1/COS(Apnf1_eff)</t>
  </si>
  <si>
    <t>24730          IF Std THEN</t>
  </si>
  <si>
    <t>24740                     X_hfp_eff=((Mt*Z1+2*X1*Mn)-Dnf1_eff)/2/Mn</t>
  </si>
  <si>
    <t>24760   DISP USING "K,DD.DD,K";"DEDENDUM utile generato dall'utensile a spigoli vivi = ";X_hfp_eff;" Mn"</t>
  </si>
  <si>
    <t>24770          ELSE</t>
  </si>
  <si>
    <t>24780             DISP USING "K,6D.DD";"Dnf1 generato dall'utensile a spigoli vivi =";ABS(Dnf1_eff)</t>
  </si>
  <si>
    <t>24790          END IF</t>
  </si>
  <si>
    <t>24800             BEEP 2000,.2</t>
  </si>
  <si>
    <t>24810             ENTER 2;A$</t>
  </si>
  <si>
    <t>24820      END IF</t>
  </si>
  <si>
    <t>24840            Ris$=""</t>
  </si>
  <si>
    <t>24850             INPUT "Variazione dati utensile ? [Risp.SI/Continue]",Ris$</t>
  </si>
  <si>
    <t>24860     IF LEN(Ris$) THEN</t>
  </si>
  <si>
    <t>24870        IF Int THEN</t>
  </si>
  <si>
    <t>24880               GOTO Z0i</t>
  </si>
  <si>
    <t>24890        ELSE</t>
  </si>
  <si>
    <t>24900               GOTO Dent_ext</t>
  </si>
  <si>
    <t>24910        END IF</t>
  </si>
  <si>
    <t>24920     END IF</t>
  </si>
  <si>
    <t>24930 END IF</t>
  </si>
  <si>
    <t>24970      Hap0=(Mt*Z1+2*X1*Mn-Df1)/2</t>
  </si>
  <si>
    <t>24980      X_hap0=Hap0/Mn</t>
  </si>
  <si>
    <t>25000  INTEGER Ys</t>
  </si>
  <si>
    <t>25040      IF Elic THEN</t>
  </si>
  <si>
    <t>25050             PRINT TABXY(13,3);"2X0mn =";</t>
  </si>
  <si>
    <t>25060      ELSE</t>
  </si>
  <si>
    <t>25070             PRINT TABXY(13,3);"2X0m =";</t>
  </si>
  <si>
    <t>25080      END IF</t>
  </si>
  <si>
    <t>25090             PRINT USING "3D.DDD";2*X0*Mn</t>
  </si>
  <si>
    <t>25100             PRINT TABXY(54,3);"hap0 =";</t>
  </si>
  <si>
    <t>25110             PRINT USING "DD.DD,K";X_hap0;" Mn"</t>
  </si>
  <si>
    <t>25120 IF Int THEN</t>
  </si>
  <si>
    <t>25130             PRINT TABXY(27,3);"Gioco penetr.rad.=";</t>
  </si>
  <si>
    <t>25140             PRINT USING "DD.DD";Gioco</t>
  </si>
  <si>
    <t>25150 ELSE</t>
  </si>
  <si>
    <t>25160      IF Elic THEN</t>
  </si>
  <si>
    <t>25170             PRINT TABXY(32,3);"San0 =";</t>
  </si>
  <si>
    <t>25180      ELSE</t>
  </si>
  <si>
    <t>25190             PRINT TABXY(32,3);"Sa0 =";</t>
  </si>
  <si>
    <t>25200      END IF</t>
  </si>
  <si>
    <t>25210             PRINT USING "MDD.DD";San0</t>
  </si>
  <si>
    <t>25230    IF NOT Dnf1 THEN</t>
  </si>
  <si>
    <t>25240       INPUT "Variazione spostamento di profilo ? [Risp.SI/Continue]",Ris$</t>
  </si>
  <si>
    <t>25250      IF Ris$="" THEN</t>
  </si>
  <si>
    <t>25260               GOTO Prt_diam_0</t>
  </si>
  <si>
    <t>25270      ELSE</t>
  </si>
  <si>
    <t>25280               Ris$=""</t>
  </si>
  <si>
    <t>25290              IF Int THEN</t>
  </si>
  <si>
    <t>25300                     GOTO Da0i</t>
  </si>
  <si>
    <t>25310              ELSE</t>
  </si>
  <si>
    <t>25320                     GOTO Da0</t>
  </si>
  <si>
    <t>25330              END IF</t>
  </si>
  <si>
    <t>25340      END IF</t>
  </si>
  <si>
    <t>25350    END IF</t>
  </si>
  <si>
    <t>25360 END IF</t>
  </si>
  <si>
    <t>25400            PRINT TABXY(1,5);"DIAM.PRIMITIVO =";</t>
  </si>
  <si>
    <t>25410            PRINT USING Fmt_diam;Mt*Z0</t>
  </si>
  <si>
    <t>25450      IF NOT Dk1 THEN</t>
  </si>
  <si>
    <t>25460                     PRINT TABXY(27,5);"DIAM.FONDO =";</t>
  </si>
  <si>
    <t>25470                     PRINT USING Fmt_diam;Df0</t>
  </si>
  <si>
    <t>25480      END IF</t>
  </si>
  <si>
    <t>25530            Ys=7</t>
  </si>
  <si>
    <t>25540 IF Dnf1 THEN</t>
  </si>
  <si>
    <t>25550            Ys=Ys+2</t>
  </si>
  <si>
    <t>25560            PRINT TABXY(32,Ys);"MAX.sm.rad.=";</t>
  </si>
  <si>
    <t>25570            PRINT USING "DD.DD";Hab_r_max</t>
  </si>
  <si>
    <t>25580     IF Ra0_max&gt;Racc_a0 THEN</t>
  </si>
  <si>
    <t>25590                PRINT TABXY(1,Ys);"Raccordo completo =";</t>
  </si>
  <si>
    <t>25600                PRINT USING "DD.DD";Racc_a0</t>
  </si>
  <si>
    <t>25610     ELSE</t>
  </si>
  <si>
    <t>25620                PRINT TABXY(1,Ys);"MAX.R.di testa =";</t>
  </si>
  <si>
    <t>25630                PRINT USING "DD.DD";Ra0_max</t>
  </si>
  <si>
    <t>25640     END IF</t>
  </si>
  <si>
    <t>25660            INPUT "Variazione spostamento di profilo ? [Risp.SI/Continue]",Ris$</t>
  </si>
  <si>
    <t>25670     IF Ris$="" THEN</t>
  </si>
  <si>
    <t>25680                GOTO Dna0_dis</t>
  </si>
  <si>
    <t>25690     ELSE</t>
  </si>
  <si>
    <t>25700                Ris$=""</t>
  </si>
  <si>
    <t>25710           IF Int THEN</t>
  </si>
  <si>
    <t>25720                      GOTO Z0i</t>
  </si>
  <si>
    <t>25730           ELSE</t>
  </si>
  <si>
    <t>25740                      GOTO Da0</t>
  </si>
  <si>
    <t>25750           END IF</t>
  </si>
  <si>
    <t>25760     END IF</t>
  </si>
  <si>
    <t>25770 END IF</t>
  </si>
  <si>
    <t>25810            OFF KEY</t>
  </si>
  <si>
    <t>25820            DISP "INTRODURRE IL TIPO DI MODIFICA PREVISTA PER LO SPIGOLO DI TESTA DELL'UTENSILE"</t>
  </si>
  <si>
    <t>25840    ON KEY 5 LABEL "PROTUBERANZA" GOTO Protub</t>
  </si>
  <si>
    <t>25850    ON KEY 6 LABEL "RAGGIO" GOTO Raggio</t>
  </si>
  <si>
    <t>25860    ON KEY 7 LABEL "SMUSSO" GOTO Smusso</t>
  </si>
  <si>
    <t>25910       Smussop=1</t>
  </si>
  <si>
    <t>25920       Raggiop=0</t>
  </si>
  <si>
    <t>25930            OFF KEY</t>
  </si>
  <si>
    <t>25940            INPUT "Smusso dente voluto [H-Radiale] ?",Hab</t>
  </si>
  <si>
    <t>25941            IF Hab=0 THEN</t>
  </si>
  <si>
    <t>25942            Hab=.0001</t>
  </si>
  <si>
    <t>25943            END IF</t>
  </si>
  <si>
    <t>25950                   Dna0=Da0-2*Hab</t>
  </si>
  <si>
    <t>25960                   Apna0=ACS(Db0/Dna0)</t>
  </si>
  <si>
    <t>25970                   Apnf1_pr=ATN(Z0/Z1*(TAN(Apwt)-TAN(Apna0))+TAN(Apwt))</t>
  </si>
  <si>
    <t>25980                   Dnf1_pr=Db1/COS(Apnf1_pr)</t>
  </si>
  <si>
    <t>25990                   Ra0=0</t>
  </si>
  <si>
    <t>26010                   Ys=9</t>
  </si>
  <si>
    <t>26020       PRINT TABXY(54,Ys);"SMUSSO [H-Radiale] =";</t>
  </si>
  <si>
    <t>26030       PRINT USING "D.DD";Hab</t>
  </si>
  <si>
    <t>26050       GOTO Prt_dnf1_pr</t>
  </si>
  <si>
    <t>26080      Raggiop=1</t>
  </si>
  <si>
    <t>26090      Smussop=0</t>
  </si>
  <si>
    <t xml:space="preserve">26100                    !  </t>
  </si>
  <si>
    <t>26110            OFF KEY</t>
  </si>
  <si>
    <t>26120            Racc_a0=DROUND(Racc_a0,4)</t>
  </si>
  <si>
    <t>26130      DISP "Raggio di testa voluto ? [ATT.Raccordo completo =";Racc_a0;"]";</t>
  </si>
  <si>
    <t>26140       INPUT Ra0</t>
  </si>
  <si>
    <t>26160                   IF Ra0&gt;Racc_a0 THEN Ra0=Racc_a0</t>
  </si>
  <si>
    <t>26170                   IF Ra0=0 THEN Ra0=Racc_a0</t>
  </si>
  <si>
    <t>26180     IF NOT Ra0 THEN</t>
  </si>
  <si>
    <t>26190                IF Dnf1 THEN</t>
  </si>
  <si>
    <t>26200                        IF Ra0_max&gt;Racc_a0 THEN</t>
  </si>
  <si>
    <t>26210                                           Ra0=Racc_a0</t>
  </si>
  <si>
    <t>26220                        ELSE</t>
  </si>
  <si>
    <t>26230                                           Ra0=Ra0_max</t>
  </si>
  <si>
    <t>26240                        END IF</t>
  </si>
  <si>
    <t>26250                END IF</t>
  </si>
  <si>
    <t>26260     END IF</t>
  </si>
  <si>
    <t>26280     Ys=9</t>
  </si>
  <si>
    <t>26290     IF Ra0=Racc_a0 THEN</t>
  </si>
  <si>
    <t>26300                    PRINT TABXY(54,Ys);"RACCORDO COMPLETO =";</t>
  </si>
  <si>
    <t>26310     ELSE</t>
  </si>
  <si>
    <t>26320                    PRINT TABXY(54,Ys);"RAGGIO DI TESTA =";</t>
  </si>
  <si>
    <t>26330     END IF</t>
  </si>
  <si>
    <t>26340                    PRINT USING "DD.DD";Ra0</t>
  </si>
  <si>
    <t>26360     GOTO Gamma</t>
  </si>
  <si>
    <t>26390     Protuberanzap=1</t>
  </si>
  <si>
    <t>26400     D_stc_f=0</t>
  </si>
  <si>
    <t>26410           OFF KEY</t>
  </si>
  <si>
    <t>26420           INPUT "Protuberanza voluta ?",Prtz</t>
  </si>
  <si>
    <t>26460              R_t=2</t>
  </si>
  <si>
    <t>26470              A=0</t>
  </si>
  <si>
    <t>26480              B=2*Mt</t>
  </si>
  <si>
    <t>26490              IF (Da0-2*B)&lt;Db0 THEN B=(Da0-Db0)/2</t>
  </si>
  <si>
    <t>26500              Psbt0=Psbt0+2*Prtz/Db0</t>
  </si>
  <si>
    <t>26510              Pspzat0=Psbt0-Inv_apat0</t>
  </si>
  <si>
    <t>26520              Spzat0=Da0*Pspzat0</t>
  </si>
  <si>
    <t>26530   CALL Bisect(A,B,Root,Da0,Da1,Df1,Eaat1,Psat0,Db0,Apna0,Apnf1,Psbt0,Pskbt1_max,Dkb1,Psbt1,Gm,Ra0,Mwt,Solz(*),Db1,Z0,Z1,R_t)</t>
  </si>
  <si>
    <t>26550              Racc_a0=Root</t>
  </si>
  <si>
    <t>26560              Psbt0=Psbt0-2*Prtz/Db0</t>
  </si>
  <si>
    <t>26580              Racc_a0=DROUND(Racc_a0,4)</t>
  </si>
  <si>
    <t>26590       DISP "Raggio di testa voluto ?[ATT.Raccordo completo =";Racc_a0;"]";</t>
  </si>
  <si>
    <t>26600              INPUT Ra0</t>
  </si>
  <si>
    <t>26610           IF Ra0&gt;Racc_a0 THEN Ra0=Racc_a0</t>
  </si>
  <si>
    <t>26620           IF Ra0=0 THEN Ra0=Racc_a0</t>
  </si>
  <si>
    <t>26640           Ys=9</t>
  </si>
  <si>
    <t>26650     IF Ra0=Racc_a0 THEN</t>
  </si>
  <si>
    <t>26660                    PRINT TABXY(54,Ys);"RACCORDO COMPLETO =";</t>
  </si>
  <si>
    <t>26670     ELSE</t>
  </si>
  <si>
    <t>26680                    PRINT TABXY(54,Ys);"RAGGIO DI TESTA =";</t>
  </si>
  <si>
    <t>26690     END IF</t>
  </si>
  <si>
    <t>26700                    PRINT USING "DD.DD";Ra0</t>
  </si>
  <si>
    <t>26740              Inv_apc0=TAN(ACS(Db0/(Da0-2*Ra0)))-ACS(Db0/(Da0-2*Ra0))</t>
  </si>
  <si>
    <t>26750              Gm=Psbt0+2*(Prtz-Ra0)/Db0-Inv_apc0</t>
  </si>
  <si>
    <t>26760              Apna0=ATN(TAN(ACS(Db0/(Da0-2*Ra0)))+2*Ra0/Db0)</t>
  </si>
  <si>
    <t>26770              Dna0=Db0/COS(Apna0)</t>
  </si>
  <si>
    <t>26780              Apnf1_pr=ATN(Z0/Z1*(TAN(Apwt)-TAN(Apna0))+TAN(Apwt))</t>
  </si>
  <si>
    <t>26790              Dnf1_pr=Db1/COS(Apnf1_pr)</t>
  </si>
  <si>
    <t>26800              H_ra0=(Da0-Dna0)/2</t>
  </si>
  <si>
    <t>26810              X_max=ACS((Dna0^2-(Da0-2*Ra0)^2-4*Ra0^2)/(4*Ra0*Da0-8*Ra0^2))</t>
  </si>
  <si>
    <t>26840     BEEP</t>
  </si>
  <si>
    <t>26850     DISP "  Diam. INIZIO EVOLVENTE GENERATO ==&gt;";</t>
  </si>
  <si>
    <t>26860     DISP USING "DDDDD.DDD";Dnf1_pr</t>
  </si>
  <si>
    <t>26880     Dnf1$=""</t>
  </si>
  <si>
    <t>26900     ENTER 2;A$</t>
  </si>
  <si>
    <t>26920     LINPUT "VUOI  CORREGGERE ?     [Risp. NO/CONTINUE]",Dnf1$</t>
  </si>
  <si>
    <t>26940     IF Dnf1$="" THEN</t>
  </si>
  <si>
    <t>26950                    GOTO 27040</t>
  </si>
  <si>
    <t>26960     ELSE</t>
  </si>
  <si>
    <t>26970                    Ra0=0</t>
  </si>
  <si>
    <t>26980                    Racc_0a=0</t>
  </si>
  <si>
    <t>26990                    GOTO Raggio</t>
  </si>
  <si>
    <t>27000     END IF</t>
  </si>
  <si>
    <t>27040 IF Prtz THEN</t>
  </si>
  <si>
    <t>27050                MAT Solz=(0)</t>
  </si>
  <si>
    <t>27060                R_t=5</t>
  </si>
  <si>
    <t>27070                A=.0001</t>
  </si>
  <si>
    <t>27080        IF Da0-2*Ra0&gt;Mwt*Z0 THEN</t>
  </si>
  <si>
    <t>27090                B=ASN((Mwt*Z0)/(Da0-2*Ra0))</t>
  </si>
  <si>
    <t>27100        ELSE</t>
  </si>
  <si>
    <t>27110                B=120*PI/180</t>
  </si>
  <si>
    <t>27120        END IF</t>
  </si>
  <si>
    <t>27140   CALL Bisect(A,B,Root,Da0,Da1,Df1,Eaat1,Psat0,Db0,Apna0,Apnf1,Psbt0,Pskbt1_max,Dkb1,Psbt1,Gm,Ra0,Mwt,Solz(*),Db1,Z0,Z1,R_t)</t>
  </si>
  <si>
    <t>27160      IF Solz(1)=0 THEN</t>
  </si>
  <si>
    <t>27170         DISP "ATTENZIONE &gt;&gt; Protuberanza insufficiente non esiste sottoscavo"</t>
  </si>
  <si>
    <t>27180         ENTER 2;A$</t>
  </si>
  <si>
    <t>27190              GOTO Var_prtz</t>
  </si>
  <si>
    <t>27200         END IF</t>
  </si>
  <si>
    <t>27220           X=Solz(1)</t>
  </si>
  <si>
    <t>27230           CALL Troc(X,Db1,Da0,Ra0,Mwt,Psbt1,Gm,Dt,Ph,Y,Z0,Z1)</t>
  </si>
  <si>
    <t>27240           D_stc_i=Dt</t>
  </si>
  <si>
    <t>27260      IF Solz(2)=0 THEN</t>
  </si>
  <si>
    <t>27270              DISP "ATTENZIONE&gt;&gt; D_stc_f non rintracciato - verifica sottoscavo incompleta"</t>
  </si>
  <si>
    <t>27280              ENTER 2;A$</t>
  </si>
  <si>
    <t>27290              X_max=B</t>
  </si>
  <si>
    <t>27300      ELSE</t>
  </si>
  <si>
    <t>27310           X=Solz(2)</t>
  </si>
  <si>
    <t>27320           CALL Troc(X,Db1,Da0,Ra0,Mwt,Psbt1,Gm,Dt,Ph,Y,Z0,Z1)</t>
  </si>
  <si>
    <t>27330           D_stc_f=Dt</t>
  </si>
  <si>
    <t>27340           X_max=Solz(2)</t>
  </si>
  <si>
    <t>27360      END IF</t>
  </si>
  <si>
    <t>27380        PRINT TABXY(1,Ys);"  PROTUBERANZA  =  ";</t>
  </si>
  <si>
    <t>27390        PRINT USING "  D.4D                  ";Prtz</t>
  </si>
  <si>
    <t>27400        PRINT TABXY(27,Ys);"D.FINE SOTTOSC.=";</t>
  </si>
  <si>
    <t>27410        PRINT USING Fmt_diam;ABS(D_stc_f)</t>
  </si>
  <si>
    <t>27420        D_stc_fprt=ABS(D_stc_f)</t>
  </si>
  <si>
    <t>27430        DISP USING "K,4D.DD";"Diametro di inizio del sottoscavo =";ABS(D_stc_i)</t>
  </si>
  <si>
    <t>27440        D_stc_iprt=ABS(D_stc_i)</t>
  </si>
  <si>
    <t>27450        ENTER 2;A$</t>
  </si>
  <si>
    <t>27460 INPUT "DIGITARE IL DNf1 CHE SI VUOLE GENERATO DALL'ESTREMITA DELLA PROTUBERANZA",Dnf1_prtz</t>
  </si>
  <si>
    <t>27470        IF NOT Dnf1_prtz THEN Dnf1_prtz=D_stc_f</t>
  </si>
  <si>
    <t>27480    Dna0_prtz=SQR(Db0^2+(2*A0*SIN(Apwt)-Z1/ABS(Z1)*SQR(Dnf1_prtz^2-Db1^2))^2)</t>
  </si>
  <si>
    <t>27490           H_prtz=(Da0-Dna0_prtz)/2</t>
  </si>
  <si>
    <t>27500        PRINT TABXY(27,Ys);"D.F.SOTTOSC.ins=";</t>
  </si>
  <si>
    <t>27510        PRINT USING Fmt_diam;ABS(Dnf1_prtz)</t>
  </si>
  <si>
    <t>27550           OFF KEY</t>
  </si>
  <si>
    <t>27570           MAT Solz=(0)</t>
  </si>
  <si>
    <t>27580           Psbt1=St1_f/(Mt*Z1)+Inv_apt</t>
  </si>
  <si>
    <t>27590           A=.0001</t>
  </si>
  <si>
    <t>27610   CALL Bisect(A,B,Root,Da0,Da1,Df1,Eaat1,Psat0,Db0,Apna0,Apnf1,Psbt0,Pskbt1_max,Dkb1,Psbt1,Gm,Ra0,Mwt,Solz(*),Db1,Z0,Z1,R_t)</t>
  </si>
  <si>
    <t>27630      IF Solz(1)=0 THEN</t>
  </si>
  <si>
    <t>27640         DISP "ATT. &gt;&gt; Protuberanza insufficiente non esiste sottoscavo residuo dopo rasatura"</t>
  </si>
  <si>
    <t>27650         ENTER 2;A$</t>
  </si>
  <si>
    <t>27660         Psbt1=St1/(Mt*Z1)+Inv_apt</t>
  </si>
  <si>
    <t>27670                                  GOTO Var_prtz</t>
  </si>
  <si>
    <t>27680         END IF</t>
  </si>
  <si>
    <t>27700           X=Solz(1)</t>
  </si>
  <si>
    <t>27710           CALL Troc(X,Db1,Da0,Ra0,Mwt,Psbt1,Gm,Dt,Ph,Y,Z0,Z1)</t>
  </si>
  <si>
    <t>27720           D_stc_if=Dt</t>
  </si>
  <si>
    <t>27740        IF Solz(2)=0 THEN</t>
  </si>
  <si>
    <t>27750                     DISP "ATTENZIONE&gt;&gt;D_stc_ff non rintracciato,verifica sottoscavo incompleta"</t>
  </si>
  <si>
    <t>27760                     ENTER 2;A$</t>
  </si>
  <si>
    <t>27770                     X_max=B</t>
  </si>
  <si>
    <t>27780        ELSE</t>
  </si>
  <si>
    <t>27790           X=Solz(2)</t>
  </si>
  <si>
    <t>27800           CALL Troc(X,Db1,Da0,Ra0,Mwt,Psbt1,Gm,Dt,Ph,Y,Z0,Z1)</t>
  </si>
  <si>
    <t>27810           D_stc_ff=Dt</t>
  </si>
  <si>
    <t>27820        END IF</t>
  </si>
  <si>
    <t>27840   DISP USING "K,4D.DD,K,4D.DD,K";"PEZZO FINITO &gt;&gt; Diam.inizio sottosc. =";ABS(D_stc_if);"     Diam.fine sottosc. =";ABS(D_stc_ff)</t>
  </si>
  <si>
    <t>27860           ENTER 2;A$</t>
  </si>
  <si>
    <t>27880           Psbt1=St1/(Mt*Z1)+Inv_apt</t>
  </si>
  <si>
    <t>27930     Ris$=""</t>
  </si>
  <si>
    <t>27940          INPUT "VARIAZIONE DATI PROTUBERANZA ?[Risp.SI/Continue]",Ris$</t>
  </si>
  <si>
    <t>27950                     IF LEN(Ris$) THEN</t>
  </si>
  <si>
    <t>27960                                      GOTO Protub</t>
  </si>
  <si>
    <t>27970                                      St1_f=0</t>
  </si>
  <si>
    <t>27980                     ELSE</t>
  </si>
  <si>
    <t>27990                                      GOTO Diam_torn</t>
  </si>
  <si>
    <t>28000                     END IF</t>
  </si>
  <si>
    <t>28010  END IF</t>
  </si>
  <si>
    <t>28050              IF NOT Dnf1 THEN</t>
  </si>
  <si>
    <t>28060                     IF Std THEN</t>
  </si>
  <si>
    <t>28070                            X_hfp_pr=((Mt*Z1+2*X1*Mn)-Dnf1_pr)/2/Mn</t>
  </si>
  <si>
    <t>28080                            PRINT TABXY(1,Ys);"hfPN1 = ";</t>
  </si>
  <si>
    <t>28090                            PRINT USING "DD.DD,K";X_hfp_pr;" Mn"</t>
  </si>
  <si>
    <t>28100                     ELSE</t>
  </si>
  <si>
    <t>28110                            PRINT TABXY(1,Ys);"DNf1-GENERATO =";</t>
  </si>
  <si>
    <t>28120                            PRINT USING Fmt_diam;ABS(Dnf1_pr)</t>
  </si>
  <si>
    <t>28130                     END IF</t>
  </si>
  <si>
    <t>28140              END IF</t>
  </si>
  <si>
    <t>28180        IF Ra0 THEN</t>
  </si>
  <si>
    <t>28190                   Da0t=Da0+.8</t>
  </si>
  <si>
    <t>28200        ELSE</t>
  </si>
  <si>
    <t>28210                   Da0t=Da0+1</t>
  </si>
  <si>
    <t>28220        END IF</t>
  </si>
  <si>
    <t>28240                   Inv_apat0t=TAN(ACS(Db0/Da0t))-ACS(Db0/Da0t)</t>
  </si>
  <si>
    <t>28250                   Psat0t=St0/(Mt*Z0)+Inv_apt-Inv_apat0t</t>
  </si>
  <si>
    <t>28260                   Sat0t=Da0t*Psat0t</t>
  </si>
  <si>
    <t>28270                   San0t=Sat0t*COS(ATN(Da0t/(Mt*Z0)*TAN(Ael)))</t>
  </si>
  <si>
    <t>28290        DISP USING "K,6D.DD,K,DD.DD";"DIAMETRO DI TORNERIA =";Da0t;" ------ SPESSORE IN PUNTA =";San0t</t>
  </si>
  <si>
    <t>28300        ENTER 2;A$</t>
  </si>
  <si>
    <t>28310        Da0ti=Da0t</t>
  </si>
  <si>
    <t>28320           INPUT "Nuovo Diametro di Torneria = ?",Da0ti</t>
  </si>
  <si>
    <t>28330        IF Da0ti&lt;&gt;Da0t THEN</t>
  </si>
  <si>
    <t>28340           Da0t=Da0ti</t>
  </si>
  <si>
    <t>28350           GOTO San0t</t>
  </si>
  <si>
    <t>28360        END IF</t>
  </si>
  <si>
    <t>28390          PRINT TABXY(54,7);"DIAM.TORN.";</t>
  </si>
  <si>
    <t>28400          PRINT USING Fmt_diam;Da0t</t>
  </si>
  <si>
    <t>28430               OFF KEY</t>
  </si>
  <si>
    <t>28450               DIM Gms$[16]</t>
  </si>
  <si>
    <t>28460               Gms$="[Risp.GG.MM.SS.]"</t>
  </si>
  <si>
    <t>28470               DIM Eta_i$[8],Tau_i$[8],Zeta_hi$[8],Zeta_ti$[8]</t>
  </si>
  <si>
    <t>28480               DISP "Angolo di affilatura frontale "&amp;Gms$;</t>
  </si>
  <si>
    <t>28490               INPUT Eta_i$</t>
  </si>
  <si>
    <t>28500            IF Eta_i$="" THEN Eta_i$="5"</t>
  </si>
  <si>
    <t>28510      IF Elic THEN</t>
  </si>
  <si>
    <t>28520               DISP "Ang.di elica della superficie di affilatura "&amp;Gms$;</t>
  </si>
  <si>
    <t>28530               INPUT Tau_i$</t>
  </si>
  <si>
    <t>28540      IF Tau_i$="" THEN</t>
  </si>
  <si>
    <t>28550                        Ang=Ael</t>
  </si>
  <si>
    <t>28560                        CALL Rad_gms(Ang,G,Mi,S)</t>
  </si>
  <si>
    <t>28570                        Tau_i$=VAL$(G)&amp;"."&amp;VAL$(Mi)&amp;"."&amp;VAL$(S)</t>
  </si>
  <si>
    <t>28580                   END IF</t>
  </si>
  <si>
    <t>28590               DISP "Spoglia lat.fianco alto sul cilindro primitivo :NO RISP.&gt;&gt;2°30'"&amp;Gms$;</t>
  </si>
  <si>
    <t>28600               INPUT Zeta_hi$</t>
  </si>
  <si>
    <t>28610        IF Zeta_hi$="" THEN Zeta_hi$="2.30'"</t>
  </si>
  <si>
    <t>28620               DISP "Spoglia lat.fianco basso sul cilindro primitivo "&amp;Gms$;</t>
  </si>
  <si>
    <t>28630               INPUT Zeta_ti$</t>
  </si>
  <si>
    <t>28640        IF Zeta_ti$="" THEN Zeta_ti$=Zeta_hi$</t>
  </si>
  <si>
    <t>28650      ELSE</t>
  </si>
  <si>
    <t>28660               DISP "Ang.di spoglia lat.sul cilindro primitivo :NO RISP.&gt;&gt;2°30'"&amp;Gms$;</t>
  </si>
  <si>
    <t>28670               INPUT Zeta_hi$</t>
  </si>
  <si>
    <t>28680        IF Zeta_hi$="" THEN Zeta_hi$="2.30'"</t>
  </si>
  <si>
    <t>28690               Zeta_ti$=Zeta_hi$</t>
  </si>
  <si>
    <t>28700      END IF</t>
  </si>
  <si>
    <t>28720      INTEGER Gr,Min,Sec,G,Mi,S</t>
  </si>
  <si>
    <t>28740          Ang$=Eta_i$</t>
  </si>
  <si>
    <t>28750          CALL Gms_rad(Ang$,Ang,Gr,Min,Sec)</t>
  </si>
  <si>
    <t>28760          Eta=Ang</t>
  </si>
  <si>
    <t>28770          Eta$=VAL$(Gr)&amp;"°"&amp;VAL$(Min)&amp;"'"</t>
  </si>
  <si>
    <t>28780   IF Elic THEN</t>
  </si>
  <si>
    <t>28790          Ang$=Tau_i$</t>
  </si>
  <si>
    <t>28800          CALL Gms_rad(Ang$,Ang,Gr,Min,Sec)</t>
  </si>
  <si>
    <t>28810          Tau=Ang</t>
  </si>
  <si>
    <t>28820          Tau$=VAL$(Gr)&amp;"°"&amp;VAL$(Min)&amp;"'"</t>
  </si>
  <si>
    <t>28830   END IF</t>
  </si>
  <si>
    <t>28840          Ang$=Zeta_hi$</t>
  </si>
  <si>
    <t>28850          CALL Gms_rad(Ang$,Ang,Gr,Min,Sec)</t>
  </si>
  <si>
    <t>28860          Zeta_h=Ang</t>
  </si>
  <si>
    <t>28870          Zeta_h$=VAL$(Gr)&amp;"°"&amp;VAL$(Min)&amp;"'"&amp;VAL$(Sec)&amp;"''"</t>
  </si>
  <si>
    <t>28880       IF Zeta_ti$=Zeta_hi$ THEN</t>
  </si>
  <si>
    <t>28890          Zeta_t=Zeta_h</t>
  </si>
  <si>
    <t>28900          Zeta_t$=Zeta_h$</t>
  </si>
  <si>
    <t>28910          GOTO Prt_spoglie</t>
  </si>
  <si>
    <t>28920     ELSE</t>
  </si>
  <si>
    <t>28930          Ang$=Zeta_ti$</t>
  </si>
  <si>
    <t>28940          CALL Gms_rad(Ang$,Ang,Gr,Min,Sec)</t>
  </si>
  <si>
    <t>28950          Zeta_t=Ang</t>
  </si>
  <si>
    <t>28960          Zeta_t$=VAL$(Gr)&amp;"°"&amp;VAL$(Min)&amp;"'"&amp;VAL$(Sec)&amp;"''"</t>
  </si>
  <si>
    <t>28970     END IF</t>
  </si>
  <si>
    <t>29000             Ys=9</t>
  </si>
  <si>
    <t>29010             Ys=Ys+2</t>
  </si>
  <si>
    <t>29020             PRINT TABXY(1,Ys);"Ang.aff.front.="&amp;Eta$</t>
  </si>
  <si>
    <t>29030     IF Elic THEN</t>
  </si>
  <si>
    <t>29040             PRINT TABXY(54,Ys);"Ang.el.aff.front.="&amp;Tau$</t>
  </si>
  <si>
    <t>29050     END IF</t>
  </si>
  <si>
    <t>29060             Ys=Ys+2</t>
  </si>
  <si>
    <t>29070     IF Elic THEN</t>
  </si>
  <si>
    <t>29080             PRINT TABXY(1,Ys);"Sp.lat.F.A.="&amp;Zeta_h$</t>
  </si>
  <si>
    <t>29090             PRINT TABXY(32,Ys);"Sp.lat.F.B.="&amp;Zeta_t$</t>
  </si>
  <si>
    <t>29100     ELSE</t>
  </si>
  <si>
    <t>29110             PRINT TABXY(1,Ys);"Sp.lat.="&amp;Zeta_h$</t>
  </si>
  <si>
    <t>29120     END IF</t>
  </si>
  <si>
    <t>29150  Apt0h=ATN(((TAN(Apn)/COS(Ael-Tau)+TAN(Eta)*(TAN(Ael-Tau)-TAN(Ael-Tau-Zeta_h)))*COS(Ael-Tau-Zeta_h)/COS(Ael-Zeta_h)))</t>
  </si>
  <si>
    <t>29170  Apt0t=ATN(((TAN(Apn)/COS(Ael-Tau)+TAN(Eta)*(TAN(Ael+Zeta_t-Tau)-TAN(Ael-Tau)))*COS(Ael+Zeta_t-Tau)/COS(Ael+Zeta_t)))</t>
  </si>
  <si>
    <t>29190  Db0h=Mt*Z0*COS(Apt0h)</t>
  </si>
  <si>
    <t>29200  Db0t=Mt*Z0*COS(Apt0t)</t>
  </si>
  <si>
    <t>29240 IF Elic THEN</t>
  </si>
  <si>
    <t>29250             PRINT TABXY(1,7);"DIAM.BASE F.A.=";</t>
  </si>
  <si>
    <t>29260             PRINT USING "6D.DDD";Db0h</t>
  </si>
  <si>
    <t>29270             PRINT TABXY(27,7);"DIAM.BASE F.B.=";</t>
  </si>
  <si>
    <t>29280             PRINT USING "6D.DDD";Db0t</t>
  </si>
  <si>
    <t>29290         ELSE</t>
  </si>
  <si>
    <t>29300             PRINT TABXY(1,7);"DIAM.BASE =";</t>
  </si>
  <si>
    <t>29310             PRINT USING "6D.DDD";Db0h</t>
  </si>
  <si>
    <t>29320 END IF</t>
  </si>
  <si>
    <t>29350        Aelb=ATN(TAN(Ael)*COS(Apt))</t>
  </si>
  <si>
    <t>29360        Zeta_b_h=-ATN(TAN(Ael-Zeta_h)*COS(Apt))+Aelb</t>
  </si>
  <si>
    <t>29370        Zeta_b_t=ATN(TAN(Ael+Zeta_t)*COS(Apt))-Aelb</t>
  </si>
  <si>
    <t>29380        Zeta_b_f=(SIN(Zeta_b_t)/COS(Aelb-Zeta_b_h)*COS(Aelb-Tau-Zeta_b_h)/COS(-Aelb-Zeta_b_t+Tau)+SIN(Zeta_b_h)/COS(-Aelb+Zeta_b_h))/COS(Aelb)</t>
  </si>
  <si>
    <t>29420 INPUT "Altezza utile di affilatura ?",H_ut</t>
  </si>
  <si>
    <t>29421 IF H_ut=0 THEN</t>
  </si>
  <si>
    <t>29422 H_ut=.001</t>
  </si>
  <si>
    <t>29423 END IF</t>
  </si>
  <si>
    <t>29460               Apnat1=ACS(Db1/Dna1)</t>
  </si>
  <si>
    <t>29470               Apwt_max_aff=ATN(TAN(Apnat1)/(1+Z0/Z1))</t>
  </si>
  <si>
    <t>29480               Inv_apwt_max_af=TAN(Apwt_max_aff)-Apwt_max_aff</t>
  </si>
  <si>
    <t>29490               H_max_aff=(Db1+Db0)/Zeta_b_f*(Inv_apwt-Inv_apwt_max_af)</t>
  </si>
  <si>
    <t>29510      IF H_ut&gt;H_max_aff THEN</t>
  </si>
  <si>
    <t>29520               DISP USING "K,4D.D";"ATTENZIONE--MAX.altezza utile di affilatura permessa dall'Interf.prim.=";H_max_aff</t>
  </si>
  <si>
    <t>29530               BEEP 500,.2</t>
  </si>
  <si>
    <t>29540               ENTER 2;A$</t>
  </si>
  <si>
    <t>29580              Ris$=""</t>
  </si>
  <si>
    <t>29590              INPUT "Variazione dati utensile ?[RISP.SI/Continue]",Ris$</t>
  </si>
  <si>
    <t>29600        IF LEN(Ris$) THEN</t>
  </si>
  <si>
    <t>29610           IF Int THEN</t>
  </si>
  <si>
    <t>29620                      GOTO Z0i</t>
  </si>
  <si>
    <t>29630           ELSE</t>
  </si>
  <si>
    <t>29640                      GOTO Da0</t>
  </si>
  <si>
    <t>29650           END IF</t>
  </si>
  <si>
    <t>29660        END IF</t>
  </si>
  <si>
    <t>29670      END IF</t>
  </si>
  <si>
    <t>29690        Inv_apwt_h=Inv_apwt-H_ut*Zeta_b_f/(Db1+Db0)</t>
  </si>
  <si>
    <t>29710                  IF Inv_apwt_h&lt;0 THEN</t>
  </si>
  <si>
    <t>29720                     DISP "ATT:Altezza utile eccessiva a fine vita non esiste piu generazione del profilo"</t>
  </si>
  <si>
    <t>29730                     ENTER 2;A$</t>
  </si>
  <si>
    <t>29740                     GOTO Variazioni</t>
  </si>
  <si>
    <t>29750                  END IF</t>
  </si>
  <si>
    <t>29760        Inv_ap=Inv_apwt_h</t>
  </si>
  <si>
    <t>29770        Apwt_h=FNInv(Inv_ap)</t>
  </si>
  <si>
    <t>29780        A0_h=(Db1+Db0)/COS(Apwt_h)</t>
  </si>
  <si>
    <t>29790        Teta=ATN((2*A0-A0_h)/(2*H_ut))</t>
  </si>
  <si>
    <t>29800        Apwt_max=ASN(.5*Zeta_b_f/TAN(Teta))</t>
  </si>
  <si>
    <t>29810        Inv_apwt_max=TAN(Apwt_max)-Apwt_max</t>
  </si>
  <si>
    <t>29820        H_err_max=-(Db1+Db0)*(Inv_apwt_max-Inv_apwt)/Zeta_b_f</t>
  </si>
  <si>
    <t>29830        A0_max=(Db1+Db0)/COS(Apwt_max)</t>
  </si>
  <si>
    <t>29840        Da0_max=Da0-2*H_err_max*TAN(Teta)</t>
  </si>
  <si>
    <t>29850        Err_max=A0_max-Da0_max-Df1</t>
  </si>
  <si>
    <t>29860        Df1_max=A0_max-Da0_max</t>
  </si>
  <si>
    <t>29870        Apwtm=Apwt_max</t>
  </si>
  <si>
    <t>29880        Inv_apwtm=Inv_apwt_max</t>
  </si>
  <si>
    <t>29910            Ang=Teta</t>
  </si>
  <si>
    <t>29920            CALL Rad_gms(Ang,G,Mi,S)</t>
  </si>
  <si>
    <t>29930            Teta$=VAL$(G)&amp;"°"&amp;VAL$(Mi)&amp;"'"</t>
  </si>
  <si>
    <t>29950            PRINT TABXY(54,Ys);"Sp.est.="&amp;Teta$</t>
  </si>
  <si>
    <t>29960            Ys=Ys+2</t>
  </si>
  <si>
    <t>29970            PRINT TABXY(1,Ys);"Err.max.Df.=";</t>
  </si>
  <si>
    <t>29980            PRINT USING " 5D.DD";ABS(Err_max)</t>
  </si>
  <si>
    <t>29990            PRINT TABXY(54,Ys);"H.utile =";</t>
  </si>
  <si>
    <t>30000            PRINT USING "6D.D";H_ut</t>
  </si>
  <si>
    <t>30040 IF Dnf1 THEN</t>
  </si>
  <si>
    <t>30050   IF Ra0 THEN</t>
  </si>
  <si>
    <t>30060              Rfm_max=(-Df1_max+Db1*(COS(Apwtm)+SIN(Apwtm)*TAN(Apnf1)))/2</t>
  </si>
  <si>
    <t>30070              Rfm=(Da0-Db0*(COS(Apwtm)+SIN(Apwtm)*TAN(Apna0)))/2</t>
  </si>
  <si>
    <t>30080      IF Rfm&gt;Rfm_max THEN</t>
  </si>
  <si>
    <t>30100 DISP "ATTENZIONE--Raccordo mola eccessivo,diminuire raggio testa utensile"</t>
  </si>
  <si>
    <t>30110                     BEEP 2000,.3</t>
  </si>
  <si>
    <t>30130                     OFF KEY</t>
  </si>
  <si>
    <t>30150                     ON KEY 5 LABEL "CORREZIONI" GOTO Dna0_dis</t>
  </si>
  <si>
    <t>30160                     ON KEY 8 LABEL "PROSECUZIONE" GOTO Passi</t>
  </si>
  <si>
    <t>30190      END IF</t>
  </si>
  <si>
    <t>30200   END IF</t>
  </si>
  <si>
    <t>30210 END IF</t>
  </si>
  <si>
    <t>30250 IF Elic THEN</t>
  </si>
  <si>
    <t>30270         Pz0=(Mt*Z0*PI)/TAN(Ael)</t>
  </si>
  <si>
    <t>30280         Pz0_h=(Mt*Z0*PI)/TAN(Ael-Zeta_h)</t>
  </si>
  <si>
    <t>30290         Pz0_t=(Mt*Z0*PI)/TAN(Ael+Zeta_t)</t>
  </si>
  <si>
    <t>30310 END IF</t>
  </si>
  <si>
    <t>30350      OFF KEY</t>
  </si>
  <si>
    <t>30360                Dwtm=Db0/COS(Apwtm)</t>
  </si>
  <si>
    <t>30370                Dwm0=Dwtm</t>
  </si>
  <si>
    <t>30380                Swmt0=Dwm0*(St0/(Mt*Z0)+Inv_apt-Inv_apwtm)</t>
  </si>
  <si>
    <t>30390                Swtm=((Dwm0/Z0)*PI)-Swmt0</t>
  </si>
  <si>
    <t>30430 IF Ra0 AND NOT Dk1 THEN Hnam=(Dwm0-Df0)/2</t>
  </si>
  <si>
    <t>30450 IF Dk1 THEN</t>
  </si>
  <si>
    <t>30480        Dkb1=Mt*Z1*COS(Apkt)</t>
  </si>
  <si>
    <t>30490        Dkb0=Mt*Z0*COS(Apkt)</t>
  </si>
  <si>
    <t>30500        Apkwtm=ACS((COS(Apkt)/COS(Apt))*COS(Apwtm))</t>
  </si>
  <si>
    <t>30510        Inv_apkwtm=TAN(Apkwtm)-Apkwtm</t>
  </si>
  <si>
    <t>30520        Zeta_kb_f=2*SIN(Apkwtm)*TAN(Teta)</t>
  </si>
  <si>
    <t>30530        Inv_apkkt1=TAN(ACS(Dkb1/Dk1))-ACS(Dkb1/Dk1)</t>
  </si>
  <si>
    <t>30540        Pskbt1=Skt1/Dk1+Inv_apkkt1</t>
  </si>
  <si>
    <t>30550        Inv_apkwt=TAN(ACS((COS(Apkt)/COS(Apt))*COS(Apwt)))-ACS((COS(Apkt)/COS(Apt))*COS(Apwt))</t>
  </si>
  <si>
    <t>30560        Pskbt0=1/Z0*(PI+Inv_apkwt*(Z1+Z0))-Z1/Z0*Pskbt1</t>
  </si>
  <si>
    <t>30570        Pskbt0_max=Pskbt0-H_err_max*Zeta_kb_f/Dkb0</t>
  </si>
  <si>
    <t>30580        Pskbt1_max=-Z0/Z1*Pskbt0_max+1/Z1*(PI+Inv_apkwtm*(Z1+Z0))</t>
  </si>
  <si>
    <t>30620        Skbt0=Dkb0*Pskbt0</t>
  </si>
  <si>
    <t>30630        Skwmt0=Dwm0*(Pskbt0-Inv_apkwtm)</t>
  </si>
  <si>
    <t>30640        Skwtm=((Dwm0/Z0)*PI)-Skwmt0</t>
  </si>
  <si>
    <t>30650        Hnam=(.5*(Skwtm-Swtm))/(TAN(Apkwtm)-TAN(Apwtm))</t>
  </si>
  <si>
    <t>30670               R_t=3</t>
  </si>
  <si>
    <t>30680               A=Dk1</t>
  </si>
  <si>
    <t>30690               B=Dk1+Z1/ABS(Z1)*Mt</t>
  </si>
  <si>
    <t>30730           CALL Bisect(A,B,Root,Da0,Da1,Df1,Eaat1,Psat0,Db0,Apna0,Apnf1,Psbt0,Pskbt1_max,Dkb1,Psbt1,Gm,Ra0,Mwt,Solz(*),Db1,Z0,Z1,R_t)</t>
  </si>
  <si>
    <t>30740           Dk1_max=Root</t>
  </si>
  <si>
    <t>30750           R_t=0</t>
  </si>
  <si>
    <t>30760           Err_max_dk=Dk1_max-Dk1</t>
  </si>
  <si>
    <t>30800             PRINT TABXY(32,Ys);"Err.max.Dk.=";</t>
  </si>
  <si>
    <t>30810             PRINT USING "DDD.DD";ABS(Err_max_dk)</t>
  </si>
  <si>
    <t>30830 END IF</t>
  </si>
  <si>
    <t>30870 IF Dk1 OR Ra0 THEN</t>
  </si>
  <si>
    <t>30880            DIM Apwtm$[6]</t>
  </si>
  <si>
    <t>30890            Hnam_min=(Db1*SIN(Apwtm)*(TAN(Apnat1)-TAN(Apwtm)))/2</t>
  </si>
  <si>
    <t>30900            Hnam_2=Hnam+H_err_max*TAN(Teta)</t>
  </si>
  <si>
    <t>30940     IF Hnam_2&lt;Hnam_min THEN</t>
  </si>
  <si>
    <t>30950        Apnat1_2=ATN((2*Hnam_2+Db1*SIN(Apwtm)*TAN(Apwtm))/(Db1*SIN(Apwtm)))</t>
  </si>
  <si>
    <t>30960        Dna1_2=Db1/COS(Apnat1_2)</t>
  </si>
  <si>
    <t>30970                 Ang=Apwtm</t>
  </si>
  <si>
    <t>30980                 CALL Rad_gms(Ang,G,Mi,S)</t>
  </si>
  <si>
    <t>30990                 Apwtm$=VAL$(G)&amp;"°"&amp;VAL$(Mi)&amp;"'"</t>
  </si>
  <si>
    <t>31030        IF Ra0 AND NOT Dk1 THEN</t>
  </si>
  <si>
    <t>31040               DISP USING "K,K,K,6D.DD,K";"ATT.-Ang.press.mola =";Apwtm$;"--Dna1 generato =";ABS(Dna1_2);"occorre aumentare Addendum mola"</t>
  </si>
  <si>
    <t>31060              OFF KEY</t>
  </si>
  <si>
    <t>31080              ON KEY 5 LABEL "CORREZIONI" GOTO Correz</t>
  </si>
  <si>
    <t>31090              ON KEY 8 LABEL "PROSECUZIONE" GOTO Fine_hnam_ra0</t>
  </si>
  <si>
    <t>31140              OFF KEY</t>
  </si>
  <si>
    <t>31150               Hnam=Hnam_min-H_err_max*TAN(Teta)</t>
  </si>
  <si>
    <t>31160               Df0=Dwm0-2*Hnam</t>
  </si>
  <si>
    <t>31170               S_hnam=Swtm-2*Hnam*TAN(Apwtm)</t>
  </si>
  <si>
    <t>31190                  PRINT TABXY(27,5);"DIAM.FONDO =";</t>
  </si>
  <si>
    <t>31200                  PRINT USING Fmt_diam;Df0</t>
  </si>
  <si>
    <t>31220                  IF S_hnam&lt;.3 THEN</t>
  </si>
  <si>
    <t>31230  DISP USING "K,3D.DD,K,K,K,2D.DD";"ATT-Df0_max =";Df0;"--Ang.press.Mola =";Apwtm$;"--Spess.punta mola =";S_hnam</t>
  </si>
  <si>
    <t>31240                     BEEP 2000,.3</t>
  </si>
  <si>
    <t>31250                     ENTER 2;A$</t>
  </si>
  <si>
    <t>31270                     IF Int THEN</t>
  </si>
  <si>
    <t>31280                         GOTO Z0i</t>
  </si>
  <si>
    <t>31290                     ELSE</t>
  </si>
  <si>
    <t>31300                         GOTO Da0</t>
  </si>
  <si>
    <t>31310                     END IF</t>
  </si>
  <si>
    <t>31330                  END IF</t>
  </si>
  <si>
    <t>31350               OFF KEY</t>
  </si>
  <si>
    <t>31360        END IF</t>
  </si>
  <si>
    <t>31400        IF Dk1 THEN</t>
  </si>
  <si>
    <t>31410            DISP USING "K,K,K,6D.2D,K";"ATT.-Ang.press.mola =";Apwtm$;"--Dna1 generato =";ABS(Dna1_2);"--Trocoide eccessiva variare i dati"</t>
  </si>
  <si>
    <t>31420            BEEP 2000,.3</t>
  </si>
  <si>
    <t>31440              OFF KEY</t>
  </si>
  <si>
    <t>31460              ON KEY 5 LABEL "CORREZIONI" GOTO Correz_2</t>
  </si>
  <si>
    <t>31470              ON KEY 8 LABEL "PROSECUZIONE" GOTO H_ut_max</t>
  </si>
  <si>
    <t>31520            OFF KEY</t>
  </si>
  <si>
    <t>31530            IF Int THEN</t>
  </si>
  <si>
    <t>31540                       GOTO Z0i</t>
  </si>
  <si>
    <t>31550            ELSE</t>
  </si>
  <si>
    <t>31560                       GOTO Da0</t>
  </si>
  <si>
    <t>31570            END IF</t>
  </si>
  <si>
    <t>31590            OFF KEY</t>
  </si>
  <si>
    <t>31600        END IF</t>
  </si>
  <si>
    <t>31620     END IF</t>
  </si>
  <si>
    <t>31660          H_ut_max=(SIN(Apwtm)*Db0*TAN(Apwtm))/(2*TAN(Teta))-Hnam/TAN(Teta)</t>
  </si>
  <si>
    <t>31680         IF H_ut&gt;H_ut_max THEN</t>
  </si>
  <si>
    <t>31690                 Hnam_max=Db0/2*TAN(Apwtm)*SIN(Apwtm)</t>
  </si>
  <si>
    <t>31700                 Hnam_3=Hnam+H_ut*TAN(Teta)</t>
  </si>
  <si>
    <t>31710                 Delta_hnam=Hnam_3-Hnam_max</t>
  </si>
  <si>
    <t>31720                 Stc=(Delta_hnam^2)/(3*Db0*(SIN(Apwtm))^2)</t>
  </si>
  <si>
    <t>31730                 Dnf0_eff=Db0+2*Stc</t>
  </si>
  <si>
    <t>31740                 Apnf0_3=ATN((1+Z1/Z0)*TAN(Apwt_h)-Z1/Z0*TAN(Apnat1))</t>
  </si>
  <si>
    <t>31750                 Dnf0_3=Db0/COS(Apnf0_3)</t>
  </si>
  <si>
    <t>31770                 IF Dnf0_3&lt;Dnf0_eff THEN</t>
  </si>
  <si>
    <t>31790                    DISP "SOTTOSCAVO MOLA eccessivo diminuire altezza  utile"</t>
  </si>
  <si>
    <t>31800                    BEEP 2000,.3</t>
  </si>
  <si>
    <t>31820                         OFF KEY</t>
  </si>
  <si>
    <t>31840                         ON KEY 5 LABEL "CORREZIONI" GOTO H_ut</t>
  </si>
  <si>
    <t>31850                         ON KEY 8 LABEL "PROSECUZIONE" GOTO Avanti</t>
  </si>
  <si>
    <t>31870 Trip: GOTO Trip</t>
  </si>
  <si>
    <t>31880                 END IF</t>
  </si>
  <si>
    <t>31890         END IF</t>
  </si>
  <si>
    <t>31900 END IF</t>
  </si>
  <si>
    <t>31940 IF Ra0 OR Dk1 THEN</t>
  </si>
  <si>
    <t>31970       Vedi=1</t>
  </si>
  <si>
    <t>31980       IF Vedi THEN GOTO Vediamo1</t>
  </si>
  <si>
    <t>32010       Ang=Apwmnmt</t>
  </si>
  <si>
    <t>32020       CALL Rad_gms(Ang,G,Mi,S)</t>
  </si>
  <si>
    <t>32030       Apwmnmt$=VAL$(G)&amp;"°"&amp;VAL$(Mi)&amp;"'"</t>
  </si>
  <si>
    <t>32050       Ang=Apkwmnmt</t>
  </si>
  <si>
    <t>32060       CALL Rad_gms(Ang,G,Mi,S)</t>
  </si>
  <si>
    <t>32070       Apkwmnmt$=VAL$(G)&amp;"°"&amp;VAL$(Mi)&amp;"'"</t>
  </si>
  <si>
    <t>32090       IF Elic THEN</t>
  </si>
  <si>
    <t>32100                  Ang=Apwmnmh</t>
  </si>
  <si>
    <t>32110                  CALL Rad_gms(Ang,G,Mi,S)</t>
  </si>
  <si>
    <t>32120                  Apwmnmh$=VAL$(G)&amp;"°"&amp;VAL$(Mi)&amp;"'"</t>
  </si>
  <si>
    <t>32140                  Ang=Apkwmnmh</t>
  </si>
  <si>
    <t>32150                  CALL Rad_gms(Ang,G,Mi,S)</t>
  </si>
  <si>
    <t>32160                  Apkwmnmh$=VAL$(G)&amp;"°"&amp;VAL$(Mi)&amp;"'"</t>
  </si>
  <si>
    <t>32170       END IF</t>
  </si>
  <si>
    <t>32210     DISP USING "K,6D.2D";"DIAMETRO DI GENERAZIONE DELLA MOLA =";Dwm0</t>
  </si>
  <si>
    <t>32230     ENTER 2;A$</t>
  </si>
  <si>
    <t>32240     IF Elic THEN</t>
  </si>
  <si>
    <t>32250                DISP "ANGOLI di ROTOLAMENTO :";Apwmnmh$;Apwmnmt$;" * ";Apkwmnmh$;Apkwmnmt$</t>
  </si>
  <si>
    <t>32260     ELSE</t>
  </si>
  <si>
    <t>32270     DISP "===&gt;&gt;&gt; ANGOLI di ROTOLAMENTO :";" # ";Apwmnmt$;" # ";Apkwmnmt$</t>
  </si>
  <si>
    <t>32280     END IF</t>
  </si>
  <si>
    <t>32320    ELSE</t>
  </si>
  <si>
    <t>32340    LINPUT " Vuoi visualizzare i DATI della Mola ? [NO/CONTINUA]",Vuoi$</t>
  </si>
  <si>
    <t>32360    IF LEN(Vuoi$) THEN</t>
  </si>
  <si>
    <t>32380       Vuoi=1</t>
  </si>
  <si>
    <t>32390       Vedi=1</t>
  </si>
  <si>
    <t>32410       IF Vedi THEN GOTO Vediamo1</t>
  </si>
  <si>
    <t>32420  Vedi=0</t>
  </si>
  <si>
    <t>32440       Ang=Apwmnmt</t>
  </si>
  <si>
    <t>32450       CALL Rad_gms(Ang,G,Mi,S)</t>
  </si>
  <si>
    <t>32460       Apwmnmt$=VAL$(G)&amp;"°"&amp;VAL$(Mi)&amp;"'"</t>
  </si>
  <si>
    <t>32480       Ang=Apkwmnmt</t>
  </si>
  <si>
    <t>32490       CALL Rad_gms(Ang,G,Mi,S)</t>
  </si>
  <si>
    <t>32500       Apkwmnmt$=VAL$(G)&amp;"°"&amp;VAL$(Mi)&amp;"'"</t>
  </si>
  <si>
    <t>32520       IF Elic THEN</t>
  </si>
  <si>
    <t>32530                  Ang=Apwmnmh</t>
  </si>
  <si>
    <t>32540                  CALL Rad_gms(Ang,G,Mi,S)</t>
  </si>
  <si>
    <t>32550                  Apwmnmh$=VAL$(G)&amp;"°"&amp;VAL$(Mi)&amp;"'"</t>
  </si>
  <si>
    <t>32570                  Ang=Apkwmnmh</t>
  </si>
  <si>
    <t>32580                  CALL Rad_gms(Ang,G,Mi,S)</t>
  </si>
  <si>
    <t>32590                  Apkwmnmh$=VAL$(G)&amp;"°"&amp;VAL$(Mi)&amp;"'"</t>
  </si>
  <si>
    <t>32600       END IF</t>
  </si>
  <si>
    <t>32640     DISP USING "K,6D.2D";"DIAMETRO DI GENERAZIONE DELLA MOLA =";Dwm0</t>
  </si>
  <si>
    <t>32660     ENTER 2;A$</t>
  </si>
  <si>
    <t>32680     IF Elic THEN</t>
  </si>
  <si>
    <t>32690                DISP "ANGOLI di ROTOLAMENTO :";Apwmnmh$;Apwmnmt$;" * ";Apkwmnmh$;Apkwmnmt$</t>
  </si>
  <si>
    <t>32700     ELSE</t>
  </si>
  <si>
    <t>32720     DISP "===&gt;&gt;&gt; ANGOLI di ROTOLAMENTO :";" # ";Apwmnmt$;" # ";Apkwmnmt$</t>
  </si>
  <si>
    <t>32740     END IF</t>
  </si>
  <si>
    <t>32780     ELSE</t>
  </si>
  <si>
    <t>32800     GOTO Gogo</t>
  </si>
  <si>
    <t>32820 END IF</t>
  </si>
  <si>
    <t>32830 END IF</t>
  </si>
  <si>
    <t xml:space="preserve">32840               !   </t>
  </si>
  <si>
    <t>32870     ON KEY 5 LABEL "CORREZIONI" GOTO Intr_spoglie</t>
  </si>
  <si>
    <t>32880     ON KEY 8 LABEL "PROSECUZIONE" GOTO Dv0</t>
  </si>
  <si>
    <t>32980 Dv0i2=Da0+Df1</t>
  </si>
  <si>
    <t>32990 Mrdv0=Dv0i2/(Z1+Z0)</t>
  </si>
  <si>
    <t>33000 Drdv0=Mrdv0*Z1</t>
  </si>
  <si>
    <t>33010 Alfa_tdv0=ACS(Db1/Drdv0)</t>
  </si>
  <si>
    <t>33020 Db0tdv0=Mt*Z0*COS(Apt)</t>
  </si>
  <si>
    <t>33030 Ruota_accopp=((SQR((Da1^2-Db1^2)))-(Dv0i2*SIN(Alfa_tdv0)))^2</t>
  </si>
  <si>
    <t>33040 D_iew=SQR((Ruota_accopp+Db0tdv0^2))</t>
  </si>
  <si>
    <t>33050 Aelbasev0=(ATN((TAN(Ael)*COS(Apt))))*180/PI</t>
  </si>
  <si>
    <t>33150 OFF KEY</t>
  </si>
  <si>
    <t>33170 Pass=0</t>
  </si>
  <si>
    <t>33180     Dv0=Mt*Z0+2*X0*Mn</t>
  </si>
  <si>
    <t>33190                          INPUT " DV0 ? ",Dv0x</t>
  </si>
  <si>
    <t>33200                          IF Dv0x THEN Dv0=Dv0x</t>
  </si>
  <si>
    <t>33210     Apvt=ACS(Db0/Dv0)</t>
  </si>
  <si>
    <t>33220     Inv_apvt=TAN(Apvt)-Apvt</t>
  </si>
  <si>
    <t>33230     Aelv=ATN(TAN(Ael)*Dv0/(Mt*Z0))</t>
  </si>
  <si>
    <t>33260     IF Pass=1 THEN</t>
  </si>
  <si>
    <t>33280     Scv0=Dv0*((St0/(Mt*Z0))+Inv_apt-Inv_apvt)</t>
  </si>
  <si>
    <t>33300     Addcv0=(Da0-Dv0)/2</t>
  </si>
  <si>
    <t>33320     END IF</t>
  </si>
  <si>
    <t>33360     B_reset$=""</t>
  </si>
  <si>
    <t>33380     IF Elic THEN</t>
  </si>
  <si>
    <t>33700                DISP "ATTENZIONE -- Se la scelta precedente è stata Cl AA + RIV il base è stato corretto in automatico !"</t>
  </si>
  <si>
    <t>33750                LINPUT " VUOI VARIARE I DIAMETRI BASE ?  [NO/CONTINUE]",B_reset$</t>
  </si>
  <si>
    <t>33780     IF LEN(B_reset$) THEN</t>
  </si>
  <si>
    <t>33790                         INPUT "DIGIT. NEW  DBASE FIANCO ALTO H ?",Db0h</t>
  </si>
  <si>
    <t>33800                         INPUT "DIGIT. NEW  DBASE FIANCO BASSO T ?",Db0t</t>
  </si>
  <si>
    <t>33810     ELSE</t>
  </si>
  <si>
    <t>33820                         GOTO 33960</t>
  </si>
  <si>
    <t>33830      END IF</t>
  </si>
  <si>
    <t>33840                ELSE</t>
  </si>
  <si>
    <t>33860                LINPUT "VUOI VARIARE IL DIAMETRO BASE ?  [NO/CONTINUE]",B_reset$</t>
  </si>
  <si>
    <t>33880    IF LEN(B_reset$) THEN</t>
  </si>
  <si>
    <t>33890                        INPUT "DIGIT. IL NEW DIAMETRO BASE ?",Db0t</t>
  </si>
  <si>
    <t>33900                        Db0h=Db0t</t>
  </si>
  <si>
    <t>33910    ELSE</t>
  </si>
  <si>
    <t>33920                        GOTO 33960</t>
  </si>
  <si>
    <t>33930    END IF</t>
  </si>
  <si>
    <t>33940    END IF</t>
  </si>
  <si>
    <t>33980        Psvt0=St0/(Mt*Z0)+Inv_apt-Inv_apvt</t>
  </si>
  <si>
    <t>33990        S_vn0=(Dv0*SIN(Psvt0*((COS(Aelv))^3)))/((COS(Aelv)^2))</t>
  </si>
  <si>
    <t>34000        H_vn0=(Da0-Dv0)/2+.25*Dv0*(Psvt0^2)*COS(Aelv)^4</t>
  </si>
  <si>
    <t>34040     K=Z0/PI*(TAN(Apvt)-2*X0/Z0*TAN(Apn)-Inv_apt)+.5</t>
  </si>
  <si>
    <t>34050        IF INT(K)&gt;=10 THEN</t>
  </si>
  <si>
    <t>34060                          K=DROUND(K,2)</t>
  </si>
  <si>
    <t>34070        ELSE</t>
  </si>
  <si>
    <t>34080                          K=DROUND(K,1)</t>
  </si>
  <si>
    <t>34090             IF K&lt;1 THEN K=1</t>
  </si>
  <si>
    <t>34100        END IF</t>
  </si>
  <si>
    <t>34110     W0=(Mt*(Z0*Inv_apt+(K-1)*PI)+St0)*COS(Apt)</t>
  </si>
  <si>
    <t>34120     Pbt=Mt*PI*COS(Apt)</t>
  </si>
  <si>
    <t>34160        Ys=Ys+2</t>
  </si>
  <si>
    <t>34170                PRINT TABXY(50,Ys);</t>
  </si>
  <si>
    <t>34180    IF Elic THEN</t>
  </si>
  <si>
    <t>34190                PRINT "Scn =";</t>
  </si>
  <si>
    <t>34200            ELSE</t>
  </si>
  <si>
    <t>34210                PRINT "Sc =";</t>
  </si>
  <si>
    <t>34220     END IF</t>
  </si>
  <si>
    <t>34240                PRINT USING "DDD.DDD";S_vn0</t>
  </si>
  <si>
    <t>34250                PRINT TABXY(68,Ys);</t>
  </si>
  <si>
    <t>34270    IF Elic THEN</t>
  </si>
  <si>
    <t>34280                PRINT "hcn =";</t>
  </si>
  <si>
    <t>34290            ELSE</t>
  </si>
  <si>
    <t>34300                PRINT "hc =";</t>
  </si>
  <si>
    <t>34310    END IF</t>
  </si>
  <si>
    <t>34320                PRINT USING "DD.DDD";H_vn0</t>
  </si>
  <si>
    <t>34330 IF NOT Elic THEN</t>
  </si>
  <si>
    <t>34340                PRINT TABXY(1,Ys);"W0 =";</t>
  </si>
  <si>
    <t>34350                PRINT USING "6D.DDDD";W0</t>
  </si>
  <si>
    <t>34360                PRINT TABXY(15.5,Ys);</t>
  </si>
  <si>
    <t>34370                PRINT USING "K,5D,K";" SU ";K;" Denti"</t>
  </si>
  <si>
    <t>34380                PRINT TABXY(29,Ys);"Passo base =";</t>
  </si>
  <si>
    <t>34390                PRINT USING "DDDDD.DDD";Pbt</t>
  </si>
  <si>
    <t>34400 END IF</t>
  </si>
  <si>
    <t>34420     IF Pass=1 THEN</t>
  </si>
  <si>
    <t>34430     Ysg=Ys+6</t>
  </si>
  <si>
    <t>34440                           PRINT TABXY(50,Ysg);"SCV0=";</t>
  </si>
  <si>
    <t>34450                           PRINT USING "DDDDD.DDD";Scv0</t>
  </si>
  <si>
    <t>34470                           PRINT TABXY(68,Ysg);"AddCV0=";</t>
  </si>
  <si>
    <t>34480                           PRINT USING "DDDDD.DDD";Addcv0</t>
  </si>
  <si>
    <t>34500                           PRINT TABXY(26,Ysg);"    DV0=     ";</t>
  </si>
  <si>
    <t>34510                           PRINT USING "DDDDD.DDD";Dv0</t>
  </si>
  <si>
    <t>34530                           Retdv0=0</t>
  </si>
  <si>
    <t>34550    INPUT "PROSEGUIAMO ? [NO/RETURN in DV0]",Retdv0</t>
  </si>
  <si>
    <t>34560    IF Retdv0=0 THEN</t>
  </si>
  <si>
    <t>34570                   GOTO 33190</t>
  </si>
  <si>
    <t>34580    ELSE</t>
  </si>
  <si>
    <t>34590                   GOTO 34630</t>
  </si>
  <si>
    <t>34600    END IF</t>
  </si>
  <si>
    <t>34610    END IF</t>
  </si>
  <si>
    <t>34630 IF Dk1 THEN</t>
  </si>
  <si>
    <t>34640        IF NOT Elic THEN</t>
  </si>
  <si>
    <t>34680        R_t=3</t>
  </si>
  <si>
    <t>34690        A=Da0-Da1+Df1</t>
  </si>
  <si>
    <t>34700        B=A+1.5*Mt</t>
  </si>
  <si>
    <t>34720 CALL Bisect(A,B,Root,Da0,Da1,Df1,Eaat1,Psat0,Db0,Apna0,Apnf1,Psbt0,Pskbt0,Dkb0,Psbt0,Gm,Ra0,Mwt,Solz(*),Db0,Z0,Z1,R_t)</t>
  </si>
  <si>
    <t>34730        Dk0=Root</t>
  </si>
  <si>
    <t>34740        R_t=0</t>
  </si>
  <si>
    <t>34750        Hk0=(Da0-Dk0)/2</t>
  </si>
  <si>
    <t>34780         PRINT TABXY(27,5);"DIAM.ATT.BIS.=";</t>
  </si>
  <si>
    <t>34790         PRINT USING Fmt_diam;Dk0</t>
  </si>
  <si>
    <t>34810        ELSE</t>
  </si>
  <si>
    <t>34830           Zn0=Z0/(COS(Ael)^3)</t>
  </si>
  <si>
    <t>34840           Psbn0=St0/(Mt*Z0)*(COS(Ael)^3)+TAN(Apn)-Apn</t>
  </si>
  <si>
    <t>34850           Dbn0=Mn*Zn0*COS(Apn)</t>
  </si>
  <si>
    <t>34860           Dan0=Mn*Zn0+Da0-Mt*Z0</t>
  </si>
  <si>
    <t>34870           Dfk0=Da0-Da1+Df1</t>
  </si>
  <si>
    <t>34880           Dfkn0=Dan0-Da1+Df1</t>
  </si>
  <si>
    <t>34890           Dkbn0=Mn*Zn0*COS(Apkn)</t>
  </si>
  <si>
    <t>34900           Inv_apkfk0=TAN(ACS(Dkb0/Dfk0))-ACS(Dkb0/Dfk0)</t>
  </si>
  <si>
    <t>34910           Inv_apkfkn0=TAN(ACS(Dkbn0/Dfkn0))-ACS(Dkbn0/Dfkn0)</t>
  </si>
  <si>
    <t>34920           Pskfkn0=Dfk0*(Pskbt0-Inv_apkfk0)*COS(Ael)/Dfkn0</t>
  </si>
  <si>
    <t>34930           Pskbn0=Pskfkn0+Inv_apkfkn0</t>
  </si>
  <si>
    <t>34950        R_t=3</t>
  </si>
  <si>
    <t>34960        A=Dan0-Da1+Df1</t>
  </si>
  <si>
    <t>34970        B=A+Mt</t>
  </si>
  <si>
    <t>34990 CALL Bisect(A,B,Root,Da0,Da1,Df1,Eaat1,Psat0,Db0,Apna0,Apnf1,Psbt0,Pskbn0,Dkbn0,Psbn0,Gm,Ra0,Mwt,Solz(*),Dbn0,Z0,Z1,R_t)</t>
  </si>
  <si>
    <t>35000        Dkn0=Root</t>
  </si>
  <si>
    <t>35010        R_t=0</t>
  </si>
  <si>
    <t>35020        Hk0=(Dan0-Dkn0)/2</t>
  </si>
  <si>
    <t>35040        END IF</t>
  </si>
  <si>
    <t>35050 END IF</t>
  </si>
  <si>
    <t>35070 IF Elic THEN</t>
  </si>
  <si>
    <t>35090                                        Dkc0=Da0-(Dan0-Dkn0)</t>
  </si>
  <si>
    <t>35100                                            DISP Dkc0</t>
  </si>
  <si>
    <t>35130   Ys=Ys+2</t>
  </si>
  <si>
    <t>35140           PRINT TABXY(1,Ys);"Passo elica =";</t>
  </si>
  <si>
    <t>35150           PRINT USING "9D.3D";Pz0</t>
  </si>
  <si>
    <t>35160           PRINT TABXY(27,Ys);"Passo elica F.A.=";</t>
  </si>
  <si>
    <t>35170           PRINT USING "9D.3D";Pz0_h</t>
  </si>
  <si>
    <t>35180           PRINT TABXY(54,Ys);"Passo elica F.B.=";</t>
  </si>
  <si>
    <t>35190           PRINT USING "9D.3D";Pz0_t</t>
  </si>
  <si>
    <t>35210 END IF</t>
  </si>
  <si>
    <t>35260         Aelwm=ATN(Dwm0/(Mt*Z0)*TAN(Ael))</t>
  </si>
  <si>
    <t>35270         Swmn0=Swmt0*COS(Aelwm)</t>
  </si>
  <si>
    <t>35280         Zeta_wm_h=Aelwm-ATN(Dwm0/(Mt*Z0)*TAN(Ael-Zeta_h))</t>
  </si>
  <si>
    <t>35290         Zeta_wm_t=ATN(Dwm0/(Mt*Z0)*TAN(Ael+Zeta_t))-Aelwm</t>
  </si>
  <si>
    <t>35310 IF Dk1 THEN</t>
  </si>
  <si>
    <t>35330         Skwmn0=Skwmt0*COS(Aelwm)</t>
  </si>
  <si>
    <t>35340         Zeta_k_b=ATN(Zeta_kb_f/2)</t>
  </si>
  <si>
    <t>35350         Aelkb=ATN(TAN(Ael)*COS(Apkt))</t>
  </si>
  <si>
    <t>35360 Zeta_kwm_t=ATN(TAN(Aelkb+Zeta_k_b)/COS(Apkwtm))-ATN(TAN(Aelkb)/COS(Apkwtm))</t>
  </si>
  <si>
    <t>35370 Zeta_kwm_h=ATN(TAN(Aelkb)/COS(Apkwtm))-ATN(TAN(Aelkb-Zeta_k_b)/COS(Apkwtm))</t>
  </si>
  <si>
    <t>35380         Zeta_k_t=ATN(TAN(Aelkb+Zeta_k_b)/COS(Apkt))-Ael</t>
  </si>
  <si>
    <t>35390         Zeta_k_h=Ael-ATN(TAN(Aelkb-Zeta_k_b)/COS(Apkt))</t>
  </si>
  <si>
    <t>35410 Apkt0h=ATN(((TAN(Apkn)/COS(Ael-Tau)+TAN(Eta)*(TAN(Ael-Tau)-TAN(Ael-Tau-Zeta_k_h)))*COS(Ael-Tau-Zeta_k_h)/COS(Ael-Zeta_k_h)))</t>
  </si>
  <si>
    <t>35430 Apkt0t=ATN(((TAN(Apkn)/COS(Ael-Tau)+TAN(Eta)*(TAN(Ael+Zeta_k_t-Tau)-TAN(Ael-Tau)))*COS(Ael+Zeta_k_t-Tau)/COS(Ael+Zeta_k_t)))</t>
  </si>
  <si>
    <t>35450         Dkb0h=Mt*Z0*COS(Apkt0h)</t>
  </si>
  <si>
    <t>35460         Dkb0t=Mt*Z0*COS(Apkt0t)</t>
  </si>
  <si>
    <t>35480         Sep_kwm0t=(Swmn0+Skwmn0)/(2*COS(Aelwm-Tau))*COS(Aelwm+Zeta_kwm_t-Tau)/COS(Aelwm+Zeta_kwm_t)-Swmt0/2</t>
  </si>
  <si>
    <t>35490         Sep_kwm0h=Swmt0/2-(Swmn0-Skwmn0)/(2*COS(Aelwm-Tau))*COS(Aelwm-Tau-Zeta_kwm_h)/COS(-Aelwm+Zeta_kwm_h)</t>
  </si>
  <si>
    <t>35510         Apkwmt0h=ACS(Dkb0h/Dwm0)</t>
  </si>
  <si>
    <t>35520         Apkwmt0t=ACS(Dkb0t/Dwm0)</t>
  </si>
  <si>
    <t>35540         Inv_apkwmt0h=TAN(Apkwmt0h)-Apkwmt0h</t>
  </si>
  <si>
    <t>35550         Inv_apkwmt0t=TAN(Apkwmt0t)-Apkwmt0t</t>
  </si>
  <si>
    <t>35570         Psep_kb0h=(2*Sep_kwm0h)/Dwm0+Inv_apkwmt0h</t>
  </si>
  <si>
    <t>35580         Psep_kb0t=(2*Sep_kwm0t)/Dwm0+Inv_apkwmt0t</t>
  </si>
  <si>
    <t>35600         Sep_kwmt=Sep_kwm0t</t>
  </si>
  <si>
    <t>35610         Sep_kwmh=Sep_kwm0h</t>
  </si>
  <si>
    <t>35630 END IF</t>
  </si>
  <si>
    <t>35650         Sep_wm0t=Swmn0/COS(Aelwm-Tau)*COS(Aelwm+Zeta_wm_t-Tau)/COS(Aelwm+Zeta_wm_t)-Swmt0/2</t>
  </si>
  <si>
    <t>35660         Sep_wm0h=Swmt0/2</t>
  </si>
  <si>
    <t>35680         Apwmt0h=ACS(Db0h/Dwm0)</t>
  </si>
  <si>
    <t>35690         Apwmt0t=ACS(Db0t/Dwm0)</t>
  </si>
  <si>
    <t>35710         Inv_apwmt0h=TAN(Apwmt0h)-Apwmt0h</t>
  </si>
  <si>
    <t>35720         Inv_apwmt0t=TAN(Apwmt0t)-Apwmt0t</t>
  </si>
  <si>
    <t>35740         Psep_b0h=(2*Sep_wm0h)/Dwm0+Inv_apwmt0h</t>
  </si>
  <si>
    <t>35750         Psep_b0t=(2*Sep_wm0t)/Dwm0+Inv_apwmt0t</t>
  </si>
  <si>
    <t>35770         Sep_wmt=Sep_wm0t</t>
  </si>
  <si>
    <t>35780         Sep_wmh=Sep_wm0h</t>
  </si>
  <si>
    <t>35800         IF Vedi THEN GOTO Vediamo</t>
  </si>
  <si>
    <t>35810 IF Dk1 THEN</t>
  </si>
  <si>
    <t>35830 INTEGER Stop_df0</t>
  </si>
  <si>
    <t>35870                 R_t=7</t>
  </si>
  <si>
    <t>35880                 A=Dkb0h</t>
  </si>
  <si>
    <t>35890                 B=Da0-Da1+Df1</t>
  </si>
  <si>
    <t>35910 CALL Bisect(A,B,Root,Da0,Da1,Df1,Eaat1,Psat0,Db0,Apna0,Apnf1,Psbt0,Pskbt1_max,Dkb1,Psbt1,Gm,Ra0,Mwt,Solz(*),Db1,Z0,Z1,R_t)</t>
  </si>
  <si>
    <t>35930              IF ABS(Df0-Root)&gt;.05 THEN</t>
  </si>
  <si>
    <t>35940                                            Stop_df0=0</t>
  </si>
  <si>
    <t>35950              ELSE</t>
  </si>
  <si>
    <t>35960                                            Stop_df0=1</t>
  </si>
  <si>
    <t>35970              END IF</t>
  </si>
  <si>
    <t>35980                         Df0=Root</t>
  </si>
  <si>
    <t>35990                         R_t=0</t>
  </si>
  <si>
    <t>36030                    IF Elic THEN</t>
  </si>
  <si>
    <t>36040                                J=5</t>
  </si>
  <si>
    <t>36050                    ELSE</t>
  </si>
  <si>
    <t>36060                                J=7</t>
  </si>
  <si>
    <t>36070                    END IF</t>
  </si>
  <si>
    <t>36090                        PRINT TABXY(27,J);"DF0_CUSP.=";</t>
  </si>
  <si>
    <t>36100                        PRINT USING Fmt_diam;Df0</t>
  </si>
  <si>
    <t>36110 END IF</t>
  </si>
  <si>
    <t>36130         IF Elic THEN</t>
  </si>
  <si>
    <t>36170         H_tau=(Dwm0*PI/Z0-Swmt0)/2*COS(Aelwm)/COS(Aelwm-Tau)*SIN(Tau)</t>
  </si>
  <si>
    <t>36180         H_eta=(Dwm0-Df0)/2*TAN(ATN(TAN(Eta)*COS(Tau)))</t>
  </si>
  <si>
    <t>36190         H_tau_eta=H_tau-H_eta</t>
  </si>
  <si>
    <t>36230         Sep_wm0h=Sep_wmh+H_tau_eta*(TAN(Aelwm)-TAN(Aelwm-Zeta_wm_h))</t>
  </si>
  <si>
    <t>36240         Sep_wm0t=Sep_wmt+H_tau_eta*(TAN(Aelwm+Zeta_wm_t)-TAN(Aelwm))</t>
  </si>
  <si>
    <t>36260         Psep_b0h=(2*Sep_wm0h)/Dwm0+Inv_apwmt0h</t>
  </si>
  <si>
    <t>36270         Psep_b0t=(2*Sep_wm0t)/Dwm0+Inv_apwmt0t</t>
  </si>
  <si>
    <t>36290    IF Dk1 THEN</t>
  </si>
  <si>
    <t>36300         Sep_kwm0h=Sep_kwmh+H_tau_eta*(TAN(Aelwm)-TAN(Aelwm-Zeta_kwm_h))</t>
  </si>
  <si>
    <t>36310         Sep_kwm0t=Sep_kwmt+H_tau_eta*(TAN(Aelwm+Zeta_kwm_t)-TAN(Aelwm))</t>
  </si>
  <si>
    <t>36330         Psep_kb0h=(2*Sep_kwm0h)/Dwm0+Inv_apkwmt0h</t>
  </si>
  <si>
    <t>36340         Psep_kb0t=(2*Sep_kwm0t)/Dwm0+Inv_apkwmt0t</t>
  </si>
  <si>
    <t>36360         IF NOT Stop_df0 THEN GOTO Df0_cuspide</t>
  </si>
  <si>
    <t>36380    END IF</t>
  </si>
  <si>
    <t>36400         END IF</t>
  </si>
  <si>
    <t>36440         Aela0=ATN(Da0/(Mt*Z0)*TAN(Ael))</t>
  </si>
  <si>
    <t>36450         Teta_n=ATN(TAN(Teta)*COS(Aela0))</t>
  </si>
  <si>
    <t>36460    Da0_ep=Da0+(Da0*PI*SIN(Tau)/(Z0*COS(Aela0-Tau))-(Da0-Df0)*TAN(Eta)/COS(Teta_n))*COS(Aela0)*SIN(Teta)</t>
  </si>
  <si>
    <t>36520           Aelwm_eff=Aelwm+(Zeta_wm_t-Zeta_wm_h)/2</t>
  </si>
  <si>
    <t>36530           Aelwm0=ATN(TAN(Aelwm)*COS(Teta))</t>
  </si>
  <si>
    <t>36540           Aelwm0_eff=ATN(TAN(Aelwm_eff)*COS(Teta))</t>
  </si>
  <si>
    <t>36560     Swmnm_t=(Dwm0*PI/(2*Z0)-Sep_wm0t)*COS(Aelwm0)</t>
  </si>
  <si>
    <t>36570     Swmnm_h=(Dwm0*PI/(2*Z0)-Sep_wm0h)*COS(Aelwm0)</t>
  </si>
  <si>
    <t>36580 IF Dk1 THEN</t>
  </si>
  <si>
    <t>36590     Skwmnm_t=(Dwm0*PI/(2*Z0)-Sep_kwm0t)*COS(Aelwm0)</t>
  </si>
  <si>
    <t>36600     Skwmnm_h=(Dwm0*PI/(2*Z0)-Sep_kwm0h)*COS(Aelwm0)</t>
  </si>
  <si>
    <t>36610 END IF</t>
  </si>
  <si>
    <t>36630     Apwmnmt=ATN(TAN(Apwmt0t)*COS(Aelwm0)/COS(Teta)+SIN(Aelwm0)*TAN(Teta))</t>
  </si>
  <si>
    <t>36640     Apwmnmh=ATN(TAN(Apwmt0h)*COS(Aelwm0)/COS(Teta)-SIN(Aelwm0)*TAN(Teta))</t>
  </si>
  <si>
    <t>36650 IF Dk1 THEN</t>
  </si>
  <si>
    <t>36660    Apkwmnmt=ATN(TAN(Apkwmt0t)*COS(Aelwm0)/COS(Teta)+SIN(Aelwm0)*TAN(Teta))</t>
  </si>
  <si>
    <t>36670    Apkwmnmh=ATN(TAN(Apkwmt0h)*COS(Aelwm0)/COS(Teta)-SIN(Aelwm0)*TAN(Teta))</t>
  </si>
  <si>
    <t>36680 END IF</t>
  </si>
  <si>
    <t>36700    IF Vedi THEN GOTO Visto</t>
  </si>
  <si>
    <t>36740    IF Prtz THEN</t>
  </si>
  <si>
    <t>36760    H_pzepm_t=Da0_ep-Db0t*COS(Apwmt0t)-SIN(Apwmt0t)*SQR(Dna0_prtz^2-Db0t^2)</t>
  </si>
  <si>
    <t>36770    H_pzepm_h=Da0_ep-Db0h*COS(Apwmt0h)-SIN(Apwmt0h)*SQR(Dna0_prtz^2-Db0h^2)</t>
  </si>
  <si>
    <t>36790    END IF</t>
  </si>
  <si>
    <t>36820          IF Ra0 THEN</t>
  </si>
  <si>
    <t>36830                     Da0_ept=Da0_ep+San0*SIN(Tau)*TAN(Teta)</t>
  </si>
  <si>
    <t>36840                     Da0_epx=Da0_ept</t>
  </si>
  <si>
    <t>36850                     Db0x=Db0t</t>
  </si>
  <si>
    <t>36860                     Psbx=Psep_b0t</t>
  </si>
  <si>
    <t>36870               GOSUB Gamma_episc</t>
  </si>
  <si>
    <t>36880                     Gm_ept=Gm_ep</t>
  </si>
  <si>
    <t>36890                     Xep0t_max=Xep0</t>
  </si>
  <si>
    <t>36910                     Da0_eph=Da0_ep-San0*SIN(Tau)*TAN(Teta)</t>
  </si>
  <si>
    <t>36920                     Da0_epx=Da0_eph</t>
  </si>
  <si>
    <t>36930                     Db0x=Db0h</t>
  </si>
  <si>
    <t>36940                     Psbx=Psep_b0h</t>
  </si>
  <si>
    <t>36950               GOSUB Gamma_episc</t>
  </si>
  <si>
    <t>36960                     Gm_eph=Gm_ep</t>
  </si>
  <si>
    <t>36970                     Xep0h_max=Xep0</t>
  </si>
  <si>
    <t>36990               GOTO Intestazione</t>
  </si>
  <si>
    <t>37010          ELSE</t>
  </si>
  <si>
    <t>37030               GOTO Intestazione</t>
  </si>
  <si>
    <t>37050          END IF</t>
  </si>
  <si>
    <t>37090          Inv_apcep0=TAN(ACS(Db0x/(Da0_epx-2*Ra0)))-ACS(Db0x/(Da0_epx-2*Ra0))</t>
  </si>
  <si>
    <t>37100          Gm_ep=Psbx+2*(Prtz-Ra0)/Db0x-Inv_apcep0</t>
  </si>
  <si>
    <t>37110          Apnaep0=ATN(TAN(ACS(Db0x/(Da0_epx-2*Ra0)))+2*Ra0/Db0x)</t>
  </si>
  <si>
    <t>37120          Dnaep0=Db0x/COS(Apnaep0)</t>
  </si>
  <si>
    <t>37130         Xep0=ACS((Dnaep0^2-(Da0_epx-2*Ra0)^2-4*Ra0^2)/(4*Ra0*Da0_epx-8*Ra0^2))</t>
  </si>
  <si>
    <t>37150         RETURN</t>
  </si>
  <si>
    <t>37180               BEEP 2000,.5</t>
  </si>
  <si>
    <t>37190               ENTER 2;A$</t>
  </si>
  <si>
    <t>37210   OUTPUT 2;Clear$;</t>
  </si>
  <si>
    <t>37230 IF Dk1 OR Ra0 OR Vuoi THEN</t>
  </si>
  <si>
    <t>37270              PRINT TAB(Centro+7);</t>
  </si>
  <si>
    <t>37280              PRINT CHR$(129);"DATI DI PROFILATURA"</t>
  </si>
  <si>
    <t>37300              PRINT CHR$(133)</t>
  </si>
  <si>
    <t>37320   IF Elic THEN</t>
  </si>
  <si>
    <t>37340     PRINT TABXY(17,3);"FIANCO BASSO"</t>
  </si>
  <si>
    <t>37350     PRINT TABXY(48,3);"FIANCO ALTO "</t>
  </si>
  <si>
    <t>37370             PRINT CHR$(132)</t>
  </si>
  <si>
    <t>37390             Ang=Apwmnmt</t>
  </si>
  <si>
    <t>37400             CALL Rad_gms(Ang,G,Mi,S)</t>
  </si>
  <si>
    <t>37410             Apwmnmt$=VAL$(G)&amp;"°"&amp;VAL$(Mi)&amp;"'"</t>
  </si>
  <si>
    <t>37430             PRINT TABXY(15,5),"A.P.DENTE =";</t>
  </si>
  <si>
    <t>37440             PRINT USING "K";Apwmnmt$</t>
  </si>
  <si>
    <t>37460             Ang=Apwmnmh</t>
  </si>
  <si>
    <t>37470             CALL Rad_gms(Ang,G,Mi,S)</t>
  </si>
  <si>
    <t>37480             Apwmnmh$=VAL$(G)&amp;"°"&amp;VAL$(Mi)&amp;"'"</t>
  </si>
  <si>
    <t>37500             PRINT TABXY(46,5),"A.P.DENTE =";</t>
  </si>
  <si>
    <t>37510             PRINT USING "K";Apwmnmh$</t>
  </si>
  <si>
    <t>37530      IF Dk1 THEN</t>
  </si>
  <si>
    <t>37550             Ang=Apkwmnmt</t>
  </si>
  <si>
    <t>37560             CALL Rad_gms(Ang,G,Mi,S)</t>
  </si>
  <si>
    <t>37570             Apkwmnmt$=VAL$(G)&amp;"°"&amp;VAL$(Mi)&amp;"'"</t>
  </si>
  <si>
    <t>37590             PRINT TABXY(15,7),"A.P.BIS.=";</t>
  </si>
  <si>
    <t>37600             PRINT USING "K";Apkwmnmt$</t>
  </si>
  <si>
    <t>37620             Ang=Apkwmnmh</t>
  </si>
  <si>
    <t>37630             CALL Rad_gms(Ang,G,Mi,S)</t>
  </si>
  <si>
    <t>37640             Apkwmnmh$=VAL$(G)&amp;"°"&amp;VAL$(Mi)&amp;"'"</t>
  </si>
  <si>
    <t>37660             PRINT TABXY(46,7),"A.P.BIS.=";</t>
  </si>
  <si>
    <t>37670             PRINT USING "K";Apkwmnmh$</t>
  </si>
  <si>
    <t>37690      END IF</t>
  </si>
  <si>
    <t>37700             Ang=Aelwm0_eff</t>
  </si>
  <si>
    <t>37710             CALL Rad_gms(Ang,G,Mi,S)</t>
  </si>
  <si>
    <t>37720             Aelwm0$=VAL$(G)&amp;"°"&amp;VAL$(Mi)&amp;"'"</t>
  </si>
  <si>
    <t>37740             PRINT TABXY(15,9),"ANG.ELICA =";</t>
  </si>
  <si>
    <t>37750             PRINT USING "K";Aelwm0$</t>
  </si>
  <si>
    <t>37770             PRINT TABXY(46,9),"DIAM.ROTOL.=";</t>
  </si>
  <si>
    <t>37780             PRINT USING Fmt_diam;Dwm0</t>
  </si>
  <si>
    <t>37800   ELSE</t>
  </si>
  <si>
    <t>37810                        Ang=Apwmnmh</t>
  </si>
  <si>
    <t>37820                        CALL Rad_gms(Ang,G,Mi,S)</t>
  </si>
  <si>
    <t>37830                        Apwmnmh$=VAL$(G)&amp;"°"&amp;VAL$(Mi)&amp;"'"</t>
  </si>
  <si>
    <t>37850              IF Dk1 THEN</t>
  </si>
  <si>
    <t>37860                        Ang=Apkwmnmh</t>
  </si>
  <si>
    <t>37870                        CALL Rad_gms(Ang,G,Mi,S)</t>
  </si>
  <si>
    <t>37880                        Apkwmnmh$=VAL$(G)&amp;"°"&amp;VAL$(Mi)&amp;"'"</t>
  </si>
  <si>
    <t>37900                        PRINT TABXY(15,3),"A.P.DENTE =";</t>
  </si>
  <si>
    <t>37910                        PRINT USING "K";Apwmnmh$</t>
  </si>
  <si>
    <t>37920                        PRINT TABXY(46,3),"A.P.BIS.=";</t>
  </si>
  <si>
    <t>37930                        PRINT USING "K";Apkwmnmh$</t>
  </si>
  <si>
    <t>37950              ELSE</t>
  </si>
  <si>
    <t>37960                        PRINT TABXY(30,3),"A.P.DENTE =";</t>
  </si>
  <si>
    <t>37970                        PRINT USING "K";Apwmnmh$</t>
  </si>
  <si>
    <t>37980              END IF</t>
  </si>
  <si>
    <t>38000                        PRINT TABXY(30,5),"DIAM.ROTOL.=";</t>
  </si>
  <si>
    <t>38010                        PRINT USING Fmt_diam;Dwm0</t>
  </si>
  <si>
    <t>38030   END IF</t>
  </si>
  <si>
    <t>38040   ENTER 2;A$</t>
  </si>
  <si>
    <t>38050 END IF</t>
  </si>
  <si>
    <t>38070  Vuoi$=""</t>
  </si>
  <si>
    <t>38080  Vuoi=0</t>
  </si>
  <si>
    <t>38100              OUTPUT 2;Clear$;</t>
  </si>
  <si>
    <t>38140   Dx_inesistente=0              ! /</t>
  </si>
  <si>
    <t>38150    Inesistente=0              !  &gt; azzeramento dei FLAG di COLLAUDO</t>
  </si>
  <si>
    <t>38160   Sx_inesistente=0              ! /</t>
  </si>
  <si>
    <t>38190    L_ut=(Dna1*SIN(Apnat1)-Dnf1_pr*SIN(Apnf1_pr))/2</t>
  </si>
  <si>
    <t>38230                 IF Db0h&gt;50 THEN</t>
  </si>
  <si>
    <t>38240                                F=100</t>
  </si>
  <si>
    <t>38250                            ELSE</t>
  </si>
  <si>
    <t>38260                                F=20</t>
  </si>
  <si>
    <t>38270                            END IF</t>
  </si>
  <si>
    <t>38280                                    Alfa_e_h=(ATN(F/Db0h))/PI*180</t>
  </si>
  <si>
    <t>38290                 IF Db0t&gt;50 THEN</t>
  </si>
  <si>
    <t>38300                                F=100</t>
  </si>
  <si>
    <t>38310                            ELSE</t>
  </si>
  <si>
    <t>38320                                F=20</t>
  </si>
  <si>
    <t>38330                            END IF</t>
  </si>
  <si>
    <t>38340                                    Alfa_e_t=(ATN(F/Db0t))/PI*180</t>
  </si>
  <si>
    <t>38360                 IF Elic THEN</t>
  </si>
  <si>
    <t>38370                             Aelb0h=(ATN((Db0h*PI)/Pz0_h))/PI*180</t>
  </si>
  <si>
    <t>38380                             Aelb0t=(ATN((Db0t*PI)/Pz0_t))/PI*180</t>
  </si>
  <si>
    <t>38390                         ELSE</t>
  </si>
  <si>
    <t>38400                             Aelb0h=(ATN(TAN(Zeta_h)*COS(Apt0h)))/PI*180</t>
  </si>
  <si>
    <t>38410                             Aelb0t=Aelb0h</t>
  </si>
  <si>
    <t>38420                         END IF</t>
  </si>
  <si>
    <t>38500   Db0h_m=0</t>
  </si>
  <si>
    <t>38510   Db0t_m=0</t>
  </si>
  <si>
    <t>38530    IF Elic THEN</t>
  </si>
  <si>
    <t>38550   PRINT TABXY(10,18),"DB0H = ";</t>
  </si>
  <si>
    <t>38560   PRINT USING "6D.DDD";Db0h</t>
  </si>
  <si>
    <t>38570   PRINT TABXY(50,18),"DB0T = ";</t>
  </si>
  <si>
    <t>38580   PRINT USING "6D.DDD";Db0t</t>
  </si>
  <si>
    <t>38630   OUTPUT 2;Clear$;</t>
  </si>
  <si>
    <t>38650   IF Db0h_m=0 THEN</t>
  </si>
  <si>
    <t>38660                    Db0h_m=Db0h</t>
  </si>
  <si>
    <t>38670                    Dx_inesistente=1</t>
  </si>
  <si>
    <t>38680                    Sx_inesistente=1</t>
  </si>
  <si>
    <t>38690                    END IF</t>
  </si>
  <si>
    <t>38710   IF Db0t_m=0 THEN</t>
  </si>
  <si>
    <t>38720                    Db0t_m=Db0t</t>
  </si>
  <si>
    <t>38730                    Dx_inesistente=1</t>
  </si>
  <si>
    <t>38740                    Sx_inesistente=1</t>
  </si>
  <si>
    <t>38750                    END IF</t>
  </si>
  <si>
    <t>38770   ELSE</t>
  </si>
  <si>
    <t>38790   PRINT TABXY(30,18),"DB0 = ";</t>
  </si>
  <si>
    <t>38800   PRINT USING "6D.DDD";Db0h</t>
  </si>
  <si>
    <t>38840   OUTPUT 2;Clear$;</t>
  </si>
  <si>
    <t>38860   IF Db0h_m=0 THEN</t>
  </si>
  <si>
    <t>38870                  Db0h_m=Db0h</t>
  </si>
  <si>
    <t>38880                  Inesistente=1</t>
  </si>
  <si>
    <t>38890    END IF</t>
  </si>
  <si>
    <t>38920   END IF</t>
  </si>
  <si>
    <t>38940                            Fha_h=L_ut*(Db0h-Db0h_m)/Db0h_m</t>
  </si>
  <si>
    <t>38960                 IF ABS(Fha_h)&gt;.05 THEN</t>
  </si>
  <si>
    <t>38970                                       Db0h_m=Db0h</t>
  </si>
  <si>
    <t>38980                                       Fha_h=0</t>
  </si>
  <si>
    <t>38990                 END IF</t>
  </si>
  <si>
    <t>39010         IF Elic THEN</t>
  </si>
  <si>
    <t>39020                            Fha_t=L_ut*(Db0t-Db0t_m)/Db0t_m</t>
  </si>
  <si>
    <t>39040                 IF ABS(Fha_t)&gt;.05 THEN</t>
  </si>
  <si>
    <t>39050                                       Db0t_m=Db0t</t>
  </si>
  <si>
    <t>39060                                       Fha_t=0</t>
  </si>
  <si>
    <t>39070                 END IF</t>
  </si>
  <si>
    <t>39090                  Aelb0h_m=ATN((Db0h_m*PI)/Pz0_h)</t>
  </si>
  <si>
    <t>39100                  Aelb0t_m=ATN((Db0t_m*PI)/Pz0_t)</t>
  </si>
  <si>
    <t>39130                                Ang=Aelb0h_m</t>
  </si>
  <si>
    <t>39140                                CALL Rad_gms(Ang,G,Mi,S)</t>
  </si>
  <si>
    <t>39150             Aelb0h_m$=VAL$(G)&amp;"°"&amp;VAL$(Mi)&amp;"'"&amp;VAL$(S)&amp;"''"</t>
  </si>
  <si>
    <t>39170                                Ang=Aelb0t_m</t>
  </si>
  <si>
    <t>39180                                CALL Rad_gms(Ang,G,Mi,S)</t>
  </si>
  <si>
    <t>39190            Aelb0t_m$=VAL$(G)&amp;"°"&amp;VAL$(Mi)&amp;"'"&amp;VAL$(S)&amp;"''"</t>
  </si>
  <si>
    <t>39200         ELSE</t>
  </si>
  <si>
    <t>39210                      Aelb0h_m=ATN(TAN(Zeta_h)*COS(Apt0h))</t>
  </si>
  <si>
    <t>39230                                Ang=Aelb0h_m</t>
  </si>
  <si>
    <t>39240                                CALL Rad_gms(Ang,G,Mi,S)</t>
  </si>
  <si>
    <t>39250                                Aelb0h_m$=VAL$(G)&amp;"°"&amp;VAL$(Mi)&amp;"'"</t>
  </si>
  <si>
    <t>39260         END IF</t>
  </si>
  <si>
    <t>39300         OUTPUT 2;Clear$;</t>
  </si>
  <si>
    <t>39320         PRINT CHR$(128)</t>
  </si>
  <si>
    <t>39330         PRINT TABXY(Centro+11,1);</t>
  </si>
  <si>
    <t>39340         PRINT CHR$(129);"DATI DI COLLAUDO"</t>
  </si>
  <si>
    <t>39360         PRINT TABXY(Centro+11,3);</t>
  </si>
  <si>
    <t>39370         PRINT CHR$(132);"L-UTILE =";</t>
  </si>
  <si>
    <t>39380         PRINT USING "4D.2D";L_ut</t>
  </si>
  <si>
    <t>39400         PRINT CHR$(133)</t>
  </si>
  <si>
    <t>39420   IF Elic THEN</t>
  </si>
  <si>
    <t>39430               PRINT TABXY(15,5);"FIANCO BASSO"</t>
  </si>
  <si>
    <t>39440               PRINT TABXY(56,5);"FIANCO ALTO"</t>
  </si>
  <si>
    <t>39450   END IF</t>
  </si>
  <si>
    <t>39470               PRINT CHR$(128)</t>
  </si>
  <si>
    <t>39480               PRINT TABXY(Centro+14,7);</t>
  </si>
  <si>
    <t>39490               PRINT CHR$(133);"MAAG PH 60"</t>
  </si>
  <si>
    <t>39510               PRINT CHR$(132)</t>
  </si>
  <si>
    <t>39530   IF Elic THEN</t>
  </si>
  <si>
    <t>39550         PRINT TABXY(1,9),"DB0-Contr.=";</t>
  </si>
  <si>
    <t>39560         PRINT USING "6D.3D";Db0t_m</t>
  </si>
  <si>
    <t>39580         PRINT TABXY(23,9),"Err.su L_UT=";</t>
  </si>
  <si>
    <t>39590         PRINT USING "S.3D";Fha_t</t>
  </si>
  <si>
    <t>39610         PRINT TABXY(43,9),"DB0-Contr.=";</t>
  </si>
  <si>
    <t>39620         PRINT USING "6D.3D";Db0h_m</t>
  </si>
  <si>
    <t>39640         PRINT TABXY(64,9),"Err.su L_UT=";</t>
  </si>
  <si>
    <t>39650         PRINT USING "S.3D";Fha_h</t>
  </si>
  <si>
    <t>39670         PRINT TABXY(13,11),"ANG.ELICA =";</t>
  </si>
  <si>
    <t>39680         PRINT USING "K";Aelb0t_m$</t>
  </si>
  <si>
    <t>39700         PRINT TABXY(54,11),"ANG.ELICA =";</t>
  </si>
  <si>
    <t>39710         PRINT USING "K";Aelb0h_m$</t>
  </si>
  <si>
    <t>39730   ELSE</t>
  </si>
  <si>
    <t>39740               PRINT TABXY(30,9);"DB0-Contr.=";</t>
  </si>
  <si>
    <t>39750               PRINT USING "6D.3D";Db0h_m</t>
  </si>
  <si>
    <t>39770               PRINT TABXY(60,9);"Err.su L_UT =";</t>
  </si>
  <si>
    <t>39780               PRINT USING "S.3D";Fha_h</t>
  </si>
  <si>
    <t>39800               PRINT TABXY(30,11);"SPOGLIA BASE =";</t>
  </si>
  <si>
    <t>39810               PRINT USING "K";Aelb0h_m$</t>
  </si>
  <si>
    <t>39830   END IF</t>
  </si>
  <si>
    <t>39840                         PRINT CHR$(133)</t>
  </si>
  <si>
    <t>39850                         PRINT TABXY(Centro+12,13);"KLING.PFSU 640"</t>
  </si>
  <si>
    <t>39860                         PRINT CHR$(132)</t>
  </si>
  <si>
    <t>39880   IF Elic THEN</t>
  </si>
  <si>
    <t>39900         PRINT TABXY(1,15),"DB0-Contr.=";</t>
  </si>
  <si>
    <t>39910         PRINT USING "6D.3D";Db0t</t>
  </si>
  <si>
    <t>39930         PRINT TABXY(23,15),"Alfa-e =";</t>
  </si>
  <si>
    <t>39940         PRINT USING "DD.4D";Alfa_e_t</t>
  </si>
  <si>
    <t>39960         PRINT TABXY(43,15);"DB0-Contr.=";</t>
  </si>
  <si>
    <t>39970         PRINT USING "6D.3D";Db0h</t>
  </si>
  <si>
    <t>39990         PRINT TABXY(64,15);"Alfa-e =";</t>
  </si>
  <si>
    <t>40000         PRINT USING "DD.4D";Alfa_e_h</t>
  </si>
  <si>
    <t>40020         PRINT TABXY(13,17);"ANG.ELICA =";</t>
  </si>
  <si>
    <t>40030         PRINT USING "DD.4D";Aelb0t</t>
  </si>
  <si>
    <t>40050         PRINT TABXY(54,17);"ANG.ELICA =";</t>
  </si>
  <si>
    <t>40060         PRINT USING "DD.4D";Aelb0h</t>
  </si>
  <si>
    <t>40080   ELSE</t>
  </si>
  <si>
    <t>40100                    PRINT TABXY(30,15);"DB0-Contr.=";</t>
  </si>
  <si>
    <t>40110                    PRINT USING "6D.3D";Db0h</t>
  </si>
  <si>
    <t>40130                    PRINT TABXY(60,15);"Alfa-e =";</t>
  </si>
  <si>
    <t>40140                    PRINT USING "DD.4D";Alfa_e_h</t>
  </si>
  <si>
    <t>40160                    PRINT TABXY(30,17);"SPOGLIA BASE =";</t>
  </si>
  <si>
    <t>40170                    PRINT USING "DD.4D";Aelb0h</t>
  </si>
  <si>
    <t>40190   END IF</t>
  </si>
  <si>
    <t>40210   ENTER 2;A$</t>
  </si>
  <si>
    <t>40230   OUTPUT 2;Clear$;</t>
  </si>
  <si>
    <t>40340        ON KEY 5 LABEL "STAMPA REPORT" GOTO Report</t>
  </si>
  <si>
    <t>40350        ON KEY 8 LABEL "PROSEGUI" GOTO Vai</t>
  </si>
  <si>
    <t>40680 Tipolog$="INTERNA"</t>
  </si>
  <si>
    <t>40690 PRINT USING "K,K,K";"**************** ";"DATI DENTATURA   ";Tipolog$;"     INTRODOTTI  **********************************************"</t>
  </si>
  <si>
    <t>40710 Tipolog$="ESTERNA"</t>
  </si>
  <si>
    <t>40720 PRINT USING "K,K,K";"**************** ";"DATI DENTATURA   ";Tipolog$;"     INTRODOTTI  **********************************************"</t>
  </si>
  <si>
    <t>40770 IF Elic THEN</t>
  </si>
  <si>
    <t>40790 PRINT USING "K,K,K,K";"SENSO ELICA DENTATURA    ===&gt;&gt;&gt; ",Sen_el$,"        Ang.ELICA primitiva ===&gt;&gt;&gt;  ",Ael$</t>
  </si>
  <si>
    <t>40810 END IF</t>
  </si>
  <si>
    <t>40820 IF LEN(Dp$) THEN</t>
  </si>
  <si>
    <t>40830 PRINT TABXY(Hg,Lg+1);"D.P.n=  ";Dp$</t>
  </si>
  <si>
    <t>40840 Lg=Lg+1</t>
  </si>
  <si>
    <t>40850 END IF</t>
  </si>
  <si>
    <t>40870 IF Elic THEN</t>
  </si>
  <si>
    <t>40880 PRINT USING "K,K,K,2D.5D";"MODULO Normale        ===&gt;&gt;&gt;  Mn= ";Mn$;"  MODULO Circonferenziale  ===&gt;&gt;&gt; Mt=",ABS(Mt)</t>
  </si>
  <si>
    <t>40890 ELSE</t>
  </si>
  <si>
    <t>40900 PRINT USING "K,K,K";"MODULO Normale              ===&gt;&gt;&gt;  Mn= ";Mn$</t>
  </si>
  <si>
    <t>40910 END IF</t>
  </si>
  <si>
    <t>40950 PRINT TABXY(Hg,Lg+1),"N°  DENTI                 ===&gt;&gt;&gt; Z2=";</t>
  </si>
  <si>
    <t>40960 PRINT USING "DDDDDD";Z1</t>
  </si>
  <si>
    <t>40970 PRINT USING "K,K,K,K";"Ang.press.norm.           ===&gt;&gt;&gt;   ";Apn$;"  Ang.press.Circonferenziale ===&gt;&gt;&gt;";Apt$</t>
  </si>
  <si>
    <t>41040 PRINT USING "K,5D.3D,K,5D.3D";"Diametro Primitivo        ===&gt;&gt;&gt; ",ABS(D1),"     Diametro Base      ===&gt;&gt;&gt; ",ABS(Db1)</t>
  </si>
  <si>
    <t>41090 PRINT USING "K,5D.3D,K,5D.3D";"Diametro di Testa         ===&gt;&gt;&gt; ",ABS(Da1),"     Diametro di Fondo  ===&gt;&gt;&gt;",ABS(Df1)</t>
  </si>
  <si>
    <t>41140 IF Dnf1 THEN</t>
  </si>
  <si>
    <t>41150 Rf1p=VAL(Rf1p$)</t>
  </si>
  <si>
    <t>41190 PRINT USING "K,5D.3D,K,5D.3D";"Diam.inizio evolvente     ===&gt;&gt;&gt; ",ABS(Dnf1),"   Raggio del raccordo  ===&gt;&gt;&gt; ";Rf1p</t>
  </si>
  <si>
    <t>41210 END IF</t>
  </si>
  <si>
    <t>41230 X1mnp=X1*Mn</t>
  </si>
  <si>
    <t>41240 PRINT TABXY(Hg,Lg+1),"Spostamento X2Mn          ===&gt;&gt;&gt; ";</t>
  </si>
  <si>
    <t>41250 PRINT USING "DDD.DDDDD";X1mnp</t>
  </si>
  <si>
    <t>41270 IF Rib THEN</t>
  </si>
  <si>
    <t>41280 PRINT TABXY(Hg,Lg+1),"ADDENDUM hap =     ";</t>
  </si>
  <si>
    <t>41290 PRINT USING "DDD.DDDD,K";X_hap;" Mn"</t>
  </si>
  <si>
    <t>41300 PRINT TABXY(Hg,Lg+1),"DEDENDUM hfp =     ";</t>
  </si>
  <si>
    <t>41310 PRINT USING "DDD.DDDD,K";X_hfp;" Mn"</t>
  </si>
  <si>
    <t>41320 PRINT TABXY(Hg,Lg+1),"Spostamento X2Mn =    ";</t>
  </si>
  <si>
    <t>41330 PRINT USING "DDD.DDDDD";X1mn</t>
  </si>
  <si>
    <t>41340 END IF</t>
  </si>
  <si>
    <t>41350 IF Dk1 THEN</t>
  </si>
  <si>
    <t>41360 PRINT "----------------------------------     SEMITOPPING     ----------------------------------------------------"</t>
  </si>
  <si>
    <t>41370 PRINT USING "K,5D.3D,K,K,K";"Diametro inizio Smusso ===&gt;&gt;&gt; ",ABS(Dk1)        !;"Ang.pr.norm.bis. ===&gt;&gt;&gt; ";Apkn$;"Ang.pr.circ.bis.===&gt;&gt;&gt; ";Apkt$</t>
  </si>
  <si>
    <t>41380 PRINT USING "K,K,K,K";"Ang.pr.norm.bis. ===&gt;&gt;&gt; ";Apkn$;"          Ang.pr.circ.bis.===&gt;&gt;&gt; ";Apktprt$</t>
  </si>
  <si>
    <t>41400 IF Int THEN</t>
  </si>
  <si>
    <t>41410 PRINT USING "K,6D.2D,K";"TROCOIDE - Diametro fine evolvente o inizio smusso ottenuto ===&gt;&gt;&gt;";ABS(Dna1_2);" valore TEORICO"</t>
  </si>
  <si>
    <t>41420 END IF</t>
  </si>
  <si>
    <t>41430 PRINT "---------------------------------------------------------------------------------------------------------------"</t>
  </si>
  <si>
    <t>41500 END IF</t>
  </si>
  <si>
    <t>41520 IF Mdk=1 THEN GOTO Md</t>
  </si>
  <si>
    <t>41530 IF W=1 THEN GOTO W</t>
  </si>
  <si>
    <t>41540 IF Sps=1 THEN GOTO Sp</t>
  </si>
  <si>
    <t>41560 IF LEN(K1$) THEN</t>
  </si>
  <si>
    <t>41570 PRINT TABXY(Hg,Lg+1),"Misura Cordale  W0               ===&gt;&gt;&gt;  ";</t>
  </si>
  <si>
    <t>41580 PRINT USING "4D.3D,X,K,DD";ABS(W1);K1$;ABS(K1)</t>
  </si>
  <si>
    <t>41590 GOSUB Prt_spt</t>
  </si>
  <si>
    <t>41600 END IF</t>
  </si>
  <si>
    <t>41630 IF Mdk THEN</t>
  </si>
  <si>
    <t>41640 PRINT USING "K,5D.4D,K,4D.3D";"Misura su 2 Rulli       ===&gt;&gt;&gt; ",ABS(Mdk),"   Diametro Rulli  ===&gt;&gt;&gt; ",Dm</t>
  </si>
  <si>
    <t>41670 GOSUB Prt_spt</t>
  </si>
  <si>
    <t>41680 END IF</t>
  </si>
  <si>
    <t xml:space="preserve">41700 Sp:     !   </t>
  </si>
  <si>
    <t>41710 IF NOT Mdk OR W1 THEN</t>
  </si>
  <si>
    <t>41720 GOSUB Prt_spt</t>
  </si>
  <si>
    <t>41730 END IF</t>
  </si>
  <si>
    <t>41750 IF LEN(Rasap$) THEN</t>
  </si>
  <si>
    <t>41760 PRINT "-------------------------------------------------------------------------------------------------------------------"</t>
  </si>
  <si>
    <t>41770 PRINT "         DATI di RASATURA introdotti"</t>
  </si>
  <si>
    <t>41780 PRINT "--------------------------------------------------------------------------------------------------------------------"</t>
  </si>
  <si>
    <t>41800 IF W1_f THEN</t>
  </si>
  <si>
    <t>41810 PRINT TABXY(Hg,Lg+1),"Misura Cordale FINITO           ===&gt;&gt;&gt; ";</t>
  </si>
  <si>
    <t>41820 PRINT USING "4D.3D,X,K,DD";ABS(W1_f);K1$;ABS(K1_f)</t>
  </si>
  <si>
    <t>41830 GOSUB Prt_sptf</t>
  </si>
  <si>
    <t>41840 END IF</t>
  </si>
  <si>
    <t>41850 IF Mdk_f THEN</t>
  </si>
  <si>
    <t>41860 PRINT TABXY(Hg,Lg+1),"Quota su 2 rulli FINITO";Dm_f;"  ===&gt;&gt;&gt; ";</t>
  </si>
  <si>
    <t>41870 PRINT USING "4D.3D";ABS(Mdk_f)</t>
  </si>
  <si>
    <t>41880 GOSUB Prt_sptf</t>
  </si>
  <si>
    <t>41890 END IF</t>
  </si>
  <si>
    <t>41900 IF NOT Mdk_f OR W1_f THEN</t>
  </si>
  <si>
    <t>41910 GOSUB Prt_sptf</t>
  </si>
  <si>
    <t>41920 END IF</t>
  </si>
  <si>
    <t>41930 IF Dk1 THEN</t>
  </si>
  <si>
    <t>41950 IF LEN(Std$) THEN</t>
  </si>
  <si>
    <t>41960 PRINT TABXY(Hg,Lg+1),"Variaz.H  RADIALE SMUSSO       ===&gt;&gt;&gt; ";</t>
  </si>
  <si>
    <t>41970 PRINT USING "K";Dk1_f1</t>
  </si>
  <si>
    <t>41980 ELSE</t>
  </si>
  <si>
    <t>41990 PRINT TABXY(Hg,Lg+1),"Diam.smusso PEZZO FINITO       ===&gt;&gt;&gt; ";</t>
  </si>
  <si>
    <t>42010 PRINT USING "5D.3D";Dk1_f1</t>
  </si>
  <si>
    <t>42030 END IF</t>
  </si>
  <si>
    <t>42040 PRINT "-------------------------------------------------------"</t>
  </si>
  <si>
    <t>42050 END IF</t>
  </si>
  <si>
    <t>42060 END IF</t>
  </si>
  <si>
    <t>42110 PRINT "------------------------------------------------------------------------------------------------------------------------"</t>
  </si>
  <si>
    <t>42120 PRINT "**************************  DATI UTENSILE DEFINITIVI *******************************************************************"</t>
  </si>
  <si>
    <t>42130 PRINT "------------------------------------------------------------------------------------------------------------------------"</t>
  </si>
  <si>
    <t>42150 PRINT USING "K,5D,K,3D.4D,K,K,3D.3D";"Numero di DENTI ===&gt;&gt;&gt;";Z0;"  ADD.di RIFERIMENTO hap0 ==&gt;&gt;";X_hap0;"Mn";" 2X0mn =";2*X0*Mn</t>
  </si>
  <si>
    <t>42220 PRINT</t>
  </si>
  <si>
    <t>42230 PRINT USING "K,6D.3D,K,MDD.DDD";"DIAM.ESTERNO di RETTIFICA    ===&gt;&gt;&gt; ";Da0,"   Spess.su DA0 ===&gt;&gt;&gt; San0 = ";San0</t>
  </si>
  <si>
    <t>42270 PRINT "               ---------------------------------------------------------------------------------------------------------------"</t>
  </si>
  <si>
    <t>42290 PRINT USING "K,6D.3D,K,MDD.DDD";"DIAM.TORNERIA                ===&gt;&gt;&gt; ";Da0t,"      Spess.su DA0torn ===&gt;&gt;&gt; ";San0t</t>
  </si>
  <si>
    <t>42340 PRINT "               ----------------------------------------------------------------------------------------------------------------"</t>
  </si>
  <si>
    <t>42360 IF Int THEN</t>
  </si>
  <si>
    <t>42370 PRINT TABXY(Lsd,Lg+1);"Gioco penetrazione radiale  ===&gt;&gt;&gt; ",</t>
  </si>
  <si>
    <t>42380 PRINT USING "DDD.DD";Gioco</t>
  </si>
  <si>
    <t>42390 END IF</t>
  </si>
  <si>
    <t>42420 PRINT TABXY(Lsd,Lg+1);"Diametro Primitivo                                     ===&gt;&gt;&gt; ";</t>
  </si>
  <si>
    <t>42430 PRINT USING Fmt_diamp;Mt*Z0</t>
  </si>
  <si>
    <t>42440 IF NOT Dk1 THEN</t>
  </si>
  <si>
    <t>42450 PRINT TABXY(Lsd,Lg+1);"Diametro di Fondo Dente                                ===&gt;&gt;&gt; ";</t>
  </si>
  <si>
    <t>42460 PRINT USING Fmt_diamp;Df0</t>
  </si>
  <si>
    <t>42470 ELSE</t>
  </si>
  <si>
    <t>42480 IF Elic THEN GOTO Qui</t>
  </si>
  <si>
    <t>42500 PRINT TABXY(Lsd,Lg+1);"Diametro Attacco Bisello                               ===&gt;&gt;&gt; ";</t>
  </si>
  <si>
    <t>42510 PRINT USING Fmt_diamp;Dk0</t>
  </si>
  <si>
    <t>42530 PRINT TABXY(Lsd,Lg+1);"Diametro di CUSPIDE                                    ===&gt;&gt;&gt; ";</t>
  </si>
  <si>
    <t>42540 PRINT USING Fmt_diamp;Df0</t>
  </si>
  <si>
    <t>42550 END IF</t>
  </si>
  <si>
    <t>42570 IF Smussop=1 THEN</t>
  </si>
  <si>
    <t>42580 Raggiop=0</t>
  </si>
  <si>
    <t>42590 PRINT TABXY(Lsd,Lg+1);"SMUSSO testa Dente [H-Radiale]                         ===&gt;&gt;&gt; ";</t>
  </si>
  <si>
    <t>42600 PRINT USING "D.DD";Hab</t>
  </si>
  <si>
    <t>42610 END IF</t>
  </si>
  <si>
    <t>42630 IF Raggiop=1 THEN</t>
  </si>
  <si>
    <t>42640 Smussop=0</t>
  </si>
  <si>
    <t>42650 IF Ra0=Racc_a0 THEN</t>
  </si>
  <si>
    <t>42660 PRINT TABXY(Lsd,Lg+1);"RACCORDO COMPLETO testa Dente                          ===&gt;&gt;&gt; ";</t>
  </si>
  <si>
    <t>42670     ELSE</t>
  </si>
  <si>
    <t>42680 PRINT TABXY(Lsd,Lg+1);"RAGGIO di testa Dente                                  ===&gt;&gt;&gt; ";</t>
  </si>
  <si>
    <t>42690     END IF</t>
  </si>
  <si>
    <t>42700 PRINT USING "DD.DD";Ra0</t>
  </si>
  <si>
    <t>42710 END IF</t>
  </si>
  <si>
    <t>42730 IF Protuberanzap=1 THEN</t>
  </si>
  <si>
    <t>42740 IF Ra0=Racc_a0 THEN</t>
  </si>
  <si>
    <t>42750 PRINT TABXY(Lsd,Lg+1);"RACCORDO COMPLETO testa Dente                          ===&gt;&gt;&gt; ";</t>
  </si>
  <si>
    <t>42760     ELSE</t>
  </si>
  <si>
    <t>42770 PRINT TABXY(Lsd,Lg+1);"RAGGIO di testa Dente                                  ===&gt;&gt;&gt; ";</t>
  </si>
  <si>
    <t>42780     END IF</t>
  </si>
  <si>
    <t>42790 PRINT USING "DD.DD";Ra0</t>
  </si>
  <si>
    <t>42810 PRINT TABXY(Lsd,Lg+1);"Valore della PROTUBERANZA                              ===&gt;&gt;&gt;   ";</t>
  </si>
  <si>
    <t>42820 PRINT USING "DD.4D";Prtz</t>
  </si>
  <si>
    <t>42830 PRINT TABXY(Lsd,Lg+1);"Diametro fine Sottoscavo stozzato                      ===&gt;&gt;&gt; ";</t>
  </si>
  <si>
    <t>42840 PRINT USING Fmt_diamp;ABS(D_stc_f)</t>
  </si>
  <si>
    <t>42850 PRINT TABXY(Lsd,Lg+1);"Diametro inizio Sottoscavo stozzato                    ===&gt;&gt;&gt; ";</t>
  </si>
  <si>
    <t>42860 PRINT USING Fmt_diamp;ABS(D_stc_i)</t>
  </si>
  <si>
    <t>42870 IF Dnf1_prtz THEN</t>
  </si>
  <si>
    <t>42880 PRINT TABXY(Lsd,Lg+1);"Diametro fine Sottoscavo stozzato  inserito            ===&gt;&gt;&gt; ";</t>
  </si>
  <si>
    <t>42890 PRINT USING Fmt_diamp;ABS(Dnf1_prtz)</t>
  </si>
  <si>
    <t>42900 PRINT TABXY(Lsd,Lg+1);"Valore del   ''Dnf1'' Protuberanza                     ===&gt;&gt;&gt; ";</t>
  </si>
  <si>
    <t>42910 PRINT USING Fmt_diamp;Dnf1_prtz</t>
  </si>
  <si>
    <t>42920 END IF</t>
  </si>
  <si>
    <t>43000 IF LEN(Rasap$) THEN</t>
  </si>
  <si>
    <t>43010 PRINT</t>
  </si>
  <si>
    <t>43020 PRINT "---- VALORI OTTENUTI sull' INGRANAGGIO FINITO di RETTIF. o RASATURA -----------------------------------------------------"</t>
  </si>
  <si>
    <t>43030 PRINT "-------------------------------------------------------------------------------------------------------------------------"</t>
  </si>
  <si>
    <t>43040 PRINT TABXY(Lsd,Lg+1);"Diametro   FINE SOTTOSC.                               ===&gt;&gt;&gt; ";</t>
  </si>
  <si>
    <t>43050 PRINT USING Fmt_diamp;ABS(D_stc_ff)</t>
  </si>
  <si>
    <t>43060 PRINT TABXY(Lsd,Lg+1);"Diametro INIZIO SOTTOSC.                               ===&gt;&gt;&gt; ";</t>
  </si>
  <si>
    <t>43070 PRINT USING Fmt_diamp;ABS(D_stc_if)</t>
  </si>
  <si>
    <t>43080 PRINT "-------------------------------------------------------------------------------------------------------------------------"</t>
  </si>
  <si>
    <t>43090 END IF</t>
  </si>
  <si>
    <t>43100 END IF</t>
  </si>
  <si>
    <t>43180 IF Std THEN</t>
  </si>
  <si>
    <t>43200 PRINT TABXY(Lsd,Lg+1);"hfPN1 GENERATO                                         ===&gt;&gt;&gt;";</t>
  </si>
  <si>
    <t>43210 PRINT USING "DD.DD,K";X_hfp_pr;" Mn"</t>
  </si>
  <si>
    <t>43220 ELSE</t>
  </si>
  <si>
    <t>43230 PRINT TABXY(Lsd,Lg+1);"DNf1-GENERATO                                          ===&gt;&gt;&gt;";</t>
  </si>
  <si>
    <t>43240 PRINT USING Fmt_diamp;ABS(Dnf1_pr)</t>
  </si>
  <si>
    <t>43250 END IF</t>
  </si>
  <si>
    <t>43290 PRINT TABXY(Lsd,Lg+1);"Angolo Affilatura Frontale                             ===&gt;&gt;&gt;  "&amp;Eta$</t>
  </si>
  <si>
    <t>43300 IF Elic THEN</t>
  </si>
  <si>
    <t>43310 PRINT TABXY(Lsd,Lg+1);"Angolo Elica Affilatura Frontale                       ===&gt;&gt;&gt;  "&amp;Tau$</t>
  </si>
  <si>
    <t>43320 END IF</t>
  </si>
  <si>
    <t>43330 IF Elic THEN</t>
  </si>
  <si>
    <t>43340 PRINT USING "K,K,K,K";"Spoglia laterale primitivo F.A.                        ===&gt;&gt;&gt;  ",Zeta_h$</t>
  </si>
  <si>
    <t>43350 PRINT USING "K,K,K,K";"Spoglia laterale primitivo F.B.                        ===&gt;&gt;&gt;  ",Zeta_t$</t>
  </si>
  <si>
    <t>43380 ELSE</t>
  </si>
  <si>
    <t>43390 PRINT TABXY(Lsd,Lg+1);"Spoglia laterale primitivo                             ===&gt;&gt;&gt;  ",Zeta_h$</t>
  </si>
  <si>
    <t>43400 END IF</t>
  </si>
  <si>
    <t>43420 PRINT TABXY(Lsd,Lg+1);"Spoglia sul Diametro Esterno                           ===&gt;&gt;&gt;  ";Teta$</t>
  </si>
  <si>
    <t>43430 Tetaprt$=Teta$</t>
  </si>
  <si>
    <t>43440 IF Elic THEN</t>
  </si>
  <si>
    <t>43460 IF LEN(B_reset$) THEN</t>
  </si>
  <si>
    <t>43470 PRINT USING "K,6D.4D,K,K,6D.4D,K";"Diametro di BASE  F.Alto                               ===&gt;&gt;&gt;";Db0h;"****"        !;"Diametro di BASE  F.Basso ===&gt;&gt;&gt; ";Db0t;"***"</t>
  </si>
  <si>
    <t>43480 PRINT USING "K,6D.4D,K,K,6D.4D,K";"Diametro di BASE  F.Basso                              ===&gt;&gt;&gt;";Db0t;"****"</t>
  </si>
  <si>
    <t>43490 ELSE</t>
  </si>
  <si>
    <t>43500 PRINT USING "K,6D.4D,K,K,6D.4D,K";"Diametro di BASE  F.Alto                               ===&gt;&gt;&gt;";Db0h        !,"Diametro di BASE  F.Basso  ===&gt;&gt;&gt; ";Db0t</t>
  </si>
  <si>
    <t>43510 PRINT USING "K,6D.4D,K,K,6D.4D,K";"Diametro di BASE  F.Basso                              ===&gt;&gt;&gt;";Db0t</t>
  </si>
  <si>
    <t>43520 END IF</t>
  </si>
  <si>
    <t>43580 ELSE</t>
  </si>
  <si>
    <t>43590 IF LEN(B_reset$) THEN</t>
  </si>
  <si>
    <t>43600 PRINT USING "K,6D.4D";"Diametro di BASE                                       ===&gt;&gt;&gt; ";Db0h;"***"</t>
  </si>
  <si>
    <t>43610 ELSE</t>
  </si>
  <si>
    <t>43620 PRINT USING "K,6D.4D";"Diametro di BASE                                       ===&gt;&gt;&gt; ";Db0h        !;"***"</t>
  </si>
  <si>
    <t>43630 END IF</t>
  </si>
  <si>
    <t>43660 END IF</t>
  </si>
  <si>
    <t>43680 IF Elic THEN</t>
  </si>
  <si>
    <t>43700 PRINT "SENSO ELICA UTENSILE      ===&gt;&gt;&gt; ";Senso$</t>
  </si>
  <si>
    <t>43710 PRINT USING "K,9D.4D,K,9D.4D,K,9D.4D";"PASSO ELICA              ===&gt;&gt;&gt;",Pz0</t>
  </si>
  <si>
    <t>43720 PRINT USING "K,9D.4D,K,9D.4D,K,9D.4D";"Passo elica F.A. ===&gt;&gt;&gt; ";Pz0_h;"   Passo elica F.B. ===&gt;&gt;&gt; ";Pz0_t</t>
  </si>
  <si>
    <t>43790 ELSE</t>
  </si>
  <si>
    <t>43810 PRINT USING "K,6D.3D,K,3D.3D,K,3D.3D";"Diametro Dv0 ===&gt;&gt;&gt;";Dv0;" ADD.Cordale ===&gt;&gt;&gt; ";H_vn0;" SPESS.Cordale ===&gt;&gt;&gt; ";S_vn0</t>
  </si>
  <si>
    <t>43820 PRINT</t>
  </si>
  <si>
    <t>43830 PRINT USING "K,6D.4D,K,5D,K,K,4D.4D";"Misura TANGENZIALE W0 ===&gt;&gt;&gt;";W0,"  ";K;" Denti","Passo Base ===&gt;&gt;&gt;";Pbt</t>
  </si>
  <si>
    <t>43900 END IF</t>
  </si>
  <si>
    <t>43930 PRINT</t>
  </si>
  <si>
    <t>43940 PRINT USING "K,5D.DD,K,6D.DD";"ERRORI su H UTILE -- MAX Df. ===&gt;&gt;&gt;";ABS(Err_max),"  MAX Dk.   ===&gt;&gt;&gt;";ABS(Err_max_dk)</t>
  </si>
  <si>
    <t>44010 PRINT TABXY(Lsd,Lg+1);"Altezza UTILE di Affilatura Teorica  h4                ===&gt;&gt;&gt; ";</t>
  </si>
  <si>
    <t>44020 PRINT USING "6D.D";H_ut</t>
  </si>
  <si>
    <t>44050 IF Dk1 OR Ra0 OR Vuoi THEN</t>
  </si>
  <si>
    <t>44060 PRINT</t>
  </si>
  <si>
    <t>44070 PRINT "--------------------------------------------------------------------------------------------------"</t>
  </si>
  <si>
    <t>44080 PRINT "******      DATI di PROFILATURA      *********************************************************************************"</t>
  </si>
  <si>
    <t>44090 PRINT "--------------------------------------------------------------------------------------------------"</t>
  </si>
  <si>
    <t>44130 IF Elic THEN</t>
  </si>
  <si>
    <t>44200             Ang=Apwmnmt</t>
  </si>
  <si>
    <t>44210             CALL Rad_gms(Ang,G,Mi,S)</t>
  </si>
  <si>
    <t>44220             Apwmnmt$=VAL$(G)&amp;"°"&amp;VAL$(Mi)&amp;"'"</t>
  </si>
  <si>
    <t>44230             Ang=Apwmnmh</t>
  </si>
  <si>
    <t>44240             CALL Rad_gms(Ang,G,Mi,S)</t>
  </si>
  <si>
    <t>44250             Apwmnmh$=VAL$(G)&amp;"°"&amp;VAL$(Mi)&amp;"'"</t>
  </si>
  <si>
    <t>44280             PRINT TABXY(15,5),"A.P.DENTE F.B.==&gt;&gt;  ";Apwmnmt$;"       A.P.DENTE F.A.==&gt;&gt;  ";Apwmnmh$</t>
  </si>
  <si>
    <t>44360      IF Dk1 THEN</t>
  </si>
  <si>
    <t>44380             Ang=Apkwmnmt</t>
  </si>
  <si>
    <t>44390             CALL Rad_gms(Ang,G,Mi,S)</t>
  </si>
  <si>
    <t>44400             Apkwmnmt$=VAL$(G)&amp;"°"&amp;VAL$(Mi)&amp;"'"</t>
  </si>
  <si>
    <t>44410             Ang=Apkwmnmh</t>
  </si>
  <si>
    <t>44420             CALL Rad_gms(Ang,G,Mi,S)</t>
  </si>
  <si>
    <t>44430             Apkwmnmh$=VAL$(G)&amp;"°"&amp;VAL$(Mi)&amp;"'"</t>
  </si>
  <si>
    <t>44450             PRINT TABXY(15,7),"A.P.BIS. F.B.==&gt;&gt;   ";Apkwmnmt$;"      A.P.BIS. F.A. ==&gt;&gt;  ";Apkwmnmh$</t>
  </si>
  <si>
    <t>44530      END IF</t>
  </si>
  <si>
    <t>44540             Ang=Aelwm0_eff</t>
  </si>
  <si>
    <t>44550             CALL Rad_gms(Ang,G,Mi,S)</t>
  </si>
  <si>
    <t>44560             Aelwm0$=VAL$(G)&amp;"°"&amp;VAL$(Mi)&amp;"'"</t>
  </si>
  <si>
    <t>44580             PRINT TABXY(15,9),"ANG.ELICA         ===&gt;&gt;&gt; ",Aelwm0$</t>
  </si>
  <si>
    <t>44610             PRINT TABXY(30,5),"ANG.MONTANTE      ===&gt;&gt;&gt; ",Teta$;"    DIAM.ROTOL.    ===&gt;&gt;&gt; ";</t>
  </si>
  <si>
    <t>44630             PRINT USING Fmt_diam;Dwm0</t>
  </si>
  <si>
    <t>44650   ELSE</t>
  </si>
  <si>
    <t>44660                        Ang=Apwmnmh</t>
  </si>
  <si>
    <t>44670                        CALL Rad_gms(Ang,G,Mi,S)</t>
  </si>
  <si>
    <t>44680                        Apwmnmh$=VAL$(G)&amp;"°"&amp;VAL$(Mi)&amp;"'"</t>
  </si>
  <si>
    <t>44700              IF Dk1 THEN</t>
  </si>
  <si>
    <t>44710                        Ang=Apkwmnmh</t>
  </si>
  <si>
    <t>44720                        CALL Rad_gms(Ang,G,Mi,S)</t>
  </si>
  <si>
    <t>44730                        Apkwmnmh$=VAL$(G)&amp;"°"&amp;VAL$(Mi)&amp;"'"</t>
  </si>
  <si>
    <t>44750                        PRINT TABXY(15,3),"A.P.DENTE     ===&gt;&gt;&gt; ";Apwmnmh$;"       A.P.BISELLO     ===&gt;&gt;&gt; ";Apkwmnmh$</t>
  </si>
  <si>
    <t>44800              ELSE</t>
  </si>
  <si>
    <t>44810                        PRINT TABXY(30,3),"A.P.DENTE     ===&gt;&gt;&gt; ",Apwmnmh$</t>
  </si>
  <si>
    <t>44830              END IF</t>
  </si>
  <si>
    <t>44850                        PRINT TABXY(30,5),"ANG.MONTANTE ===&gt;&gt;&gt;",Teta$;"    DIAM.ROTOL.    ===&gt;&gt;&gt;";</t>
  </si>
  <si>
    <t>44870                        PRINT USING Fmt_diam;Dwm0</t>
  </si>
  <si>
    <t>44890   END IF</t>
  </si>
  <si>
    <t>44910 END IF</t>
  </si>
  <si>
    <t>44920 GOTO Vai         !  x USCIRE dalla STAMPA</t>
  </si>
  <si>
    <t>44980       IF Elic AND Int THEN</t>
  </si>
  <si>
    <t>44990       PRINT USING "K,MDDD.3D,K,MDDD.3D";"Amp. VANO norm. ===&gt;&gt;&gt; ";En1;" Amp. VANO circ.  ===&gt;&gt;&gt; ";Et1</t>
  </si>
  <si>
    <t>45040       END IF</t>
  </si>
  <si>
    <t>45050       IF NOT Elic AND NOT Int THEN</t>
  </si>
  <si>
    <t>45060       PRINT USING "K,MDDD.3D";"Spessore del DENTE sul Primitivo                        ===&gt;&gt;&gt; ",Sn1</t>
  </si>
  <si>
    <t>45090       END IF</t>
  </si>
  <si>
    <t>45100       IF Elic AND NOT Int THEN</t>
  </si>
  <si>
    <t>45110       PRINT USING "K,MDDD.3D,K,MDDD.3D";"Spess. DENTE norm. ===&gt;&gt;&gt; ";Sn1;" Spess. DENTE circ.  ===&gt;&gt;&gt; ";St1</t>
  </si>
  <si>
    <t>45160       END IF</t>
  </si>
  <si>
    <t>45170       IF NOT Elic AND Int THEN</t>
  </si>
  <si>
    <t>45180       PRINT USING "K,MDDD.3D";"Ampiezza del VANO sul Primitivo                          ===&gt;&gt;&gt; ",En1</t>
  </si>
  <si>
    <t>45210       END IF</t>
  </si>
  <si>
    <t>45220       RETURN</t>
  </si>
  <si>
    <t>45270       IF Elic AND Int THEN</t>
  </si>
  <si>
    <t>45280       PRINT USING "K,MDDD.3D,K,MDDD.3D";"Amp.v.norm.FINITA            ===&gt;&gt;&gt; ";En1_f;" Amp.v.circ.FINITA    ===&gt;&gt;&gt; ";Et1_f</t>
  </si>
  <si>
    <t>45330       END IF</t>
  </si>
  <si>
    <t>45340       IF NOT Elic AND NOT Int THEN</t>
  </si>
  <si>
    <t>45350       PRINT USING "K,MDDD.3D";"Spessore del DENTE sul Primitivo   FINITO             ===&gt;&gt;&gt; ";Sn1_f</t>
  </si>
  <si>
    <t>45380       END IF</t>
  </si>
  <si>
    <t>45390       IF Elic AND NOT Int THEN</t>
  </si>
  <si>
    <t>45400       PRINT USING "K,MDDD.3D,K,MDDD.3D";"Spess. DENTE norm. FINITO   ===&gt;&gt;&gt; ";Sn1_f;" Spess. DENTE circ. FINITO ===&gt;&gt;&gt;";St1_f</t>
  </si>
  <si>
    <t>45450       END IF</t>
  </si>
  <si>
    <t>45460       IF NOT Elic AND Int THEN</t>
  </si>
  <si>
    <t>45470       PRINT USING "K,MDDD.3D";"Ampiezza del VANO sul Primitivo  FINITA               ===&gt;&gt;&gt; ";En1_f</t>
  </si>
  <si>
    <t>45500       END IF</t>
  </si>
  <si>
    <t>45510       RETURN</t>
  </si>
  <si>
    <t>45550   Rasap=0</t>
  </si>
  <si>
    <t>45580   CONFIGURE DUMP TO "WIN-DUMP"</t>
  </si>
  <si>
    <t>45590   PRINTER IS CRT</t>
  </si>
  <si>
    <t>45620   Smussop=0</t>
  </si>
  <si>
    <t>45630   Raggiop=0</t>
  </si>
  <si>
    <t>45675 COM /Plot/@Plot,File$[80],Prima,Raps,Ang_piv,Lorg,Csize,Ldir</t>
  </si>
  <si>
    <t>45684   OFF KEY</t>
  </si>
  <si>
    <t>45685   OUTPUT 2;Clear$;</t>
  </si>
  <si>
    <t>45718            Printdata$=""</t>
  </si>
  <si>
    <t>45719            Plott=0</t>
  </si>
  <si>
    <t>45720             File$="C:\programmi\htbwin83\newprog\filesfellows\Ingr_Part.scr"              ! @@@@@@@@@inizializzazione File$</t>
  </si>
  <si>
    <t>45722             CALL Plot_init              !GINIT</t>
  </si>
  <si>
    <t>45724            PLOTTER IS CRT,"INTERNAL"</t>
  </si>
  <si>
    <t>45725            OFF KEY</t>
  </si>
  <si>
    <t>45726            OUTPUT 2;Clear$;</t>
  </si>
  <si>
    <t>45727            IF Neo AND Norm THEN DEALLOCATE Prof_n(*)</t>
  </si>
  <si>
    <t>45728            IF Neo AND NOT Norm THEN</t>
  </si>
  <si>
    <t>45729                                     DEALLOCATE Prof_t(*)</t>
  </si>
  <si>
    <t>45730                         IF Ra0 THEN DEALLOCATE Troc(*)</t>
  </si>
  <si>
    <t>45731            END IF</t>
  </si>
  <si>
    <t>45732            IF Bis THEN</t>
  </si>
  <si>
    <t>45733            Bis=0</t>
  </si>
  <si>
    <t>45734            IF Neo AND Norm THEN DEALLOCATE Bis_n(*)</t>
  </si>
  <si>
    <t>45735            IF Neo AND NOT Norm THEN DEALLOCATE Bis_t(*)</t>
  </si>
  <si>
    <t>45736            END IF</t>
  </si>
  <si>
    <t>45737            IF NOT Elic THEN Sez_circ</t>
  </si>
  <si>
    <t>45738            OFF KEY</t>
  </si>
  <si>
    <t>45739            OUTPUT 2;Clear$;</t>
  </si>
  <si>
    <t>45770         Norm=0</t>
  </si>
  <si>
    <t>45771         M=Mt</t>
  </si>
  <si>
    <t>45772         Z=Z1</t>
  </si>
  <si>
    <t>45773         Ap=Apt</t>
  </si>
  <si>
    <t>45774         Psb=St1/(M*Z)+TAN(Ap)-Ap</t>
  </si>
  <si>
    <t>45775         Db=Db1</t>
  </si>
  <si>
    <t>45776         Da=Da1</t>
  </si>
  <si>
    <t>45777         Df=Df1</t>
  </si>
  <si>
    <t>45778         IF Dk1 THEN</t>
  </si>
  <si>
    <t>45779         Dk=Dk1</t>
  </si>
  <si>
    <t>45780         Dbk=M*Z*COS(Apkt)</t>
  </si>
  <si>
    <t>45781         Inv_apkkt=TAN(ACS(Dbk/Dk1))-ACS(Dbk/Dk)</t>
  </si>
  <si>
    <t>45782         Pskb=Skt1/Dk1+Inv_apkkt</t>
  </si>
  <si>
    <t>45783         END IF</t>
  </si>
  <si>
    <t>45786           INTEGER Scala</t>
  </si>
  <si>
    <t>45787           OFF KEY</t>
  </si>
  <si>
    <t>45788           OUTPUT 2;Clear$;</t>
  </si>
  <si>
    <t>45789           GRAPHICS ON</t>
  </si>
  <si>
    <t>45790           GCLEAR</t>
  </si>
  <si>
    <t>45792                 Scala=10</t>
  </si>
  <si>
    <t>45800        REM   PLOTTER IS CRT !,"HPGL;HPGL2;PORTRAIT",0,274.186,0,191.666</t>
  </si>
  <si>
    <t>45816           X_min=0</t>
  </si>
  <si>
    <t>45817           Y_min=0</t>
  </si>
  <si>
    <t>45822           X_min=-60*RATIO</t>
  </si>
  <si>
    <t>45823           Y_min=-60</t>
  </si>
  <si>
    <t>45825           X_0=X_min/Scala</t>
  </si>
  <si>
    <t>45826           X_1=(120*RATIO+X_min)/Scala</t>
  </si>
  <si>
    <t>45827           Y_0=ABS(M*Z)/2+Y_min/Scala</t>
  </si>
  <si>
    <t>45828           Y_1=ABS(M*Z)/2+(120+Y_min)/Scala</t>
  </si>
  <si>
    <t>45830           PEN 2</t>
  </si>
  <si>
    <t>45831           SHOW X_0,X_1,Y_0,Y_1</t>
  </si>
  <si>
    <t>45832           AXES</t>
  </si>
  <si>
    <t>45833           FRAME</t>
  </si>
  <si>
    <t>45834           GOSUB Diam</t>
  </si>
  <si>
    <t>45836           DISP "INGRANDIMENTO AUTOMATICO del PROFILO PEZZO OTTENUTO:Scegliere la posizione del dente"</t>
  </si>
  <si>
    <t>45848             OFF KEY</t>
  </si>
  <si>
    <t>45849             Angle=PI/ABS(Z)</t>
  </si>
  <si>
    <t>45852         INTEGER Zv</t>
  </si>
  <si>
    <t>45854         Zv=4</t>
  </si>
  <si>
    <t>45855         GOTO Profilo</t>
  </si>
  <si>
    <t>45858           Dp=ABS(Df)</t>
  </si>
  <si>
    <t>45859           GOSUB Plt_diam</t>
  </si>
  <si>
    <t>45860           IF ABS(Db)&gt;ABS(Df) THEN</t>
  </si>
  <si>
    <t>45861           Dp=ABS(Db)</t>
  </si>
  <si>
    <t>45862           LINE TYPE 8</t>
  </si>
  <si>
    <t>45863           GOSUB Plt_diam</t>
  </si>
  <si>
    <t>45864           END IF</t>
  </si>
  <si>
    <t>45865           Dp=M*ABS(Z)</t>
  </si>
  <si>
    <t>45866           LINE TYPE 6</t>
  </si>
  <si>
    <t>45867           GOSUB Plt_diam</t>
  </si>
  <si>
    <t>45868           Dp=ABS(Da)</t>
  </si>
  <si>
    <t>45869           LINE TYPE 1</t>
  </si>
  <si>
    <t>45870           GOSUB Plt_diam</t>
  </si>
  <si>
    <t>45871           IF Dk THEN</t>
  </si>
  <si>
    <t>45872           LINE TYPE 4</t>
  </si>
  <si>
    <t>45873           Dp=ABS(Dk)</t>
  </si>
  <si>
    <t>45874           GOSUB Plt_diam</t>
  </si>
  <si>
    <t>45875           END IF</t>
  </si>
  <si>
    <t>45876           IF D_stc_f THEN</t>
  </si>
  <si>
    <t>45877           LINE TYPE 4</t>
  </si>
  <si>
    <t>45878           Dp=ABS(D_stc_f)</t>
  </si>
  <si>
    <t>45879           GOSUB Plt_diam</t>
  </si>
  <si>
    <t>45880           END IF</t>
  </si>
  <si>
    <t>45895        Dp=Dp/2</t>
  </si>
  <si>
    <t>45896        Lim_dx=X_1/Dp</t>
  </si>
  <si>
    <t>45897        Lim_sx=X_0/Dp</t>
  </si>
  <si>
    <t>45898                     IF Lim_dx&gt;1 THEN Lim_dx=1</t>
  </si>
  <si>
    <t>45899                     IF ABS(Lim_sx)&gt;1 THEN Lim_sx=-1</t>
  </si>
  <si>
    <t>45900        End=ASN(Lim_dx)</t>
  </si>
  <si>
    <t>45901        Start=ASN(Lim_sx)</t>
  </si>
  <si>
    <t>45902        Step=(End-Start)/100</t>
  </si>
  <si>
    <t>45903        PEN 1</t>
  </si>
  <si>
    <t>45904        CALL Plot_move(Dp*SIN(Start),Dp*COS(Start))</t>
  </si>
  <si>
    <t>45905        FOR I=Start TO End STEP Step</t>
  </si>
  <si>
    <t>45906        CALL Plot_draw(Dp*SIN(I),Dp*COS(I))</t>
  </si>
  <si>
    <t>45907        NEXT I</t>
  </si>
  <si>
    <t>45908        PEN -1</t>
  </si>
  <si>
    <t>45909        PENUP</t>
  </si>
  <si>
    <t>45910        RETURN</t>
  </si>
  <si>
    <t>45913   IF NOT Ra0 THEN</t>
  </si>
  <si>
    <t>45914                 Ra0=Hab*2.3</t>
  </si>
  <si>
    <t>45915                 Ra0_draw=1</t>
  </si>
  <si>
    <t>45917                 Racc_a0=DROUND(Racc_a0,4)</t>
  </si>
  <si>
    <t>45918   IF Ra0&gt;Racc_a0 THEN Ra0=Racc_a0</t>
  </si>
  <si>
    <t xml:space="preserve">45919                               !          </t>
  </si>
  <si>
    <t>45920              Inv_apc0=TAN(ACS(Db0/(Da0-2*Ra0)))-ACS(Db0/(Da0-2*Ra0))</t>
  </si>
  <si>
    <t>45921              Gm=Psbt0+2*(Prtz-Ra0)/Db0-Inv_apc0</t>
  </si>
  <si>
    <t>45922              Apna0=ATN(TAN(ACS(Db0/(Da0-2*Ra0)))+2*Ra0/Db0)</t>
  </si>
  <si>
    <t>45923              Dna0=Db0/COS(Apna0)</t>
  </si>
  <si>
    <t>45924              Apnf1_pr=ATN(Z0/Z1*(TAN(Apwt)-TAN(Apna0))+TAN(Apwt))</t>
  </si>
  <si>
    <t>45925              Dnf1_pr=Db1/COS(Apnf1_pr)</t>
  </si>
  <si>
    <t>45926              H_ra0=(Da0-Dna0)/2</t>
  </si>
  <si>
    <t>45927              X_max=ACS((Dna0^2-(Da0-2*Ra0)^2-4*Ra0^2)/(4*Ra0*Da0-8*Ra0^2))</t>
  </si>
  <si>
    <t>45929   END IF</t>
  </si>
  <si>
    <t>45931        INTEGER F,Nt</t>
  </si>
  <si>
    <t>45932        Max_diam=MAX(ABS(Df),ABS(Da))</t>
  </si>
  <si>
    <t>45933        IF Dk AND NOT Int THEN Max_diam=Dk</t>
  </si>
  <si>
    <t>45934  IF Int AND Ra0 THEN</t>
  </si>
  <si>
    <t>45935             IF D_stc_i THEN</t>
  </si>
  <si>
    <t>45936                            Max_diam=ABS(D_stc_i)</t>
  </si>
  <si>
    <t>45937             ELSE</t>
  </si>
  <si>
    <t>45938                            Max_diam=ABS(Dnf1_pr)</t>
  </si>
  <si>
    <t>45939             END IF</t>
  </si>
  <si>
    <t>45940  END IF</t>
  </si>
  <si>
    <t>45941        IF Int THEN</t>
  </si>
  <si>
    <t>45942        IF Dk THEN</t>
  </si>
  <si>
    <t>45943        Min_diam=ABS(Dk)</t>
  </si>
  <si>
    <t>45944        ELSE</t>
  </si>
  <si>
    <t>45945        Min_diam=ABS(Da)</t>
  </si>
  <si>
    <t>45946        END IF</t>
  </si>
  <si>
    <t>45947        ELSE</t>
  </si>
  <si>
    <t>45948  IF Ra0 THEN</t>
  </si>
  <si>
    <t>45949         IF D_stc_i THEN</t>
  </si>
  <si>
    <t>45950                        Min_diam=D_stc_i</t>
  </si>
  <si>
    <t>45951         ELSE</t>
  </si>
  <si>
    <t>45952                        Min_diam=Dnf1_pr</t>
  </si>
  <si>
    <t>45953         END IF</t>
  </si>
  <si>
    <t>45954  ELSE</t>
  </si>
  <si>
    <t>45955        Min_diam=Df</t>
  </si>
  <si>
    <t>45956  END IF</t>
  </si>
  <si>
    <t>45957        END IF</t>
  </si>
  <si>
    <t>45958        N=(Max_diam-Min_diam)/(3/Scala)</t>
  </si>
  <si>
    <t>45959        N=INT(N)</t>
  </si>
  <si>
    <t>45960        Incr=(Max_diam-Min_diam)/N</t>
  </si>
  <si>
    <t>45961        Nt=2*N+1</t>
  </si>
  <si>
    <t>45962     IF D_stc_f THEN S=ABS(D_stc_f-D_stc_i)/Incr</t>
  </si>
  <si>
    <t>45963        IF Norm THEN</t>
  </si>
  <si>
    <t>45964        ALLOCATE Prof_n(0:Nt,0:2)</t>
  </si>
  <si>
    <t>45965        ELSE</t>
  </si>
  <si>
    <t>45966        ALLOCATE Prof_t(0:Nt,0:2)</t>
  </si>
  <si>
    <t>45967        END IF</t>
  </si>
  <si>
    <t>45968        GOSUB Matr_prof</t>
  </si>
  <si>
    <t>45970        IF Dk1 THEN</t>
  </si>
  <si>
    <t>45971        INTEGER Bis</t>
  </si>
  <si>
    <t>45972        Bis=1</t>
  </si>
  <si>
    <t>45973        N=ABS(Da-Dk)/(1/Scala)</t>
  </si>
  <si>
    <t>45974        N=INT(N)</t>
  </si>
  <si>
    <t>45975        Incr=ABS(Da-Dk)/N</t>
  </si>
  <si>
    <t>45976        Nt=N*2+1</t>
  </si>
  <si>
    <t>45977        IF Int THEN</t>
  </si>
  <si>
    <t>45978        Min_diam=ABS(Da)</t>
  </si>
  <si>
    <t>45979        ELSE</t>
  </si>
  <si>
    <t>45980        Min_diam=Dk</t>
  </si>
  <si>
    <t>45981        END IF</t>
  </si>
  <si>
    <t>45982        Db=Dbk</t>
  </si>
  <si>
    <t>45983        Psb=Pskb</t>
  </si>
  <si>
    <t>45984        IF Norm THEN</t>
  </si>
  <si>
    <t>45985        ALLOCATE Bis_n(0:Nt,0:2)</t>
  </si>
  <si>
    <t>45986        ELSE</t>
  </si>
  <si>
    <t>45987        ALLOCATE Bis_t(0:Nt,0:2)</t>
  </si>
  <si>
    <t>45988        END IF</t>
  </si>
  <si>
    <t>45989        GOSUB Matr_prof</t>
  </si>
  <si>
    <t>45990        END IF</t>
  </si>
  <si>
    <t>45994    IF NOT Norm THEN</t>
  </si>
  <si>
    <t>45995           IF Ra0 THEN</t>
  </si>
  <si>
    <t>45997                      T=(X_max-.0001)/(.5/Scala)</t>
  </si>
  <si>
    <t>45998                      T=INT(T)</t>
  </si>
  <si>
    <t>45999                      Incr_tr=(X_max-.0001)/T</t>
  </si>
  <si>
    <t>46000                      Tt=2*T+1</t>
  </si>
  <si>
    <t>46004            ALLOCATE Troc(0:Tt,0:2)</t>
  </si>
  <si>
    <t>46005                     FOR Tr=0 TO Tt STEP 1</t>
  </si>
  <si>
    <t>46006                  IF Tr&gt;T THEN</t>
  </si>
  <si>
    <t>46007                              S=-1</t>
  </si>
  <si>
    <t>46008                              J=Tr-T-1</t>
  </si>
  <si>
    <t>46009                  ELSE</t>
  </si>
  <si>
    <t>46010                              S=1</t>
  </si>
  <si>
    <t>46011                              J=Tr</t>
  </si>
  <si>
    <t>46012                  END IF</t>
  </si>
  <si>
    <t>46013                              X=.0001+J*Incr_tr</t>
  </si>
  <si>
    <t>46015     CALL Troc(X,Db1,Da0,Ra0,Mwt,Psbt1,Gm,Dt,Ph,Y,Z0,Z1)</t>
  </si>
  <si>
    <t>46016                              Xt=S*Dt*SIN(Ph)/2</t>
  </si>
  <si>
    <t>46017                              Yt=ABS(Dt)*COS(Ph)/2</t>
  </si>
  <si>
    <t>46018                        IF Tr=T THEN</t>
  </si>
  <si>
    <t>46019                                    Pen=0</t>
  </si>
  <si>
    <t>46020                        ELSE</t>
  </si>
  <si>
    <t>46021                                    Pen=1</t>
  </si>
  <si>
    <t>46022                        END IF</t>
  </si>
  <si>
    <t>46023                            Troc(Tr,0)=Xt</t>
  </si>
  <si>
    <t>46024                            Troc(Tr,1)=Yt</t>
  </si>
  <si>
    <t>46025                            Troc(Tr,2)=Pen</t>
  </si>
  <si>
    <t>46026                     NEXT Tr</t>
  </si>
  <si>
    <t>46027           END IF</t>
  </si>
  <si>
    <t>46028    END IF</t>
  </si>
  <si>
    <t>46030         FOR Nz=-INT(Zv/2)*2*PI/Z TO INT(Zv/2)*2*PI/Z STEP 2*PI/Z</t>
  </si>
  <si>
    <t>46031         Ang_rot=Angle+Nz</t>
  </si>
  <si>
    <t>46032         CALL Plot_move(0,0)</t>
  </si>
  <si>
    <t>46033         GOSUB Plt_prof</t>
  </si>
  <si>
    <t>46034         NEXT Nz</t>
  </si>
  <si>
    <t>46036         IF Ra0_draw=1 THEN</t>
  </si>
  <si>
    <t>46037                          Ra0=0</t>
  </si>
  <si>
    <t>46038         END IF</t>
  </si>
  <si>
    <t>46049    PLOTTER IS "c:\Programmi\HTBwin83\NEWPROG\DxfPART","HPGL;HPGL2",0,410,0,287</t>
  </si>
  <si>
    <t>46050    SHOW 0,410,0,287</t>
  </si>
  <si>
    <t>46051    LORG 1</t>
  </si>
  <si>
    <t>46052    FRAME</t>
  </si>
  <si>
    <t>46053    LDIR 0</t>
  </si>
  <si>
    <t>46082           PIVOT 0                !  CALL Plot_pivot(0)!PIVOT 0</t>
  </si>
  <si>
    <t>46083           PEN 1</t>
  </si>
  <si>
    <t>46085           PEN 2</t>
  </si>
  <si>
    <t>46088 CSIZE 4,.5</t>
  </si>
  <si>
    <t>46089 LORG 5</t>
  </si>
  <si>
    <t>46090       MOVE 250+Sp,15+Sp</t>
  </si>
  <si>
    <t>46093      LABEL "PROFILO TEORICO OTTENUTO CON UTENSILE Z0 ==&gt;",Z0</t>
  </si>
  <si>
    <t>46102 CSIZE 3.5,.65</t>
  </si>
  <si>
    <t>46103 LORG 2</t>
  </si>
  <si>
    <t>46113           IF Elic THEN</t>
  </si>
  <si>
    <t>46114       MOVE 20+Sp,275+Sp</t>
  </si>
  <si>
    <t>46116       LABEL USING "K,2D.3D";"MOD.N.";Mn</t>
  </si>
  <si>
    <t>46117           ELSE</t>
  </si>
  <si>
    <t>46118       MOVE 20+Sp,275+Sp</t>
  </si>
  <si>
    <t>46120       LABEL USING "K,2D.3D";"MOD";Mn</t>
  </si>
  <si>
    <t>46121           END IF</t>
  </si>
  <si>
    <t>46123       MOVE 130+Sp,275+Sp</t>
  </si>
  <si>
    <t>46125       LABEL USING "K,6D";"Z ";ABS(Z1)</t>
  </si>
  <si>
    <t>46127           IF Elic THEN</t>
  </si>
  <si>
    <t>46128       MOVE 215+Sp,275+Sp</t>
  </si>
  <si>
    <t>46130       LABEL USING "K,K";"AP.n.";Apn$</t>
  </si>
  <si>
    <t>46131           ELSE</t>
  </si>
  <si>
    <t>46132       MOVE 215+Sp,275+Sp</t>
  </si>
  <si>
    <t>46134       LABEL USING "K,K";"AP.";Apn$</t>
  </si>
  <si>
    <t>46135           END IF</t>
  </si>
  <si>
    <t>46136           IF Elic THEN</t>
  </si>
  <si>
    <t>46137       MOVE 300+Sp,275+Sp</t>
  </si>
  <si>
    <t>46139       LABEL USING "K,K";"A.El.";Ael$</t>
  </si>
  <si>
    <t>46140           END IF</t>
  </si>
  <si>
    <t>46148 CSIZE 2.5,.55</t>
  </si>
  <si>
    <t>46149 LORG 2</t>
  </si>
  <si>
    <t>46150 Linex=305</t>
  </si>
  <si>
    <t>46151           MOVE Linex+Sp,270+Sp</t>
  </si>
  <si>
    <t>46152           LABEL "- Valori teorici OTTENUTI: -"</t>
  </si>
  <si>
    <t>46154           MOVE Linex+Sp,250+Sp</t>
  </si>
  <si>
    <t>46155           LABEL USING "K,MDDDDDD.3D";"D.TESTA Da2 =&gt;";ABS(Da1)</t>
  </si>
  <si>
    <t>46156           MOVE Linex+Sp,245+Sp</t>
  </si>
  <si>
    <t>46157           LABEL USING "K,MDDDDDD.3D";"D.FONDO DF2 =&gt;";ABS(Df1)</t>
  </si>
  <si>
    <t>46158           X1mnp2=X1*Mn</t>
  </si>
  <si>
    <t>46159           MOVE Linex+Sp,240+Sp</t>
  </si>
  <si>
    <t>46160           LABEL USING "K,MDDDDDD.3D";"X2mn        =&gt;";X1mnp2</t>
  </si>
  <si>
    <t>46164           MOVE Linex+Sp,235+Sp</t>
  </si>
  <si>
    <t>46165           LABEL USING "K,MDDDDDD.3D";"D.TIF teor. =&gt;";ABS(Dnf1_pr)</t>
  </si>
  <si>
    <t xml:space="preserve">46166 Semit: !                   </t>
  </si>
  <si>
    <t>46168 IF Dk1 THEN</t>
  </si>
  <si>
    <t>46170           MOVE Linex+Sp,230+Sp</t>
  </si>
  <si>
    <t>46171           LABEL USING "K,MDDDDDD.3D";"D.Smusso    =&gt;";ABS(Dk1)</t>
  </si>
  <si>
    <t>46172 IF Int THEN</t>
  </si>
  <si>
    <t>46173           MOVE Linex+Sp,225+Sp</t>
  </si>
  <si>
    <t>46174           LABEL USING "K,MDDDDDD.3D";"D.Troc.teor.=&gt;";ABS(Dna1_2)</t>
  </si>
  <si>
    <t>46175           CSIZE 1.7,.5</t>
  </si>
  <si>
    <t>46176           MOVE Linex+Sp,220+Sp</t>
  </si>
  <si>
    <t>46177           LABEL "Valore di TROCOIDE teorico generato"</t>
  </si>
  <si>
    <t>46178           CSIZE 2.5,.55</t>
  </si>
  <si>
    <t>46179 ELSE</t>
  </si>
  <si>
    <t>46180           MOVE Linex+Sp,235+Sp</t>
  </si>
  <si>
    <t>46181           LABEL USING "K,MDDDDDD.3D";"D.TIF teor. =&gt;";ABS(Dnf1_pr)</t>
  </si>
  <si>
    <t>46182 END IF</t>
  </si>
  <si>
    <t>46183 END IF</t>
  </si>
  <si>
    <t>46184 IF Mdk=1 THEN GOTO Mdingr</t>
  </si>
  <si>
    <t>46185 IF W=1 THEN GOTO Wingr</t>
  </si>
  <si>
    <t>46186 IF Sps=1 THEN GOTO Spingr</t>
  </si>
  <si>
    <t>46189 IF LEN(K1$) THEN</t>
  </si>
  <si>
    <t>46190 MOVE Linex+Sp,215+Sp</t>
  </si>
  <si>
    <t>46191            LABEL USING "K,4D.3D,K,2D.3D";"Cordale W=&gt;";ABS(W1);"/";ABS(K1)</t>
  </si>
  <si>
    <t>46192 GOTO Prappy</t>
  </si>
  <si>
    <t>46193 END IF</t>
  </si>
  <si>
    <t>46196 IF Mdk THEN</t>
  </si>
  <si>
    <t>46197 MOVE (Linex-5)+Sp,210+Sp</t>
  </si>
  <si>
    <t>46198           LABEL USING "K,4D.3D,K,2D.3D";"M 2 Rulli=&gt;";ABS(Mdk),"/";Dm</t>
  </si>
  <si>
    <t>46199 GOTO Prappy</t>
  </si>
  <si>
    <t>46200 END IF</t>
  </si>
  <si>
    <t>46206 GOTO Prappy</t>
  </si>
  <si>
    <t>46223          INTEGER P,Pen</t>
  </si>
  <si>
    <t>46224          FOR P=0 TO Nt STEP 1</t>
  </si>
  <si>
    <t>46225          IF P&gt;N THEN</t>
  </si>
  <si>
    <t>46226          F=-1</t>
  </si>
  <si>
    <t>46227          I=P-N-1</t>
  </si>
  <si>
    <t>46228          ELSE</t>
  </si>
  <si>
    <t>46229          I=P</t>
  </si>
  <si>
    <t>46230          F=1</t>
  </si>
  <si>
    <t>46231          END IF</t>
  </si>
  <si>
    <t>46232          Di=Min_diam+I*Incr</t>
  </si>
  <si>
    <t>46233          IF ABS(Di)&lt;ABS(Db) THEN</t>
  </si>
  <si>
    <t>46234          Q=1</t>
  </si>
  <si>
    <t>46235          ELSE</t>
  </si>
  <si>
    <t>46236          Q=ABS(Db)/Di</t>
  </si>
  <si>
    <t>46237          END IF</t>
  </si>
  <si>
    <t>46238          Inv_api=TAN(ACS(Q))-ACS(Q)</t>
  </si>
  <si>
    <t>46239          X=F*Di*SIN(Psb-Inv_api)/2</t>
  </si>
  <si>
    <t>46240          Y=Di*COS(Psb-Inv_api)/2</t>
  </si>
  <si>
    <t>46241          Pen=1</t>
  </si>
  <si>
    <t>46242   IF NOT Bis AND NOT Norm THEN</t>
  </si>
  <si>
    <t>46243          IF D_stc_f THEN</t>
  </si>
  <si>
    <t>46244                     IF NOT Int AND I&lt;S THEN</t>
  </si>
  <si>
    <t>46245                            IF FRACT(I/2) THEN</t>
  </si>
  <si>
    <t>46246                                          Pen=0</t>
  </si>
  <si>
    <t>46247                            ELSE</t>
  </si>
  <si>
    <t>46248                                          Pen=1</t>
  </si>
  <si>
    <t>46249                            END IF</t>
  </si>
  <si>
    <t>46250                     END IF</t>
  </si>
  <si>
    <t>46252                     IF Int AND I&gt;(N-S) THEN</t>
  </si>
  <si>
    <t>46253                            IF FRACT(I/2) THEN</t>
  </si>
  <si>
    <t>46254                                          Pen=0</t>
  </si>
  <si>
    <t>46255                            ELSE</t>
  </si>
  <si>
    <t>46256                                          Pen=1</t>
  </si>
  <si>
    <t>46257                            END IF</t>
  </si>
  <si>
    <t>46258                     END IF</t>
  </si>
  <si>
    <t>46260          END IF</t>
  </si>
  <si>
    <t>46261   END IF</t>
  </si>
  <si>
    <t>46262       IF P=N THEN Pen=0</t>
  </si>
  <si>
    <t>46263          IF Bis THEN</t>
  </si>
  <si>
    <t>46264          IF Norm THEN</t>
  </si>
  <si>
    <t>46265          Bis_n(P,0)=X</t>
  </si>
  <si>
    <t>46266          Bis_n(P,1)=Y</t>
  </si>
  <si>
    <t>46267          Bis_n(P,2)=Pen</t>
  </si>
  <si>
    <t>46268          ELSE</t>
  </si>
  <si>
    <t>46269          Bis_t(P,0)=X</t>
  </si>
  <si>
    <t>46270          Bis_t(P,1)=Y</t>
  </si>
  <si>
    <t>46271          Bis_t(P,2)=Pen</t>
  </si>
  <si>
    <t>46272          END IF</t>
  </si>
  <si>
    <t>46273          ELSE</t>
  </si>
  <si>
    <t>46274          IF Norm THEN</t>
  </si>
  <si>
    <t>46275          Prof_n(P,0)=X</t>
  </si>
  <si>
    <t>46276          Prof_n(P,1)=Y</t>
  </si>
  <si>
    <t>46277          Prof_n(P,2)=Pen</t>
  </si>
  <si>
    <t>46278          ELSE</t>
  </si>
  <si>
    <t>46279          Prof_t(P,0)=X</t>
  </si>
  <si>
    <t>46280          Prof_t(P,1)=Y</t>
  </si>
  <si>
    <t>46281          Prof_t(P,2)=Pen</t>
  </si>
  <si>
    <t>46282          END IF</t>
  </si>
  <si>
    <t>46283          END IF</t>
  </si>
  <si>
    <t>46284          NEXT P</t>
  </si>
  <si>
    <t>46285          RETURN</t>
  </si>
  <si>
    <t>46288         GRAPHICS ON</t>
  </si>
  <si>
    <t>46289         LINE TYPE 1</t>
  </si>
  <si>
    <t>46290         CALL Plot_pivot(Ang_rot)</t>
  </si>
  <si>
    <t>46291         IF Norm THEN</t>
  </si>
  <si>
    <t>46292         PEN 1</t>
  </si>
  <si>
    <t>46293         CALL Plot_array(Prof_n(*))</t>
  </si>
  <si>
    <t>46294         PEN -1</t>
  </si>
  <si>
    <t>46295         MOVE 0,0</t>
  </si>
  <si>
    <t>46296         IF Bis THEN</t>
  </si>
  <si>
    <t>46297         PEN 1</t>
  </si>
  <si>
    <t>46298         CALL Plot_array(Bis_n(*))</t>
  </si>
  <si>
    <t>46299         PEN -1</t>
  </si>
  <si>
    <t>46300         CALL Plot_move(0,0)</t>
  </si>
  <si>
    <t>46301         END IF</t>
  </si>
  <si>
    <t>46302         ELSE</t>
  </si>
  <si>
    <t>46303         PEN 1</t>
  </si>
  <si>
    <t>46304         CALL Plot_array(Prof_t(*))</t>
  </si>
  <si>
    <t>46305         PEN -1</t>
  </si>
  <si>
    <t>46306         CALL Plot_move(0,0)</t>
  </si>
  <si>
    <t>46307         IF Bis THEN</t>
  </si>
  <si>
    <t>46308         PEN 1</t>
  </si>
  <si>
    <t>46309         CALL Plot_array(Bis_t(*))</t>
  </si>
  <si>
    <t>46310         PEN -1</t>
  </si>
  <si>
    <t>46311         CALL Plot_move(0,0)</t>
  </si>
  <si>
    <t>46312         END IF</t>
  </si>
  <si>
    <t>46313      IF Ra0 THEN</t>
  </si>
  <si>
    <t>46314                 PEN 1</t>
  </si>
  <si>
    <t>46315                 CALL Plot_array(Troc(*))</t>
  </si>
  <si>
    <t>46316                 PEN -1</t>
  </si>
  <si>
    <t>46317                 CALL Plot_move(0,0)</t>
  </si>
  <si>
    <t>46318      END IF</t>
  </si>
  <si>
    <t>46319         END IF</t>
  </si>
  <si>
    <t>46320         RETURN</t>
  </si>
  <si>
    <t>46323         GCLEAR</t>
  </si>
  <si>
    <t>46324         PEN 0</t>
  </si>
  <si>
    <t>46325         IF Ra0_draw=1 THEN</t>
  </si>
  <si>
    <t>46326                          Ra0=0</t>
  </si>
  <si>
    <t>46327                          Ra0_draw=0</t>
  </si>
  <si>
    <t>46328         END IF</t>
  </si>
  <si>
    <t>46336 ENTER 2;A$</t>
  </si>
  <si>
    <t>46337   OUTPUT 2;Clear$;</t>
  </si>
  <si>
    <t>46339   GCLEAR</t>
  </si>
  <si>
    <t>46340   ASSIGN @Plot TO *              ! @@@@ CHISURA FILE  @@@@</t>
  </si>
  <si>
    <t>46347   ASSIGN @Plot TO *              ! @@@@ CHISURA FILE  @@@@</t>
  </si>
  <si>
    <t>46349   SUBEND</t>
  </si>
  <si>
    <t>46351   SUB Ingr_utens</t>
  </si>
  <si>
    <t>46355 COM /Plot/@Plot,File$[80],Prima,Raps,Ang_piv,Lorg,Csize,Ldir</t>
  </si>
  <si>
    <t>46359   COM Progettista$,Clear$,Home$,Cliente$,Dis$,K1$,Dp$,Mn$,Mt$,Apn$,Apt$,Apkn$,Ael$,Sen_el$,Senso$,N_ingr$,N_sag$,Topping$,Lavor$,Work$,Tip_colt$,Work_b$,Work_c$,Fgtorn$,Tip_colt1$,Carkey$,Rf1p$,Rasap$,Dk1_f$,Apktprt$,Tetaprt$</t>
  </si>
  <si>
    <t>46360 COM /Dati_rasatura/Et1_f,En1_f,Sn1_f,Mdk_f,W1_f,Dm_f,D_stc_fprt,D_stc_iprt</t>
  </si>
  <si>
    <t>46361 COM REAL Sp,Mn,Mt,Ael,Apn,Apt,Db1,Da1,Df1,Dnf1,Dnf1_pr,Dk1,Apkn,Apkt,Sn1,St1,St1_f,En1,Et1,Skt1,Skn1,Psbt1,X1,W1,Dm,Mdk,Sykes,D_topp,X_hap,X_hfp,X1mn,Dk1_f,Rf1p,Prtmdk,Prtw,Prtsps,Dk1_f1</t>
  </si>
  <si>
    <t>46362 COM REAL Mwt,Da0,Dna0,Da0t,Pskbt1,Db0h,Db0t,Dkb0,D_stc_f,D_stc_i,Ra0,X_max,Swmt0,San0,Skwmt0,Dwtm,Apkwtm,Inv_apt,Gm,Zeta_h,Zeta_t,Zeta_kb_f,Dv0</t>
  </si>
  <si>
    <t>46363 COM INTEGER Z1,Z0,K1,Int,Elic,Std,Centro,Protuberanzap</t>
  </si>
  <si>
    <t>46364   COM /Dati_ep/ REAL Dkb0h,Dkb0t,Psep_kb0h,Psep_kb0t,Psep_b0h,Psep_b0t,Da0_ep,Da0_ept,Da0_eph,H_pzepm_t,H_pzepm_h</t>
  </si>
  <si>
    <t>46365   INTEGER Neo_ingr</t>
  </si>
  <si>
    <t>46367        CONFIGURE DUMP TO "WIN-DUMP"</t>
  </si>
  <si>
    <t>46368        OFF KEY</t>
  </si>
  <si>
    <t>46369        OUTPUT 2;Clear$;</t>
  </si>
  <si>
    <t>46370        PRINT TAB(Centro);</t>
  </si>
  <si>
    <t>46371        PRINT CHR$(129);"INGRANDIMENTO PROFILO UTENSILE"</t>
  </si>
  <si>
    <t>46372        PRINT CHR$(128);</t>
  </si>
  <si>
    <t>46373        PRINT TABXY(Centro,5);"F1       STAMPA SU VIDEO"</t>
  </si>
  <si>
    <t>46374        PRINT TABXY(Centro,8);"F2       STAMPA  DATI AUTOCAD"</t>
  </si>
  <si>
    <t>46375        PRINT TABXY(Centro,11);"F8      USCITA PROGRAMMA"</t>
  </si>
  <si>
    <t>46376        PRINT</t>
  </si>
  <si>
    <t>46377        PRINT</t>
  </si>
  <si>
    <t>46378        PRINT</t>
  </si>
  <si>
    <t>46379        PRINT</t>
  </si>
  <si>
    <t>46380        PRINT "DIAMETRO episcopico =";Da0_ep</t>
  </si>
  <si>
    <t>46381        DISP "Premere la SOFTKEY per la scelta della stampa -(Verificare accensione PLOTTER)";</t>
  </si>
  <si>
    <t>46383        ON KEY 1 LABEL "STAMPA VIDEO" GOTO Video</t>
  </si>
  <si>
    <t>46384        ON KEY 4 LABEL "STAMPA DATI " GOTO Plotter</t>
  </si>
  <si>
    <t>46387        ON KEY 8 LABEL "USCITA" GOTO Fine</t>
  </si>
  <si>
    <t>46399            Printdata$="YYY"</t>
  </si>
  <si>
    <t>46400            INTEGER Plott</t>
  </si>
  <si>
    <t>46401            Plott=1</t>
  </si>
  <si>
    <t>46402            GINIT</t>
  </si>
  <si>
    <t>46406            Gdu_mm=1              !Gdu_mm=.02487315</t>
  </si>
  <si>
    <t>46407            GOTO Stampa_dati               !GOTO Ann_matr</t>
  </si>
  <si>
    <t>46409            Printdata$=""</t>
  </si>
  <si>
    <t>46410            Plott=0</t>
  </si>
  <si>
    <t>46411            File$="C:\programmi\htbwin83\newprog\filesfellows\Ingr_Utens.scr"              ! @@@@@@@@@inizializzazione File$</t>
  </si>
  <si>
    <t>46412            CALL Plot_init              !    GINIT</t>
  </si>
  <si>
    <t>46414            AXES</t>
  </si>
  <si>
    <t>46415            PLOTTER IS CRT,"INTERNAL"</t>
  </si>
  <si>
    <t>46416            INTEGER Dx</t>
  </si>
  <si>
    <t>46417            OFF KEY</t>
  </si>
  <si>
    <t>46418            OUTPUT 2;Clear$;</t>
  </si>
  <si>
    <t>46419            IF Neo AND Norm THEN DEALLOCATE Prof_n(*)</t>
  </si>
  <si>
    <t>46420            IF Neo AND NOT Norm THEN DEALLOCATE Prof_t(*)</t>
  </si>
  <si>
    <t>46421            IF Bis THEN</t>
  </si>
  <si>
    <t>46422            Bis=0</t>
  </si>
  <si>
    <t>46423            IF Neo AND Norm THEN DEALLOCATE Bis_n(*)</t>
  </si>
  <si>
    <t>46424            IF Neo AND NOT Norm THEN DEALLOCATE Bis_t(*)</t>
  </si>
  <si>
    <t>46430            END IF</t>
  </si>
  <si>
    <t>46440            IF NOT Elic THEN Sez_norm</t>
  </si>
  <si>
    <t>46460    Dx=0</t>
  </si>
  <si>
    <t>46480       IF Senso$="DESTRO" THEN</t>
  </si>
  <si>
    <t>46490                              Dx=1</t>
  </si>
  <si>
    <t>46500                              Senso_s$="Des."</t>
  </si>
  <si>
    <t>46510                              GOTO Prt_ingr</t>
  </si>
  <si>
    <t>46520       END IF</t>
  </si>
  <si>
    <t>46550       IF Senso$="SINISTRO" THEN Senso_s$="Sin."</t>
  </si>
  <si>
    <t>46580            OFF KEY</t>
  </si>
  <si>
    <t>46590            PRINT TABXY(Centro,5),"F5     INGRANDIMENTO SEZIONE NORMALE"</t>
  </si>
  <si>
    <t>46600            PRINT TABXY(Centro,8),"F8     INGRANDIMENTO PIANO EPISCOPICO"</t>
  </si>
  <si>
    <t>46620            DISP "Premere la SOFTKEY corrispondente alla Sezione prescelta"</t>
  </si>
  <si>
    <t>46640            ON KEY 5 LABEL "SEZ.NORMALE" GOTO Sez_norm</t>
  </si>
  <si>
    <t>46650            ON KEY 8 LABEL "P.EPISCOPICO." GOTO P_episc</t>
  </si>
  <si>
    <t>46700         INTEGER Norm</t>
  </si>
  <si>
    <t>46710         Norm=1</t>
  </si>
  <si>
    <t>46720         Z=Z0/(COS(Ael)^3)</t>
  </si>
  <si>
    <t>46730         M=Mn</t>
  </si>
  <si>
    <t>46740         Ap=Apn</t>
  </si>
  <si>
    <t>46750         Db=M*Z*COS(Ap)</t>
  </si>
  <si>
    <t>46770          N_da0=0</t>
  </si>
  <si>
    <t>46780          INPUT "DIAMETRO DI TESTA UTENSILE ?",N_da0</t>
  </si>
  <si>
    <t>46790       IF N_da0=0 THEN N_da0=Da0</t>
  </si>
  <si>
    <t>46800          A0=(Df1+N_da0)/2</t>
  </si>
  <si>
    <t>46810          Apwt=ACS((Mt*(Z1+Z0)*COS(Apt))/(2*A0))</t>
  </si>
  <si>
    <t>46820          Inv_apwt=TAN(Apwt)-Apwt</t>
  </si>
  <si>
    <t>46830          St0=(PI*Mt-St1)+(Inv_apwt-Inv_apt)*(Z1+Z0)*Mt</t>
  </si>
  <si>
    <t>46840   IF Dk1 THEN</t>
  </si>
  <si>
    <t>46850          Inv_apkwt=TAN(ACS((COS(Apkt)/COS(Apt))*COS(Apwt)))-ACS((COS(Apkt)/COS(Apt))*COS(Apwt))</t>
  </si>
  <si>
    <t>46860          Pskbt0=1/Z0*(PI+Inv_apkwt*(Z1+Z0))-Z1/Z0*Pskbt1</t>
  </si>
  <si>
    <t>46870   END IF</t>
  </si>
  <si>
    <t>46900                 Da=M*Z+N_da0-Mt*Z0</t>
  </si>
  <si>
    <t>46910                 Df=Da-Da1+Df1-.5*Mn</t>
  </si>
  <si>
    <t>46920                 Psb=St0/(Mt*Z0)*(COS(Ael)^3)+TAN(Ap)-Ap</t>
  </si>
  <si>
    <t>46930          IF Dk1 THEN</t>
  </si>
  <si>
    <t>46940                   Dkb=M*Z*COS(Apkn)</t>
  </si>
  <si>
    <t>46950                   Dfk0=N_da0-Da1+Df1</t>
  </si>
  <si>
    <t>46960                   Dfkn0=Da-Da1+Df1</t>
  </si>
  <si>
    <t>46970             IF Dkb&gt;Dfkn0 THEN Dfkn0=Dkb</t>
  </si>
  <si>
    <t>46980             IF Dkb0&gt;Dfk0 THEN Dfk0=Dkb0</t>
  </si>
  <si>
    <t>46990                   Inv_apkfk0=TAN(ACS(Dkb0/Dfk0))-ACS(Dkb0/Dfk0)</t>
  </si>
  <si>
    <t>47000                   Inv_apkfkn0=TAN(ACS(Dkb/Dfkn0))-ACS(Dkb/Dfkn0)</t>
  </si>
  <si>
    <t>47010                   Pskfkn0=Dfk0*(Pskbt0-Inv_apkfk0)*COS(Ael)/Dfkn0</t>
  </si>
  <si>
    <t>47020                   Pskb=Pskfkn0+Inv_apkfkn0</t>
  </si>
  <si>
    <t>47030                   Dk=Dfkn0</t>
  </si>
  <si>
    <t>47040          END IF</t>
  </si>
  <si>
    <t>47050                  GOTO Graphics</t>
  </si>
  <si>
    <t>47080         Norm=0</t>
  </si>
  <si>
    <t>47090         M=Mt</t>
  </si>
  <si>
    <t>47100         Z=Z0</t>
  </si>
  <si>
    <t>47110         Ap=Apt</t>
  </si>
  <si>
    <t>47120         Da=Da0</t>
  </si>
  <si>
    <t>47130         N_da0=Da0</t>
  </si>
  <si>
    <t>47140         Df=Da-Da1+Df1-.5*Mn</t>
  </si>
  <si>
    <t>47150         IF Dk1 THEN Dk=Da0-Da1+Df1</t>
  </si>
  <si>
    <t>47180           INTEGER Scala</t>
  </si>
  <si>
    <t>47190           OFF KEY</t>
  </si>
  <si>
    <t>47200           OUTPUT 2;Clear$;</t>
  </si>
  <si>
    <t>47210           GRAPHICS ON</t>
  </si>
  <si>
    <t>47220           GCLEAR</t>
  </si>
  <si>
    <t>47230 IF Plott=1 THEN</t>
  </si>
  <si>
    <t>47240            GOTO Chktutto</t>
  </si>
  <si>
    <t>47250 ELSE</t>
  </si>
  <si>
    <t>47260            Scala=0</t>
  </si>
  <si>
    <t>47270 END IF</t>
  </si>
  <si>
    <t>47280           INPUT "SCALA  ?",Scala</t>
  </si>
  <si>
    <t>47290 IF Scala=0 THEN Scala=1</t>
  </si>
  <si>
    <t>47320 IF Plott THEN</t>
  </si>
  <si>
    <t>47330           GOTO Label_dati</t>
  </si>
  <si>
    <t xml:space="preserve">47340                         !          </t>
  </si>
  <si>
    <t>47350           PLOTTER IS 705,"HPGL"</t>
  </si>
  <si>
    <t>47360           OUTPUT 705;"OP;";</t>
  </si>
  <si>
    <t>47370           ENTER 705;P1x,P1y,P2x,P2y</t>
  </si>
  <si>
    <t>47380           X_min=0</t>
  </si>
  <si>
    <t>47390           Y_min=0</t>
  </si>
  <si>
    <t>47400           INPUT "X Minimo?[RISP.(-);RIF.(-201)]",X_min</t>
  </si>
  <si>
    <t>47410           INPUT "Y Minimo?[RISP.(-);RIF.(-137)]",Y_min</t>
  </si>
  <si>
    <t>47420        IF X_min=0 THEN X_min=-(P2x/2*Gdu_mm)</t>
  </si>
  <si>
    <t>47430        IF Y_min=0 THEN Y_min=-(P2y/2*Gdu_mm)</t>
  </si>
  <si>
    <t>47440           X_0=X_min/Scala</t>
  </si>
  <si>
    <t>47450           X_1=P2x*Gdu_mm/Scala+X_0</t>
  </si>
  <si>
    <t>47460           Y_0=ABS(M*Z)/2+Y_min/Scala</t>
  </si>
  <si>
    <t>47470           Y_1=Y_0+P2y*Gdu_mm/Scala</t>
  </si>
  <si>
    <t>47480  ELSE</t>
  </si>
  <si>
    <t>47490           X_min=0</t>
  </si>
  <si>
    <t>47500           Y_min=0</t>
  </si>
  <si>
    <t>47510           INPUT "X Minimo ? [Risp.(-);Rif.(-50)]",X_min</t>
  </si>
  <si>
    <t>47520           INPUT "Y Minimo ? [Risp.(-);Rif.(-55)]",Y_min</t>
  </si>
  <si>
    <t>47530        IF X_min=0 THEN X_min=-105*RATIO</t>
  </si>
  <si>
    <t>47540        IF Y_min=0 THEN Y_min=-105</t>
  </si>
  <si>
    <t>47550           X_0=X_min/Scala</t>
  </si>
  <si>
    <t>47560           X_1=(210*RATIO+X_min)/Scala</t>
  </si>
  <si>
    <t>47570           Y_0=ABS(M*Z)/2+Y_min/Scala</t>
  </si>
  <si>
    <t>47580           Y_1=ABS(M*Z)/2+(210+Y_min)/Scala</t>
  </si>
  <si>
    <t>47590  END IF</t>
  </si>
  <si>
    <t>47600           PEN 2</t>
  </si>
  <si>
    <t>47610           SHOW X_0,X_1,Y_0,Y_1</t>
  </si>
  <si>
    <t>47620        IF NOT Neo_ingr THEN FRAME</t>
  </si>
  <si>
    <t>47630           GOSUB Diam</t>
  </si>
  <si>
    <t>47650     IF Elic AND Norm THEN</t>
  </si>
  <si>
    <t>47660                          Angle=0</t>
  </si>
  <si>
    <t>47670                          Zv=1</t>
  </si>
  <si>
    <t>47680                          GOTO Profilo</t>
  </si>
  <si>
    <t>47690     ELSE</t>
  </si>
  <si>
    <t>47720           OFF KEY</t>
  </si>
  <si>
    <t>47730           DISP "Scegliere tramite la SOFTKEY la posizione del dente"</t>
  </si>
  <si>
    <t>47740           ON KEY 5 LABEL "DENTE CENTR." GOTO Z_centr</t>
  </si>
  <si>
    <t>47750           ON KEY 8 LABEL "VANO CENTR." GOTO V_centr</t>
  </si>
  <si>
    <t>47800             OFF KEY</t>
  </si>
  <si>
    <t>47810             Angle=0</t>
  </si>
  <si>
    <t>47820             GOTO N_z</t>
  </si>
  <si>
    <t>47850             OFF KEY</t>
  </si>
  <si>
    <t>47860             Angle=PI/ABS(Z)</t>
  </si>
  <si>
    <t>47890         INTEGER Zv</t>
  </si>
  <si>
    <t>47900         INPUT "Numero di denti visualizzato ?",Zv</t>
  </si>
  <si>
    <t>47910         GOTO Profilo</t>
  </si>
  <si>
    <t>47930     END IF</t>
  </si>
  <si>
    <t>47950 IF Elic AND Norm THEN</t>
  </si>
  <si>
    <t>47960           Dp=Da</t>
  </si>
  <si>
    <t>47970           LINE TYPE 1</t>
  </si>
  <si>
    <t>47980           Arc=San0/2</t>
  </si>
  <si>
    <t>47990           GOSUB Plt_diam</t>
  </si>
  <si>
    <t>48000        IF Dk THEN</t>
  </si>
  <si>
    <t>48010           LINE TYPE 4</t>
  </si>
  <si>
    <t>48020           Dp=Dk</t>
  </si>
  <si>
    <t>48030           Arc=Pskfkn0*Dp/2+.75*Mn</t>
  </si>
  <si>
    <t>48040           GOSUB Plt_diam</t>
  </si>
  <si>
    <t>48050        END IF</t>
  </si>
  <si>
    <t>48060 ELSE</t>
  </si>
  <si>
    <t>48070           Dp=ABS(Da)</t>
  </si>
  <si>
    <t>48080           LINE TYPE 1</t>
  </si>
  <si>
    <t>48090           GOSUB Plt_diam</t>
  </si>
  <si>
    <t>48100     IF Dk THEN</t>
  </si>
  <si>
    <t>48110           LINE TYPE 4</t>
  </si>
  <si>
    <t>48120           Dp=ABS(Dk)</t>
  </si>
  <si>
    <t>48130           GOSUB Plt_diam</t>
  </si>
  <si>
    <t>48140     END IF</t>
  </si>
  <si>
    <t>48150     IF Neo_ingr THEN Rientro</t>
  </si>
  <si>
    <t>48160           LINE TYPE 1</t>
  </si>
  <si>
    <t>48170           Dp=Da0t</t>
  </si>
  <si>
    <t>48180           GOSUB Plt_diam</t>
  </si>
  <si>
    <t>48190             IF Elic AND NOT Norm THEN</t>
  </si>
  <si>
    <t>48200                             LINE TYPE 7</t>
  </si>
  <si>
    <t>48210                             Dp=ABS(Da0_ep)</t>
  </si>
  <si>
    <t>48220                             GOSUB Plt_diam</t>
  </si>
  <si>
    <t>48230                             LINE TYPE 1</t>
  </si>
  <si>
    <t>48240             END IF</t>
  </si>
  <si>
    <t>48250        IF NOT Dk1 THEN</t>
  </si>
  <si>
    <t>48260           Dp=ABS(Df)</t>
  </si>
  <si>
    <t>48270           GOSUB Plt_diam</t>
  </si>
  <si>
    <t>48280        END IF</t>
  </si>
  <si>
    <t>48290        IF ABS(Db)&gt;ABS(Df) THEN</t>
  </si>
  <si>
    <t>48300           Dp=ABS(Db)</t>
  </si>
  <si>
    <t>48310           LINE TYPE 8</t>
  </si>
  <si>
    <t>48320           GOSUB Plt_diam</t>
  </si>
  <si>
    <t>48330        END IF</t>
  </si>
  <si>
    <t>48350           INPUT "Diametro da plottare ?",Dp</t>
  </si>
  <si>
    <t>48360     IF Dp THEN</t>
  </si>
  <si>
    <t>48370           LINE TYPE 5</t>
  </si>
  <si>
    <t>48380        IF Norm THEN Dp=ABS(M*Z+Dp-Mt*Z0)</t>
  </si>
  <si>
    <t>48390           GOSUB Plt_diam</t>
  </si>
  <si>
    <t>48400     ELSE</t>
  </si>
  <si>
    <t>48410           GOTO Rientro</t>
  </si>
  <si>
    <t>48420     END IF</t>
  </si>
  <si>
    <t>48430           GOTO Inp_diam</t>
  </si>
  <si>
    <t>48440 END IF</t>
  </si>
  <si>
    <t>48480        Dp=Dp/2</t>
  </si>
  <si>
    <t>48490 IF Elic AND Norm THEN</t>
  </si>
  <si>
    <t>48500        End=ASN(Arc/Dp)</t>
  </si>
  <si>
    <t>48510        Start=ASN(-Arc/Dp)</t>
  </si>
  <si>
    <t>48520        Step=(End-Start)/10</t>
  </si>
  <si>
    <t>48530 ELSE</t>
  </si>
  <si>
    <t>48540        Lim_dx=X_1/Dp</t>
  </si>
  <si>
    <t>48550        Lim_sx=X_0/Dp</t>
  </si>
  <si>
    <t>48560     IF Lim_dx&gt;1 THEN Lim_dx=1</t>
  </si>
  <si>
    <t>48570     IF ABS(Lim_sx)&gt;1 THEN Lim_sx=-1</t>
  </si>
  <si>
    <t>48580        End=ASN(Lim_dx)</t>
  </si>
  <si>
    <t>48590        Start=ASN(Lim_sx)</t>
  </si>
  <si>
    <t>48600        Step=(End-Start)/100</t>
  </si>
  <si>
    <t>48610 END IF</t>
  </si>
  <si>
    <t>48620        PEN 1</t>
  </si>
  <si>
    <t>48630        CALL Plot_move(Dp*SIN(Start),Dp*COS(Start))</t>
  </si>
  <si>
    <t>48640        FOR I=Start TO End STEP Step</t>
  </si>
  <si>
    <t>48650        CALL Plot_draw(Dp*SIN(I),Dp*COS(I))</t>
  </si>
  <si>
    <t>48660        NEXT I</t>
  </si>
  <si>
    <t>48670        PEN -1</t>
  </si>
  <si>
    <t>48680        PENUP</t>
  </si>
  <si>
    <t>48690        RETURN</t>
  </si>
  <si>
    <t>48720        INTEGER F,Nt</t>
  </si>
  <si>
    <t>48730    IF Elic AND Norm THEN</t>
  </si>
  <si>
    <t>48740        Max_diam=Da</t>
  </si>
  <si>
    <t>48750    ELSE</t>
  </si>
  <si>
    <t>48760        IF Neo_ingr THEN</t>
  </si>
  <si>
    <t>48770           Max_diam=Da</t>
  </si>
  <si>
    <t>48780        ELSE</t>
  </si>
  <si>
    <t>48790           Max_diam=Da0t</t>
  </si>
  <si>
    <t>48800        END IF</t>
  </si>
  <si>
    <t>48810    END IF</t>
  </si>
  <si>
    <t>48820        Min_diam=Df</t>
  </si>
  <si>
    <t>48830    IF Dk THEN Min_diam=Dk</t>
  </si>
  <si>
    <t>48840        N=(Max_diam-Min_diam)/(3/Scala)</t>
  </si>
  <si>
    <t>48850        N=INT(N)</t>
  </si>
  <si>
    <t>48860        Incr=(Max_diam-Min_diam)/N</t>
  </si>
  <si>
    <t>48870        Nt=2*N+1</t>
  </si>
  <si>
    <t>48880    IF Norm THEN</t>
  </si>
  <si>
    <t>48890        ALLOCATE Prof_n(0:Nt,0:2)</t>
  </si>
  <si>
    <t>48900    ELSE</t>
  </si>
  <si>
    <t>48910        ALLOCATE Prof_t(0:Nt,0:2)</t>
  </si>
  <si>
    <t>48920    END IF</t>
  </si>
  <si>
    <t>48930        GOSUB Matr_prof</t>
  </si>
  <si>
    <t>48950         IF Dk1 THEN</t>
  </si>
  <si>
    <t>48960                    INTEGER Bis</t>
  </si>
  <si>
    <t>48970                    Bis=1</t>
  </si>
  <si>
    <t>48980                    N=(Dk+.90*Mn-Df)/(5/Scala)</t>
  </si>
  <si>
    <t>48990                    N=INT(N)</t>
  </si>
  <si>
    <t>49000                    Incr=(Dk+.90*Mn-Df)/N</t>
  </si>
  <si>
    <t>49010                    Nt=N*2+1</t>
  </si>
  <si>
    <t>49020                    Min_diam=Df</t>
  </si>
  <si>
    <t>49030             IF Norm THEN</t>
  </si>
  <si>
    <t>49040                    Db=Dkb</t>
  </si>
  <si>
    <t>49050                    Psb=Pskb</t>
  </si>
  <si>
    <t>49060                    ALLOCATE Bis_n(0:Nt,0:2)</t>
  </si>
  <si>
    <t>49070             ELSE</t>
  </si>
  <si>
    <t>49080                    ALLOCATE Bis_t(0:Nt,0:2)</t>
  </si>
  <si>
    <t>49090             END IF</t>
  </si>
  <si>
    <t>49100                    GOSUB Matr_prof</t>
  </si>
  <si>
    <t>49110         END IF</t>
  </si>
  <si>
    <t>49140         FOR Nz=-INT(Zv/2)*2*PI/Z TO INT(Zv/2)*2*PI/Z STEP 2*PI/Z</t>
  </si>
  <si>
    <t>49150         Ang_rot=Angle+Nz</t>
  </si>
  <si>
    <t>49160         CALL Plot_move(0,0)</t>
  </si>
  <si>
    <t>49170         GOSUB Plt_prof</t>
  </si>
  <si>
    <t>49180         NEXT Nz</t>
  </si>
  <si>
    <t>49220           CALL Plot_pivot(0)</t>
  </si>
  <si>
    <t>49230           PEN 1</t>
  </si>
  <si>
    <t>49240                 IF NOT Neo_ingr THEN AXES 0,0,0,ABS(M*Z)/2</t>
  </si>
  <si>
    <t>49250           PEN 2</t>
  </si>
  <si>
    <t>49290    IF Plott THEN</t>
  </si>
  <si>
    <t>49300           Plot_csize(2)</t>
  </si>
  <si>
    <t>49310             ELSE</t>
  </si>
  <si>
    <t>49320           Plot_csize(3)</t>
  </si>
  <si>
    <t>49330             END IF</t>
  </si>
  <si>
    <t>49350    IF Norm THEN</t>
  </si>
  <si>
    <t>49360                                 J=15</t>
  </si>
  <si>
    <t>49370                     ELSE</t>
  </si>
  <si>
    <t>49380                                 J=7</t>
  </si>
  <si>
    <t>49390                     END IF</t>
  </si>
  <si>
    <t>49400           LORG 1                          !CALL Plot_lorg(1)</t>
  </si>
  <si>
    <t>49410           MOVE J*Px_sc,Da/2               !CALL Plot_move(J*Px_sc,Da/2)</t>
  </si>
  <si>
    <t>49420           LABEL USING "K,6D.2D";"Da0 ",N_da0</t>
  </si>
  <si>
    <t>49430    IF Neo_ingr THEN Neo_ingr</t>
  </si>
  <si>
    <t>49440           PEN 1</t>
  </si>
  <si>
    <t>49450           ENTER 2;A$</t>
  </si>
  <si>
    <t>49470            OFF KEY</t>
  </si>
  <si>
    <t>49480            DISP "Premere la SOFTKEY se si vuole la stampa dei dati"</t>
  </si>
  <si>
    <t>49520             GOTO Neo_ingr                !:GOTO Neo</t>
  </si>
  <si>
    <t>49550  IF LEN(Printdata$) THEN</t>
  </si>
  <si>
    <t>49560                           GOTO Printdd                 !GOTO Neo_ingr</t>
  </si>
  <si>
    <t>49570  ELSE</t>
  </si>
  <si>
    <t>49580                           GOTO Neo_ingr1               !GOTO Printdd</t>
  </si>
  <si>
    <t>49590  END IF</t>
  </si>
  <si>
    <t>49610 OUTPUT 2;Clear$;</t>
  </si>
  <si>
    <t>49620 OFF KEY</t>
  </si>
  <si>
    <t>49630      PLOTTER IS "c:\Programmi\HTBwin83\NEWPROG\DxfUTENS","HPGL;HPGL2",0,410,0,287</t>
  </si>
  <si>
    <t>49640      SHOW 0,410,0,287</t>
  </si>
  <si>
    <t>49650      LORG 1</t>
  </si>
  <si>
    <t>49660      FRAME</t>
  </si>
  <si>
    <t>49670      LDIR 0</t>
  </si>
  <si>
    <t>49680      IF NOT Scala THEN</t>
  </si>
  <si>
    <t>49690                    INPUT "SCALA  ?",Scala</t>
  </si>
  <si>
    <t>49700    ELSE</t>
  </si>
  <si>
    <t>49710                    PRINT</t>
  </si>
  <si>
    <t>49720                    PRINT</t>
  </si>
  <si>
    <t>49730                    PRINT</t>
  </si>
  <si>
    <t>49740                    PRINT</t>
  </si>
  <si>
    <t>49750                    PRINT</t>
  </si>
  <si>
    <t>49760                    PRINT CHR$(129)</t>
  </si>
  <si>
    <t>49770                    PRINT</t>
  </si>
  <si>
    <t>49780                    PRINT "RICORDATI!!  che nel CAD IL PROFILO VIENE SEMPRE RIPORTATO X 10 !!!!"</t>
  </si>
  <si>
    <t>49790                    PRINT</t>
  </si>
  <si>
    <t>49800                    PRINT</t>
  </si>
  <si>
    <t>49810                    PRINT "QUI DEVI INSERIRE SOLO IL VALORE DELLA SCALA DI STAMPA !!!"</t>
  </si>
  <si>
    <t>49820                    PRINT</t>
  </si>
  <si>
    <t>49830                    PRINT CHR$(128)</t>
  </si>
  <si>
    <t>49840                    BEEP</t>
  </si>
  <si>
    <t>49850                    INPUT "DIGITARE la SCALA da RIPORTARE nel FRAME di INGRANDIMENTO  ?",Scala</t>
  </si>
  <si>
    <t>49880    END IF</t>
  </si>
  <si>
    <t>49890      LINPUT "Introdurre il Numero di Ingrandimento",N_ingr$</t>
  </si>
  <si>
    <t>49920    IF Norm THEN</t>
  </si>
  <si>
    <t>49930                                 J=15</t>
  </si>
  <si>
    <t>49940                     ELSE</t>
  </si>
  <si>
    <t>49950                                 J=7</t>
  </si>
  <si>
    <t>49960                     END IF</t>
  </si>
  <si>
    <t>50040           PEN 2</t>
  </si>
  <si>
    <t>50050    IF Plott THEN</t>
  </si>
  <si>
    <t>50060           CSIZE 1.5,.2              !Plot_csize(2)</t>
  </si>
  <si>
    <t>50070             ELSE</t>
  </si>
  <si>
    <t>50080           CSIZE 3,.3              !Plot_csize(3)</t>
  </si>
  <si>
    <t>50100    END IF</t>
  </si>
  <si>
    <t xml:space="preserve">50120 !***************************************************************             </t>
  </si>
  <si>
    <t>50130   IF Norm THEN</t>
  </si>
  <si>
    <t>50140                                 J=15</t>
  </si>
  <si>
    <t>50150                     ELSE</t>
  </si>
  <si>
    <t>50160                                 J=7</t>
  </si>
  <si>
    <t>50170                     END IF</t>
  </si>
  <si>
    <t>50180                     CSIZE 3.5,.3</t>
  </si>
  <si>
    <t>50190           LORG 1              !CALL Plot_lorg(1)</t>
  </si>
  <si>
    <t>50200           MOVE 212+Sp,224+Sp                 !CALL Plot_move(J*Px_sc,Da0/2)</t>
  </si>
  <si>
    <t>50210           LABEL USING "K,6D.2D";"Da0 rettifica",N_da0</t>
  </si>
  <si>
    <t>50230           LORG 1              !CALL Plot_lorg(1)</t>
  </si>
  <si>
    <t>50240           MOVE 212+Sp,238+Sp               !MOVE 7*Px_sc,Da0t/2!CALL Plot_move(7*Px_sc,Da0t/2)</t>
  </si>
  <si>
    <t>50250           IF Norm AND NOT Elic THEN LABEL USING "K,6D.DD";"Da0-T torneria",Da0t</t>
  </si>
  <si>
    <t>50260           IF Elic AND NOT Norm THEN LABEL USING "K,6D.DD";"Da0_T torneria",Da0t</t>
  </si>
  <si>
    <t>50270                 IF Elic AND NOT Norm THEN</t>
  </si>
  <si>
    <t>50280                                 LORG 1              !CALL Plot_lorg(4)</t>
  </si>
  <si>
    <t>50290                                 MOVE 278+Sp,231+Sp               !MOVE -7*Px_sc,Da0_ep/2 !CALL Plot_move(-7*Px_sc,Da0_ep/2)</t>
  </si>
  <si>
    <t>50300                                 LABEL USING "K,6D.DD";"Da0-ep episcopica",Da0_ep</t>
  </si>
  <si>
    <t>50310                 END IF</t>
  </si>
  <si>
    <t>50320           CSIZE 5,.5              !Plot_csize(5)</t>
  </si>
  <si>
    <t>50330           LORG 1              !CALL Plot_lorg(5)</t>
  </si>
  <si>
    <t>50340           MOVE 40+Sp,235+Sp               !|CALL Plot_move(X_0+25*Px_sc,Y_1-7*Py_sc)</t>
  </si>
  <si>
    <t>50350           LABEL "SCALA x",Scala                 !CALL Plot_label(0,Y_0+7*Py_sc,"SCALA X"&amp;VAL$(Scala))</t>
  </si>
  <si>
    <t>50360           LORG 5</t>
  </si>
  <si>
    <t>50370           MOVE 205+Sp,35+Sp                     !MOVE 0,Y_0+7*Py_sc</t>
  </si>
  <si>
    <t>50400   IF Norm THEN</t>
  </si>
  <si>
    <t>50410           LABEL "PROIEZIONE NORMALE"                !CALL Plot_label(X_0+3*Px_sc,Y_0+2*Py_sc,"PROIEZIONE NORMALE")</t>
  </si>
  <si>
    <t>50420   ELSE</t>
  </si>
  <si>
    <t>50430           LABEL "PIANO EPISCOPICO"                  !CALL Plot_label(X_0+3*Px_sc,Y_0+2*Py_sc,"PIANO EPISCOPICO")</t>
  </si>
  <si>
    <t>50440   END IF</t>
  </si>
  <si>
    <t>50450           CSIZE 3.5,.6</t>
  </si>
  <si>
    <t>50460           LORG 1</t>
  </si>
  <si>
    <t>50470           MOVE 10+Sp,10+Sp              !MOVE X_0+3*Px_sc,Y_0+2*Py_sc</t>
  </si>
  <si>
    <t>50480           LABEL "CLIENTE ",Cliente$                !CALL Plot_label(X_0+40*Px_sc,Y_0+2*Py_sc,"CLIENTE"&amp;Cliente$)</t>
  </si>
  <si>
    <t>50490           MOVE 160+Sp,10+Sp                        !MOVE X_0+40*Px_sc,Y_0+2*Py_sc</t>
  </si>
  <si>
    <t>50500           LABEL "DISEGNO N°",Dis$                      !CALL Plot_label(X_0+3*Px_sc,Y_1-2*Py_sc,"DISEGNO N."&amp;Dis$)</t>
  </si>
  <si>
    <t>50520           MOVE 15+Sp,265+Sp                        !MOVE X_0+3*Px_sc,Y_1-2*Py_sc</t>
  </si>
  <si>
    <t>50540           CSIZE 3,.6</t>
  </si>
  <si>
    <t>50550   IF Elic THEN</t>
  </si>
  <si>
    <t>50560           LABEL USING "K,2D.3D";"MOD.N.";Mn</t>
  </si>
  <si>
    <t>50570   ELSE</t>
  </si>
  <si>
    <t>50580           LABEL USING "K,2D.3D";"MOD";Mn</t>
  </si>
  <si>
    <t>50590   END IF</t>
  </si>
  <si>
    <t>50600           MOVE 128+Sp,265+Sp                       !MOVE X_0+28*Px_sc,Y_1-2*Py_sc</t>
  </si>
  <si>
    <t>50610           LABEL USING "K,5D";"Z ";ABS(Z0)</t>
  </si>
  <si>
    <t>50620           MOVE 213+Sp,265+Sp                       !MOVE X_0+51*Px_sc,Y_1-2*Py_sc</t>
  </si>
  <si>
    <t>50630   IF Elic THEN</t>
  </si>
  <si>
    <t>50640           LABEL USING "K,K";"AP.n.";Apn$</t>
  </si>
  <si>
    <t>50650   ELSE</t>
  </si>
  <si>
    <t>50660           LABEL USING "K,K";"AP.";Apn$</t>
  </si>
  <si>
    <t>50670   END IF</t>
  </si>
  <si>
    <t>50680   IF Elic THEN</t>
  </si>
  <si>
    <t>50690           MOVE 296+Sp,265+Sp                      !MOVE X_0+75*Px_sc,Y_1-2*Py_sc</t>
  </si>
  <si>
    <t>50700           LABEL USING "K,K,K";"A.El.";Ael$,Senso_s$</t>
  </si>
  <si>
    <t>50710   END IF</t>
  </si>
  <si>
    <t>50720           CSIZE 6,.5</t>
  </si>
  <si>
    <t>50730           MOVE 313+Sp,10+Sp                       !MOVE X_0+75*Px_sc,Y_0+2*Py_sc</t>
  </si>
  <si>
    <t>50740           LABEL USING "K,K";"INGR.";N_ingr$</t>
  </si>
  <si>
    <t>50750 NEXT Sp</t>
  </si>
  <si>
    <t>50790          OFF KEY</t>
  </si>
  <si>
    <t>50800         DISP "Premere la SOFTKEY per la tracciatura di un nuovo ingrandimento"</t>
  </si>
  <si>
    <t>50820         ON KEY 8 LABEL "MENU'" GOTO Return_menu</t>
  </si>
  <si>
    <t>50830         ON KEY 5 LABEL "NEO_INGR" GOTO Neo_in</t>
  </si>
  <si>
    <t>50880           Neo_ingr=1</t>
  </si>
  <si>
    <t>50890           GOTO Neo</t>
  </si>
  <si>
    <t>50920              Neo_ingr=0</t>
  </si>
  <si>
    <t>50930              GOTO Neo</t>
  </si>
  <si>
    <t>50960                  INTEGER P,Pen,F2</t>
  </si>
  <si>
    <t>50970                  FOR P=0 TO Nt STEP 1</t>
  </si>
  <si>
    <t>50980           IF P&gt;N THEN</t>
  </si>
  <si>
    <t>50990                  F=-1</t>
  </si>
  <si>
    <t>51000                  I=P-N-1</t>
  </si>
  <si>
    <t>51010           ELSE</t>
  </si>
  <si>
    <t>51020                  I=P</t>
  </si>
  <si>
    <t>51030                  F=1</t>
  </si>
  <si>
    <t>51040           END IF</t>
  </si>
  <si>
    <t>51050                  Di=Min_diam+I*Incr</t>
  </si>
  <si>
    <t>51060           IF Dx THEN</t>
  </si>
  <si>
    <t>51070                  F2=-F</t>
  </si>
  <si>
    <t>51080           ELSE</t>
  </si>
  <si>
    <t>51090                  F2=F</t>
  </si>
  <si>
    <t>51100           END IF</t>
  </si>
  <si>
    <t>51110 IF NOT Norm THEN</t>
  </si>
  <si>
    <t>51120                           SELECT F2</t>
  </si>
  <si>
    <t>51130                           CASE -1</t>
  </si>
  <si>
    <t>51140        IF NOT Bis THEN</t>
  </si>
  <si>
    <t>51150               Db=Db0h</t>
  </si>
  <si>
    <t>51160               Psb=Psep_b0h</t>
  </si>
  <si>
    <t>51170        ELSE</t>
  </si>
  <si>
    <t>51180               Db=Dkb0h</t>
  </si>
  <si>
    <t>51190               Psb=Psep_kb0h</t>
  </si>
  <si>
    <t>51200        END IF</t>
  </si>
  <si>
    <t>51210                           CASE 1</t>
  </si>
  <si>
    <t>51220        IF NOT Bis THEN</t>
  </si>
  <si>
    <t>51230               Db=Db0t</t>
  </si>
  <si>
    <t>51240               Psb=Psep_b0t</t>
  </si>
  <si>
    <t>51250        ELSE</t>
  </si>
  <si>
    <t>51260               Db=Dkb0t</t>
  </si>
  <si>
    <t>51270               Psb=Psep_kb0t</t>
  </si>
  <si>
    <t>51280        END IF</t>
  </si>
  <si>
    <t>51290                           END SELECT</t>
  </si>
  <si>
    <t>51300 END IF</t>
  </si>
  <si>
    <t>51310           IF ABS(Di)&lt;ABS(Db) THEN</t>
  </si>
  <si>
    <t>51320                  Q=1</t>
  </si>
  <si>
    <t>51330           ELSE</t>
  </si>
  <si>
    <t>51340                  Q=ABS(Db)/Di</t>
  </si>
  <si>
    <t>51350           END IF</t>
  </si>
  <si>
    <t>51360                  Inv_api=TAN(ACS(Q))-ACS(Q)</t>
  </si>
  <si>
    <t>51370                  X=F*Di*SIN(Psb-Inv_api)/2</t>
  </si>
  <si>
    <t>51380                  Y=Di*COS(Psb-Inv_api)/2</t>
  </si>
  <si>
    <t>51390           IF P=N THEN</t>
  </si>
  <si>
    <t>51400                  Pen=0</t>
  </si>
  <si>
    <t>51410           ELSE</t>
  </si>
  <si>
    <t>51420                  Pen=+1</t>
  </si>
  <si>
    <t>51430           END IF</t>
  </si>
  <si>
    <t>51440    IF Bis THEN</t>
  </si>
  <si>
    <t>51450           IF Norm THEN</t>
  </si>
  <si>
    <t>51460                  Bis_n(P,0)=X</t>
  </si>
  <si>
    <t>51470                  Bis_n(P,1)=Y</t>
  </si>
  <si>
    <t>51480                  Bis_n(P,2)=Pen</t>
  </si>
  <si>
    <t>51490           ELSE</t>
  </si>
  <si>
    <t>51500                  Bis_t(P,0)=X</t>
  </si>
  <si>
    <t>51510                  Bis_t(P,1)=Y</t>
  </si>
  <si>
    <t>51520                  Bis_t(P,2)=Pen</t>
  </si>
  <si>
    <t>51530           END IF</t>
  </si>
  <si>
    <t>51540    ELSE</t>
  </si>
  <si>
    <t>51550           IF Norm THEN</t>
  </si>
  <si>
    <t>51560                  Prof_n(P,0)=X</t>
  </si>
  <si>
    <t>51570                  Prof_n(P,1)=Y</t>
  </si>
  <si>
    <t>51580                  Prof_n(P,2)=Pen</t>
  </si>
  <si>
    <t>51590           ELSE</t>
  </si>
  <si>
    <t>51600                  Prof_t(P,0)=X</t>
  </si>
  <si>
    <t>51610                  Prof_t(P,1)=Y</t>
  </si>
  <si>
    <t>51620                  Prof_t(P,2)=Pen</t>
  </si>
  <si>
    <t>51630           END IF</t>
  </si>
  <si>
    <t>51640    END IF</t>
  </si>
  <si>
    <t>51650          NEXT P</t>
  </si>
  <si>
    <t>51660          RETURN</t>
  </si>
  <si>
    <t>51690                   GRAPHICS ON</t>
  </si>
  <si>
    <t>51700                   LINE TYPE 1</t>
  </si>
  <si>
    <t>51710                   CALL Plot_pivot(Ang_rot)</t>
  </si>
  <si>
    <t>51720       IF Norm THEN</t>
  </si>
  <si>
    <t>51730                   PEN 1</t>
  </si>
  <si>
    <t>51740                   CALL Plot_array(Prof_n(*))</t>
  </si>
  <si>
    <t>51750                   PEN -1</t>
  </si>
  <si>
    <t>51760                   CALL Plot_move(0,0)</t>
  </si>
  <si>
    <t>51770            IF Bis THEN</t>
  </si>
  <si>
    <t>51780                   PEN 1</t>
  </si>
  <si>
    <t>51790                   CALL Plot_array(Bis_n(*))</t>
  </si>
  <si>
    <t>51800                   PEN -1</t>
  </si>
  <si>
    <t>51810                   CALL Plot_move(0,0)</t>
  </si>
  <si>
    <t>51820            END IF</t>
  </si>
  <si>
    <t>51830                IF Ra0 THEN</t>
  </si>
  <si>
    <t>51840                   IF NOT Elic THEN</t>
  </si>
  <si>
    <t>51850                               Apna0=ACS(Mt*Z0*COS(Apt)/Dna0)</t>
  </si>
  <si>
    <t>51860                               X_centro=(Da0-2*Ra0)*SIN(Gm)/2</t>
  </si>
  <si>
    <t>51870                               Y_centro=(Da0-2*Ra0)*COS(Gm)/2</t>
  </si>
  <si>
    <t>51880                               Tot_lati=INT(2*PI/.035)</t>
  </si>
  <si>
    <t>51890                               Plot_lati=INT(X_max/.035)</t>
  </si>
  <si>
    <t>51900                               MOVE X_centro,Y_centro</t>
  </si>
  <si>
    <t>51920                               PDIR Apna0</t>
  </si>
  <si>
    <t>51930                               PEN 1</t>
  </si>
  <si>
    <t>51940                               CALL Plin(Ra0,Tot_lati,Plot_lati,Apna0,X_centro,Y_centro)</t>
  </si>
  <si>
    <t>51960                               PEN -1</t>
  </si>
  <si>
    <t>51970                               MOVE -X_centro,Y_centro</t>
  </si>
  <si>
    <t>51990                               PDIR PI/2</t>
  </si>
  <si>
    <t>52000                               PEN 1</t>
  </si>
  <si>
    <t>52010                               CALL Plin(Ra0,Tot_lati,Plot_lati,PI/2,-X_centro,Y_centro)</t>
  </si>
  <si>
    <t>52030                               PEN -1</t>
  </si>
  <si>
    <t>52040                               MOVE 0,0</t>
  </si>
  <si>
    <t>52070                   END IF</t>
  </si>
  <si>
    <t>52080                END IF</t>
  </si>
  <si>
    <t>52090       ELSE</t>
  </si>
  <si>
    <t>52100                   PEN 1</t>
  </si>
  <si>
    <t>52110                   CALL Plot_array(Prof_t(*))</t>
  </si>
  <si>
    <t>52120                   PEN -1</t>
  </si>
  <si>
    <t>52130                   CALL Plot_move(0,0)</t>
  </si>
  <si>
    <t>52140            IF Bis THEN</t>
  </si>
  <si>
    <t>52150                   PEN 1</t>
  </si>
  <si>
    <t>52160                   CALL Plot_array(Bis_t(*))</t>
  </si>
  <si>
    <t>52170                   PEN -1</t>
  </si>
  <si>
    <t>52180                   CALL Plot_move(0,0)</t>
  </si>
  <si>
    <t>52190            END IF</t>
  </si>
  <si>
    <t>52200       END IF</t>
  </si>
  <si>
    <t>52210         RETURN</t>
  </si>
  <si>
    <t>52240         GCLEAR</t>
  </si>
  <si>
    <t>52250         PEN 0</t>
  </si>
  <si>
    <t>52260         INTEGER Neo</t>
  </si>
  <si>
    <t>52270         Neo=1</t>
  </si>
  <si>
    <t>52280         IF Neo_ingr THEN Ann_matr</t>
  </si>
  <si>
    <t>52290         GOTO Titolo</t>
  </si>
  <si>
    <t>52320   OUTPUT 2;Clear$;</t>
  </si>
  <si>
    <t>52330   GCLEAR</t>
  </si>
  <si>
    <t>52340   ASSIGN @Plot TO *              ! @@@@ CHISURA FILE  @@@@</t>
  </si>
  <si>
    <t>52350   SUBEND</t>
  </si>
  <si>
    <t>52370   SUB Sagoma_mola</t>
  </si>
  <si>
    <t>52380                    PLOTTER IS CRT,"INTERNAL";COLOR MAP</t>
  </si>
  <si>
    <t>52430 COM /Plot/@Plot,File$[80],Prima,Raps,Ang_piv,Lorg,Csize,Ldir</t>
  </si>
  <si>
    <t>52460   COM Progettista$,Clear$,Home$,Cliente$,Dis$,K1$,Dp$,Mn$,Mt$,Apn$,Apt$,Apkn$,Ael$,Sen_el$,Senso$,N_ingr$,N_sag$,Topping$,Lavor$,Work$,Tip_colt$,Work_b$,Work_c$,Fgtorn$,Tip_colt1$,Carkey$,Rf1p$,Rasap$,Dk1_f$,Apktprt$,Tetaprt$</t>
  </si>
  <si>
    <t>52470   COM REAL Sp,Mn,Mt,Ael,Apn,Apt,Db1,Da1,Df1,Dnf1,Dnf1_pr,Dk1,Apkn,Apkt,Sn1,St1,St1_f,En1,Et1,Skt1,Skn1,Psbt1,X1,W1,Dm,Mdk,Sykes,D_topp,X_hap,X_hfp,X1mn,Dk1_f,Rf1p,Prtmdk,Prtw,Prtsps,Dk1_f1</t>
  </si>
  <si>
    <t>52480   COM REAL Mwt,Da0,Dna0,Da0t,Pskbt1,Db0h,Db0t,Dkb0,D_stc_f,D_stc_i,Ra0,X_max,Swmt0,San0,Skwmt0,Dwm0,Apkwtm,Inv_apt,Gm,Zeta_h,Zeta_t,Zeta_kb_f,Dv0</t>
  </si>
  <si>
    <t>52490   COM /Mola/ REAL Swmnm_h,Swmnm_t,Skwmnm_h,Skwmnm_t,Apwmnmh,Apwmnmt,Apkwmnmh,Apkwmnmt,Xep0h_max,Xep0t_max,Gm_eph,Gm_ept,Aelwm0,Df0,Teta,Tau</t>
  </si>
  <si>
    <t>52500 COM /Dati_ep/ REAL Dkb0h,Dkb0t,Psep_kb0h,Psep_kb0t,Psep_b0h,Psep_b0t,Da0_ep,Da0_ept,Da0_eph,H_pzepm_t,H_pzepm_h</t>
  </si>
  <si>
    <t>52510   COM INTEGER Z1,Z0,K1,Int,Elic,Std,Centro,Protuberanzap</t>
  </si>
  <si>
    <t>52540       OFF KEY</t>
  </si>
  <si>
    <t>52560         IF Ra0 THEN</t>
  </si>
  <si>
    <t>52570                    INTEGER Mr</t>
  </si>
  <si>
    <t>52580                    M=(Xep0t_max-.0001)/.02</t>
  </si>
  <si>
    <t>52590                     M_t=INT(M)</t>
  </si>
  <si>
    <t>52600                    Incr_mr=(Xep0t_max-.0001)/M_t</t>
  </si>
  <si>
    <t>52630           IF Cnc THEN DEALLOCATE Rgm_t(*)</t>
  </si>
  <si>
    <t>52640                    ALLOCATE Rgm_t(0:M,0:2)</t>
  </si>
  <si>
    <t>52660                FOR Mr=0 TO M_t STEP 1</t>
  </si>
  <si>
    <t>52680                         X=.001+Mr*Incr_mr</t>
  </si>
  <si>
    <t>52690                         Gm_ep=Gm_ept</t>
  </si>
  <si>
    <t>52700                         Da0_epx=Da0_ept</t>
  </si>
  <si>
    <t>52720                CALL Rgm(X,Da0_epx,Ra0,Dwm0,Gm_ep,X_ep,Y_ep,Z0)</t>
  </si>
  <si>
    <t>52740                         Xmn_t=X_ep*COS(Aelwm0)+Y_ep*SIN(Aelwm0)*SIN(Teta)</t>
  </si>
  <si>
    <t>52750                         Ymn_t=Y_ep*COS(Teta)</t>
  </si>
  <si>
    <t>52770                    IF Mr=M_t THEN</t>
  </si>
  <si>
    <t>52780                                Pen=0</t>
  </si>
  <si>
    <t>52790                    ELSE</t>
  </si>
  <si>
    <t>52800                                Pen=1</t>
  </si>
  <si>
    <t>52810                    END IF</t>
  </si>
  <si>
    <t>52830                         Rgm_t(Mr,0)=Xmn_t</t>
  </si>
  <si>
    <t>52840                         Rgm_t(Mr,1)=Ymn_t</t>
  </si>
  <si>
    <t>52850                         Rgm_t(Mr,2)=Pen</t>
  </si>
  <si>
    <t>52860                NEXT Mr</t>
  </si>
  <si>
    <t>52880                    M=(Xep0h_max-.0001)/.02</t>
  </si>
  <si>
    <t>52890                    M_h=INT(M)</t>
  </si>
  <si>
    <t>52900                    Incr_mr=(Xep0h_max-.0001)/M_h</t>
  </si>
  <si>
    <t>52930           IF Cnc THEN DEALLOCATE Rgm_h(*)</t>
  </si>
  <si>
    <t>52940                    ALLOCATE Rgm_h(0:M,0:2)</t>
  </si>
  <si>
    <t>52960                FOR Mr=0 TO M_h STEP 1</t>
  </si>
  <si>
    <t>52980                         X=.001+Mr*Incr_mr</t>
  </si>
  <si>
    <t>52990                         Gm_ep=Gm_eph</t>
  </si>
  <si>
    <t>53000                         Da0_epx=Da0_eph</t>
  </si>
  <si>
    <t>53020                CALL Rgm(X,Da0_epx,Ra0,Dwm0,Gm_ep,X_ep,Y_ep,Z0)</t>
  </si>
  <si>
    <t>53040                       Xmn_h=-(X_ep*COS(Aelwm0)-Y_ep*SIN(Aelwm0)*SIN(Teta))</t>
  </si>
  <si>
    <t>53050                       Ymn_h=Y_ep*COS(Teta)</t>
  </si>
  <si>
    <t>53070                   IF Mr=M_h THEN</t>
  </si>
  <si>
    <t>53080                               Pen=0</t>
  </si>
  <si>
    <t>53090                   ELSE</t>
  </si>
  <si>
    <t>53100                               Pen=1</t>
  </si>
  <si>
    <t>53110                   END IF</t>
  </si>
  <si>
    <t>53130                        Rgm_h(Mr,0)=Xmn_h</t>
  </si>
  <si>
    <t>53140                        Rgm_h(Mr,1)=Ymn_h</t>
  </si>
  <si>
    <t>53150                        Rgm_h(Mr,2)=Pen</t>
  </si>
  <si>
    <t>53160                NEXT Mr</t>
  </si>
  <si>
    <t>53180         END IF</t>
  </si>
  <si>
    <t>53200                INTEGER Prm_h,Prm_t</t>
  </si>
  <si>
    <t>53220                Prm_h=INT(M_h/8)</t>
  </si>
  <si>
    <t>53230                Prm_t=INT(M_t/8)</t>
  </si>
  <si>
    <t>53270   X_wmh=-Swmnm_h</t>
  </si>
  <si>
    <t>53280   X_kwmh=-Skwmnm_h</t>
  </si>
  <si>
    <t>53290   X_wmt=Swmnm_t</t>
  </si>
  <si>
    <t>53300   X_kwmt=Skwmnm_t</t>
  </si>
  <si>
    <t>53320 IF Dk1 THEN</t>
  </si>
  <si>
    <t>53340    X_sh=X_wmh-((X_kwmh-X_wmh)/(TAN(Apkwmnmh)-TAN(Apwmnmh)))*TAN(Apwmnmh)</t>
  </si>
  <si>
    <t>53350    Y_sh=(X_kwmh-X_wmh)/(TAN(Apkwmnmh)-TAN(Apwmnmh))</t>
  </si>
  <si>
    <t>53360    X_st=X_wmt-((X_kwmt-X_wmt)/(TAN(Apkwmnmt)-TAN(Apwmnmt)))*TAN(Apwmnmt)</t>
  </si>
  <si>
    <t>53370    Y_st=-(X_kwmt-X_wmt)/(TAN(Apkwmnmt)-TAN(Apwmnmt))</t>
  </si>
  <si>
    <t>53390           IF Ael THEN</t>
  </si>
  <si>
    <t>53410            X_ht=((X_sh-X_kwmh)*(X_kwmt*Y_st)-(X_st-X_kwmt)*(X_kwmh*Y_sh))/(-Y_sh*(X_st-X_kwmt)+Y_st*(X_sh-X_kwmh))</t>
  </si>
  <si>
    <t>53430                        Y_ht=((X_kwmh*Y_sh)*(-Y_st)-(X_kwmt*Y_st)*(-Y_sh))/(-Y_sh*(X_st-X_kwmt)+Y_st*(X_sh-X_kwmh))</t>
  </si>
  <si>
    <t>53440           ELSE</t>
  </si>
  <si>
    <t>53450                      X_ht=0</t>
  </si>
  <si>
    <t>53460                      Y_ht=X_kwmh/(TAN(Apkwmnmh))</t>
  </si>
  <si>
    <t>53470           END IF</t>
  </si>
  <si>
    <t>53490 ELSE</t>
  </si>
  <si>
    <t>53510    Y_sh=-(Dwm0-Df0)/2*COS(Teta)-(.1*Mn)</t>
  </si>
  <si>
    <t>53520    Y_st=Y_sh</t>
  </si>
  <si>
    <t>53530    X_sh=X_wmh-Y_sh*TAN(Apwmnmh)</t>
  </si>
  <si>
    <t>53540    X_st=X_wmt+Y_st*TAN(Apwmnmt)</t>
  </si>
  <si>
    <t>53560    Y_hh=-(Dwm0-Df0+1)/2*COS(Teta)</t>
  </si>
  <si>
    <t>53570    Y_tt=Y_hh</t>
  </si>
  <si>
    <t>53580    X_hh=X_wmh-Y_hh*TAN(Apwmnmh)</t>
  </si>
  <si>
    <t>53590    X_tt=X_wmt+Y_tt*TAN(Apwmnmt)</t>
  </si>
  <si>
    <t>53610 END IF</t>
  </si>
  <si>
    <t>53630      IF Ra0 THEN</t>
  </si>
  <si>
    <t>53640                 Y_ah=(Da0_eph-Dwm0)/2*COS(Teta)</t>
  </si>
  <si>
    <t>53650                 Y_at=(Da0_ept-Dwm0)/2*COS(Teta)</t>
  </si>
  <si>
    <t>53660                 X_ah=Rgm_h(0,0)</t>
  </si>
  <si>
    <t>53670                 X_at=Rgm_t(0,0)</t>
  </si>
  <si>
    <t>53680                 Y_nah=Rgm_h(M_h,1)</t>
  </si>
  <si>
    <t>53690                 X_nah=X_wmh-Y_nah*TAN(Apwmnmh)</t>
  </si>
  <si>
    <t>53700                 Y_nat=Rgm_t(M_t,1)</t>
  </si>
  <si>
    <t>53710                 X_nat=X_wmt+Y_nat*TAN(Apwmnmt)</t>
  </si>
  <si>
    <t>53720      ELSE</t>
  </si>
  <si>
    <t>53730                 Y_ah=(Da0_ep-Dwm0)/2*COS(Teta)+.25*Mn</t>
  </si>
  <si>
    <t>53740                 Y_at=Y_ah</t>
  </si>
  <si>
    <t>53750                 X_at=X_wmt+Y_at*TAN(Apwmnmt)</t>
  </si>
  <si>
    <t>53760                 X_ah=X_wmh-Y_ah*TAN(Apwmnmh)</t>
  </si>
  <si>
    <t>53770      END IF</t>
  </si>
  <si>
    <t>53790      IF H_pzepm_t THEN</t>
  </si>
  <si>
    <t>53800                       Y_npzt=(Da0_ep-Dwm0-H_pzepm_t)/2*COS(Teta)</t>
  </si>
  <si>
    <t>53810                       Y_npzh=(Da0_ep-Dwm0-H_pzepm_h)/2*COS(Teta)</t>
  </si>
  <si>
    <t>53820                       X_npzt=X_wmt+Y_npzt*TAN(Apwmnmt)</t>
  </si>
  <si>
    <t>53830                       X_npzh=X_wmh-Y_npzh*TAN(Apwmnmh)</t>
  </si>
  <si>
    <t>53840                       X_nat=Rgm_t(M_t,0)</t>
  </si>
  <si>
    <t>53850                       X_nah=Rgm_h(M_h,0)</t>
  </si>
  <si>
    <t>53860                       Y_nat=Rgm_t(M_t,1)</t>
  </si>
  <si>
    <t>53870                       Y_nah=Rgm_h(M_h,1)</t>
  </si>
  <si>
    <t>53880      END IF</t>
  </si>
  <si>
    <t>53900                 X_at_in=Da0_ep/(2*Z0)*PI+.5</t>
  </si>
  <si>
    <t>53910                 X_ah_in=-X_at_in</t>
  </si>
  <si>
    <t>53920                 Y_at_in=Y_at</t>
  </si>
  <si>
    <t>53930                 Y_ah_in=Y_ah</t>
  </si>
  <si>
    <t>53960   OFF KEY</t>
  </si>
  <si>
    <t>53970   OUTPUT 2;Clear$;</t>
  </si>
  <si>
    <t>54000        OUTPUT 2;Clear$;</t>
  </si>
  <si>
    <t>54010        CONFIGURE DUMP TO "PCL"                         ! 03/03 LG</t>
  </si>
  <si>
    <t>54030        OFF KEY</t>
  </si>
  <si>
    <t>54040        PRINT TAB(Centro);</t>
  </si>
  <si>
    <t>54050        PRINT CHR$(129);"INGRANDIMENTO PROFILO MOLA"</t>
  </si>
  <si>
    <t>54060        PRINT CHR$(128);</t>
  </si>
  <si>
    <t>54070        PRINT TABXY(Centro,5);"F1        STAMPA SU VIDEO"</t>
  </si>
  <si>
    <t>54080        PRINT TABXY(Centro,8);"F2        COORDINATE * C.N.C."</t>
  </si>
  <si>
    <t>54090        PRINT TABXY(Centro,11);"F4        STAMPA SU PLOTTER"</t>
  </si>
  <si>
    <t>54100        PRINT TABXY(Centro,14);"F8        USCITA PROGRAMMA"</t>
  </si>
  <si>
    <t>54110        CONFIGURE DUMP TO "WIN-DUMP"</t>
  </si>
  <si>
    <t>54130        DISP "Premere la SOFTKEY per la scelta della stampa -(Verificare accensione PLOTTER)"</t>
  </si>
  <si>
    <t>54150        ON KEY 1 LABEL "STAMPA VIDEO" GOTO Video</t>
  </si>
  <si>
    <t>54160        ON KEY 2 LABEL "C.N.C." GOTO Diaf_cnc</t>
  </si>
  <si>
    <t>54170        ON KEY 4 LABEL "STAMPA PLOTTER" GOTO Plotter</t>
  </si>
  <si>
    <t>54180        ON KEY 3 LABEL "F. STUDER" GOTO Calc_studer</t>
  </si>
  <si>
    <t>54190        ON KEY 8 LABEL " USCITA" GOTO Fine</t>
  </si>
  <si>
    <t>54240            OFF KEY</t>
  </si>
  <si>
    <t>54250            INTEGER Plott</t>
  </si>
  <si>
    <t>54260            Plott=1</t>
  </si>
  <si>
    <t>54270            GINIT</t>
  </si>
  <si>
    <t>54280            GCLEAR</t>
  </si>
  <si>
    <t>54370            PLOTTER IS 705,"HPGL"</t>
  </si>
  <si>
    <t>54380            OUTPUT 705;"IN;IP 0,0,16158,11040;PS 0;VS 30 ;"</t>
  </si>
  <si>
    <t>54390            Gdu_mm=.02487315</t>
  </si>
  <si>
    <t>54400            GOTO Griglia</t>
  </si>
  <si>
    <t>54420            OFF KEY</t>
  </si>
  <si>
    <t>54430            Plott=0</t>
  </si>
  <si>
    <t>54440            File$="C:\programmi\htbwin83\newprog\filesfellows\Sag_mola.scr"              ! @@@@@@@@@inizializzazione File$</t>
  </si>
  <si>
    <t>54450            CALL Plot_init                     !GINIT</t>
  </si>
  <si>
    <t>54460            GCLEAR</t>
  </si>
  <si>
    <t>54490            PEN 2</t>
  </si>
  <si>
    <t>54500            FRAME</t>
  </si>
  <si>
    <t>54510            PEN 0</t>
  </si>
  <si>
    <t>54530            OFF KEY</t>
  </si>
  <si>
    <t>54540            OUTPUT 2;Clear$;</t>
  </si>
  <si>
    <t>54550            INTEGER Scala</t>
  </si>
  <si>
    <t>54560            GRAPHICS ON</t>
  </si>
  <si>
    <t>54570            INPUT "SCALA  ?",Scala</t>
  </si>
  <si>
    <t>54590      IF Plott THEN</t>
  </si>
  <si>
    <t>54600                   PLOTTER IS 705,"HPGL"</t>
  </si>
  <si>
    <t>54610                   OUTPUT 705;"OP;";</t>
  </si>
  <si>
    <t>54620                   ENTER 705;P1x,P1y,P2x,P2y</t>
  </si>
  <si>
    <t>54630                   X_min=0</t>
  </si>
  <si>
    <t>54640                   Y_min=0</t>
  </si>
  <si>
    <t>54650                   INPUT "X Minimo?[RISP.(-);RIF.(-201)]",X_min</t>
  </si>
  <si>
    <t>54660                   INPUT "Y Minimo?[RISP.(-);RIF.(-137)]",Y_min</t>
  </si>
  <si>
    <t>54670                   IF X_min=0 THEN X_min=-(P2x/2*Gdu_mm)</t>
  </si>
  <si>
    <t>54680                   IF Y_min=0 THEN Y_min=-(P2y/2*Gdu_mm)</t>
  </si>
  <si>
    <t>54690                   X_0=X_min/Scala</t>
  </si>
  <si>
    <t>54700                   X_1=P2x*Gdu_mm/Scala+X_0</t>
  </si>
  <si>
    <t>54710                   Y_0=ABS(M*Z)/2+Y_min/Scala</t>
  </si>
  <si>
    <t>54720                   Y_1=Y_0+P2y*Gdu_mm/Scala</t>
  </si>
  <si>
    <t>54730       ELSE</t>
  </si>
  <si>
    <t>54740                   X_min=0</t>
  </si>
  <si>
    <t>54750                   Y_min=0</t>
  </si>
  <si>
    <t>54760                   INPUT "X Minimo ? [Risp.(-);Rif.(-80)]",X_min</t>
  </si>
  <si>
    <t>54770                   INPUT "Y Minimo ? [Risp.(-);Rif.(-60)]",Y_min</t>
  </si>
  <si>
    <t>54780                   IF X_min=0 THEN X_min=-60*RATIO</t>
  </si>
  <si>
    <t>54790                   IF Y_min=0 THEN Y_min=-60</t>
  </si>
  <si>
    <t>54800                   X_0=X_min/Scala</t>
  </si>
  <si>
    <t>54810                   X_1=(120*RATIO+X_min)/Scala</t>
  </si>
  <si>
    <t>54820                   Y_0=ABS(M*Z)/2+Y_min/Scala</t>
  </si>
  <si>
    <t>54830                   Y_1=ABS(M*Z)/2+(120+Y_min)/Scala</t>
  </si>
  <si>
    <t>54840        END IF</t>
  </si>
  <si>
    <t>54860             SHOW X_0,X_1,Y_0,Y_1</t>
  </si>
  <si>
    <t>54900          PEN 1</t>
  </si>
  <si>
    <t>54910          LINE TYPE 1</t>
  </si>
  <si>
    <t>54920          CALL Plot_move(X_at_in,Y_at_in)              !MOVE X_at_in,Y_at_in</t>
  </si>
  <si>
    <t>54930          CALL Plot_draw(X_at,Y_at)              !DRAW X_at,Y_at</t>
  </si>
  <si>
    <t>54950                       IF NOT Plott THEN</t>
  </si>
  <si>
    <t>54960                                        CSIZE 3,.6</t>
  </si>
  <si>
    <t>54970                                        CALL Plot_move(X_at,Y_at)              !MOVE X_at,Y_at</t>
  </si>
  <si>
    <t>54980                                        CALL Plot_lorg(5)              !LORG 5</t>
  </si>
  <si>
    <t>54990                                        LABEL "*"</t>
  </si>
  <si>
    <t>55000                                        CALL Plot_move(X_at,Y_at+2/Scala)               !MOVE X_at,Y_at+2/Scala</t>
  </si>
  <si>
    <t>55010                                        CALL Plot_lorg(2)              !LORG 2</t>
  </si>
  <si>
    <t>55020                                        LABEL "T_1"</t>
  </si>
  <si>
    <t>55030                                        CALL Plot_move(X_at,Y_at)              !MOVE X_at,Y_at</t>
  </si>
  <si>
    <t>55040                       END IF</t>
  </si>
  <si>
    <t>55060               IF H_pzepm_t THEN</t>
  </si>
  <si>
    <t>55070                                CALL Plot_move(X_nat,Y_nat)              !MOVE X_nat,Y_nat</t>
  </si>
  <si>
    <t>55080                                CALL Plot_draw(X_npzt,Y_npzt)              !DRAW X_npzt,Y_npzt</t>
  </si>
  <si>
    <t>55100                                      IF NOT Plott THEN</t>
  </si>
  <si>
    <t>55110                                                 CALL Plot_lorg(5)              !LORG 5</t>
  </si>
  <si>
    <t>55120                                                 LABEL "*"</t>
  </si>
  <si>
    <t>55130                                                 CALL Plot_move(X_npzt+2/Scala,Y_npzt)              !MOVE X_npzt+2/Scala,Y_npzt</t>
  </si>
  <si>
    <t>55140                                                 CALL Plot_lorg(2)              !LORG 2</t>
  </si>
  <si>
    <t>55150                                                 LABEL "Fp_T"</t>
  </si>
  <si>
    <t>55160                                      END IF</t>
  </si>
  <si>
    <t>55170               ELSE</t>
  </si>
  <si>
    <t>55180                    IF Ra0 THEN CALL Plot_move(X_nat,Y_nat)              !MOVE X_nat,Y_nat</t>
  </si>
  <si>
    <t>55190               END IF</t>
  </si>
  <si>
    <t>55200                        IF Ra0 THEN</t>
  </si>
  <si>
    <t>55210                               IF NOT Plott THEN</t>
  </si>
  <si>
    <t>55220                                               CALL Plot_move(X_nat,Y_nat)              !MOVE X_nat,Y_nat</t>
  </si>
  <si>
    <t>55230                                               CALL Plot_lorg(5)              !LORG 5</t>
  </si>
  <si>
    <t>55240                                               LABEL "*"</t>
  </si>
  <si>
    <t>55250                                               CALL Plot_move(X_nat+2/Scala,Y_nat)              !MOVE X_nat+2/Scala,Y_nat</t>
  </si>
  <si>
    <t>55260                                               CALL Plot_lorg(2)              !LORG 2</t>
  </si>
  <si>
    <t>55270                                               LABEL "Fr_T"</t>
  </si>
  <si>
    <t>55290                                   IF H_pzepm_t THEN</t>
  </si>
  <si>
    <t>55300                                                   CALL Plot_move(X_npzt,Y_npzt)              !MOVE X_npzt,Y_npzt</t>
  </si>
  <si>
    <t>55310                                   ELSE</t>
  </si>
  <si>
    <t>55320                                                   CALL Plot_move(X_nat,Y_nat)              !MOVE X_nat,Y_nat</t>
  </si>
  <si>
    <t>55330                                   END IF</t>
  </si>
  <si>
    <t>55340                               END IF</t>
  </si>
  <si>
    <t>55350                        END IF</t>
  </si>
  <si>
    <t>55360              CALL Plot_draw(X_st,Y_st)              !DRAW X_st,Y_st</t>
  </si>
  <si>
    <t>55370                        IF NOT Plott THEN</t>
  </si>
  <si>
    <t>55380                                        CALL Plot_lorg(5)              !LORG 5</t>
  </si>
  <si>
    <t>55390                                        LABEL "*"</t>
  </si>
  <si>
    <t>55400                                  IF NOT Dk1 THEN</t>
  </si>
  <si>
    <t>55410                                        CALL Plot_move(X_tt,Y_tt)              !MOVE X_tt,Y_tt</t>
  </si>
  <si>
    <t>55420                                        LABEL "*"</t>
  </si>
  <si>
    <t>55430                                  END IF</t>
  </si>
  <si>
    <t>55440                                        CALL Plot_move(X_st+2/Scala,Y_st)              !MOVE X_st+2/Scala,Y_st</t>
  </si>
  <si>
    <t>55450                                        CALL Plot_lorg(2)              !LORG 2</t>
  </si>
  <si>
    <t>55460                                        LABEL "T_2"</t>
  </si>
  <si>
    <t>55470                                  IF NOT Dk1 THEN</t>
  </si>
  <si>
    <t>55480                                        CALL Plot_move(X_tt+2/Scala,Y_tt)              !MOVE X_tt+2/Scala,Y_tt</t>
  </si>
  <si>
    <t>55490                                        LABEL "T_3"</t>
  </si>
  <si>
    <t>55500                                  END IF</t>
  </si>
  <si>
    <t>55510                                        CALL Plot_move(X_st,Y_st)              !MOVE X_st,Y_st</t>
  </si>
  <si>
    <t>55520                        END IF</t>
  </si>
  <si>
    <t>55540                       IF Dk1 THEN</t>
  </si>
  <si>
    <t>55550                                  CALL Plot_draw(X_ht,Y_ht)              !DRAW X_ht,Y_ht</t>
  </si>
  <si>
    <t>55570                                      IF NOT Plott THEN</t>
  </si>
  <si>
    <t>55580                                                   CALL Plot_lorg(5)              !LORG 5</t>
  </si>
  <si>
    <t>55590                                                   LABEL "*"</t>
  </si>
  <si>
    <t>55600                                                   MOVE X_ht,Y_ht-2/Scala</t>
  </si>
  <si>
    <t>55610                                                   LABEL "Cusp"</t>
  </si>
  <si>
    <t>55620                                                   CALL Plot_move(X_ht,Y_ht)              !MOVE X_ht,Y_ht</t>
  </si>
  <si>
    <t>55630                                      END IF</t>
  </si>
  <si>
    <t>55650                                  CALL Plot_draw(X_sh,Y_sh)              !DRAW X_sh,Y_sh</t>
  </si>
  <si>
    <t>55670                       ELSE</t>
  </si>
  <si>
    <t>55680                                  CALL Plot_draw(X_sh,Y_sh)              !DRAW X_sh,Y_sh</t>
  </si>
  <si>
    <t>55690                       END IF</t>
  </si>
  <si>
    <t>55700                                 IF NOT Plott THEN</t>
  </si>
  <si>
    <t>55710                                                   CALL Plot_lorg(5)              !LORG 5</t>
  </si>
  <si>
    <t>55720                                                   LABEL "*"</t>
  </si>
  <si>
    <t>55730                                            IF NOT Dk1 THEN</t>
  </si>
  <si>
    <t>55740                                                   CALL Plot_move(X_hh,Y_hh)              !MOVE X_hh,Y_hh</t>
  </si>
  <si>
    <t>55750                                                   LABEL "*"</t>
  </si>
  <si>
    <t>55760                                            END IF</t>
  </si>
  <si>
    <t>55770                                                   CALL Plot_move(X_sh-2/Scala,Y_sh)              !MOVE X_sh-2/Scala,Y_sh</t>
  </si>
  <si>
    <t>55780                                                   CALL Plot_lorg(8)              !LORG 8</t>
  </si>
  <si>
    <t>55790                                                   LABEL "H_2"</t>
  </si>
  <si>
    <t>55810                                           IF NOT Dk1 THEN</t>
  </si>
  <si>
    <t>55820                                                   CALL Plot_move(X_hh-2/Scala,Y_hh)              !MOVE X_hh-2/Scala,Y_hh</t>
  </si>
  <si>
    <t>55830                                                   LABEL "H_3"</t>
  </si>
  <si>
    <t>55840                                           END IF</t>
  </si>
  <si>
    <t>55850                                                   CALL Plot_move(X_sh,Y_sh)              !MOVE X_sh,Y_sh</t>
  </si>
  <si>
    <t>55860                                 END IF</t>
  </si>
  <si>
    <t>55880               IF H_pzepm_t THEN</t>
  </si>
  <si>
    <t>55890                                CALL Plot_draw(X_npzh,Y_npzh)              !DRAW X_npzh,Y_npzh</t>
  </si>
  <si>
    <t>55910                                    IF NOT Plott THEN</t>
  </si>
  <si>
    <t>55920                                                 CALL Plot_lorg(5)              !LORG 5</t>
  </si>
  <si>
    <t>55930                                                 LABEL "*"</t>
  </si>
  <si>
    <t>55940                                                 CALL Plot_move(X_npzh-2/Scala,Y_npzh)              !MOVE X_npzh-2/Scala,Y_npzh</t>
  </si>
  <si>
    <t>55950                                                 CALL Plot_lorg(8)              !LORG 8</t>
  </si>
  <si>
    <t>55960                                                 LABEL "Fp_H"</t>
  </si>
  <si>
    <t>55970                                                 CALL Plot_move(X_npzh,Y_npzh)              !MOVE X_npzh,Y_npzh</t>
  </si>
  <si>
    <t>55980                                    END IF</t>
  </si>
  <si>
    <t>56000                                CALL Plot_draw(X_nah,Y_nah)              !DRAW X_nah,Y_nah</t>
  </si>
  <si>
    <t>56010                                CALL Plot_move(X_ah,Y_ah)              !MOVE X_ah,Y_ah</t>
  </si>
  <si>
    <t>56020               ELSE</t>
  </si>
  <si>
    <t>56030                          IF Ra0 THEN</t>
  </si>
  <si>
    <t>56040                                     CALL Plot_draw(X_nah,Y_nah)              !DRAW X_nah,Y_nah</t>
  </si>
  <si>
    <t>56050                                     CALL Plot_move(X_ah,Y_ah)              !MOVE X_ah,Y_ah</t>
  </si>
  <si>
    <t>56060                          ELSE</t>
  </si>
  <si>
    <t>56070                                     CALL Plot_draw(X_ah,Y_ah)              !DRAW X_ah,Y_ah</t>
  </si>
  <si>
    <t>56080                          END IF</t>
  </si>
  <si>
    <t>56090               END IF</t>
  </si>
  <si>
    <t>56110                          IF NOT Plott THEN</t>
  </si>
  <si>
    <t>56120                                           CALL Plot_lorg(5)              !LORG 5</t>
  </si>
  <si>
    <t>56130                                           LABEL "*"</t>
  </si>
  <si>
    <t>56140                                           CALL Plot_move(X_ah,Y_ah+2/Scala)              !MOVE X_ah,Y_ah+2/Scala</t>
  </si>
  <si>
    <t>56150                                           CALL Plot_lorg(8)              !LORG 8</t>
  </si>
  <si>
    <t>56160                                           LABEL "H_1"</t>
  </si>
  <si>
    <t>56180                                 IF Ra0 THEN</t>
  </si>
  <si>
    <t>56190                                            CALL Plot_move(X_nah,Y_nah)              !MOVE X_nah,Y_nah</t>
  </si>
  <si>
    <t>56200                                            CALL Plot_lorg(5)              !LORG 5</t>
  </si>
  <si>
    <t>56210                                            LABEL "*"</t>
  </si>
  <si>
    <t>56220                                            CALL Plot_move(X_nah-2/Scala,Y_nah)              !MOVE X_nah-2/Scala,Y_nah</t>
  </si>
  <si>
    <t>56230                                            CALL Plot_lorg(8)              !LORG 8</t>
  </si>
  <si>
    <t>56240                                            LABEL "Fr_H"</t>
  </si>
  <si>
    <t>56250                                 END IF</t>
  </si>
  <si>
    <t>56260                                           CALL Plot_move(X_ah,Y_ah)              !MOVE X_ah,Y_ah</t>
  </si>
  <si>
    <t>56270                          END IF</t>
  </si>
  <si>
    <t>56290          CALL Plot_draw(X_ah_in,Y_ah_in)              !DRAW X_ah_in,Y_ah_in</t>
  </si>
  <si>
    <t>56310          PEN -1</t>
  </si>
  <si>
    <t>56320                   IF Ra0 THEN</t>
  </si>
  <si>
    <t>56330                              CALL Plot_move(X_ah,Y_ah)              !MOVE X_ah,Y_ah</t>
  </si>
  <si>
    <t>56340                              PEN 1</t>
  </si>
  <si>
    <t>56350                              CALL Plot_array(Rgm_h(*))              !PLOT Rgm_h(*)</t>
  </si>
  <si>
    <t>56360                              CALL Plot_array(Rgm_t(*))              !PLOT Rgm_t(*)</t>
  </si>
  <si>
    <t>56380                                   IF NOT Plott THEN</t>
  </si>
  <si>
    <t>56400                                      IF Cnc THEN</t>
  </si>
  <si>
    <t>56410                                                LORG 5</t>
  </si>
  <si>
    <t>56420                                          FOR Cont=1 TO 8 STEP 1</t>
  </si>
  <si>
    <t>56430                               CALL Plot_move(Rgm_t(Cont*Prm_t,0),Rgm_t(Cont*Prm_t,1))              !MOVE Rgm_t(Cont*Prm_t,0),Rgm_t(Cont*Prm_t,1)</t>
  </si>
  <si>
    <t>56440                                          LABEL "*"</t>
  </si>
  <si>
    <t>56450                               CALL Plot_move(Rgm_h(Cont*Prm_h,0),Rgm_h(Cont*Prm_h,1))              !MOVE Rgm_h(Cont*Prm_h,0),Rgm_h(Cont*Prm_h,1)</t>
  </si>
  <si>
    <t>56460                                          LABEL "*"</t>
  </si>
  <si>
    <t>56470                                          NEXT Cont</t>
  </si>
  <si>
    <t>56480                                      END IF</t>
  </si>
  <si>
    <t>56490                                   END IF</t>
  </si>
  <si>
    <t>56510                              PEN -1</t>
  </si>
  <si>
    <t>56520                   END IF</t>
  </si>
  <si>
    <t>56540          PEN 0</t>
  </si>
  <si>
    <t>56550          Px_sc=(X_1-X_0)/100</t>
  </si>
  <si>
    <t>56560          Py_sc=(Y_1-Y_0)/100</t>
  </si>
  <si>
    <t>56570          PEN 2</t>
  </si>
  <si>
    <t>56580          CSIZE 5,.5</t>
  </si>
  <si>
    <t>56590          CALL Plot_lorg(5)              !LORG 5</t>
  </si>
  <si>
    <t>56610                SELECT Scala</t>
  </si>
  <si>
    <t>56620                            CASE 5</t>
  </si>
  <si>
    <t>56630                                   P=20</t>
  </si>
  <si>
    <t>56640                            CASE 25</t>
  </si>
  <si>
    <t>56650                                   P=40</t>
  </si>
  <si>
    <t>56660                            CASE 50</t>
  </si>
  <si>
    <t>56670                                   P=60</t>
  </si>
  <si>
    <t>56680                            CASE 100</t>
  </si>
  <si>
    <t>56690                                   P=80</t>
  </si>
  <si>
    <t>56700                END SELECT</t>
  </si>
  <si>
    <t>56720          CALL Plot_move(X_0+P*Px_sc,Y_1-7*Py_sc)              !MOVE X_0+P*Px_sc,Y_1-7*Py_sc</t>
  </si>
  <si>
    <t>56740 IF Scala=5 THEN</t>
  </si>
  <si>
    <t>56750                LABEL USING "K,K";"SCALA X ";Scala</t>
  </si>
  <si>
    <t>56760 ELSE</t>
  </si>
  <si>
    <t>56770                LABEL USING "K,K";"X ";Scala</t>
  </si>
  <si>
    <t>56780 END IF</t>
  </si>
  <si>
    <t>56790 PEN 0</t>
  </si>
  <si>
    <t>56820         DISP "Premere la SOFTKEY per la tracciatura degli ASSI"</t>
  </si>
  <si>
    <t>56840         ON KEY 5 LABEL "ASSI" GOTO Assi</t>
  </si>
  <si>
    <t>56850         ON KEY 8 LABEL "PROSECUZIONE" GOTO Menu_2</t>
  </si>
  <si>
    <t>56900      OFF KEY</t>
  </si>
  <si>
    <t>56910      PEN 1</t>
  </si>
  <si>
    <t>56920      AXES</t>
  </si>
  <si>
    <t>56930      PEN 0</t>
  </si>
  <si>
    <t>56940      GOTO Ax</t>
  </si>
  <si>
    <t>56980         OFF KEY</t>
  </si>
  <si>
    <t>57000               ON KEY 5 LABEL "NEO_INGRAND" GOTO Graphics</t>
  </si>
  <si>
    <t>57010               ON KEY 7 LABEL "STAMPA DATI" GOTO Prt_dati</t>
  </si>
  <si>
    <t>57020               ON KEY 8 LABEL "MENU" GOTO Ritorno</t>
  </si>
  <si>
    <t>57080              INTEGER G,Mi,S</t>
  </si>
  <si>
    <t>57090              DIM Apwmnmt$[6],Apwmnmh$[6],Apkwmnmt$[6],Apkwmnmh$[6]</t>
  </si>
  <si>
    <t>57100              Ang=Apwmnmt</t>
  </si>
  <si>
    <t>57110              CALL Rad_gms(Ang,G,Mi,S)</t>
  </si>
  <si>
    <t>57120              Apwmnmt$=VAL$(G)&amp;"°"&amp;VAL$(Mi)&amp;"'"</t>
  </si>
  <si>
    <t>57130              Ang=Apwmnmh</t>
  </si>
  <si>
    <t>57140              CALL Rad_gms(Ang,G,Mi,S)</t>
  </si>
  <si>
    <t>57150              Apwmnmh$=VAL$(G)&amp;"°"&amp;VAL$(Mi)&amp;"'"</t>
  </si>
  <si>
    <t>57160        IF Dk1 THEN</t>
  </si>
  <si>
    <t>57170                   Ang=Apkwmnmt</t>
  </si>
  <si>
    <t>57180                   CALL Rad_gms(Ang,G,Mi,S)</t>
  </si>
  <si>
    <t>57190                   Apkwmnmt$=VAL$(G)&amp;"°"&amp;VAL$(Mi)&amp;"'"</t>
  </si>
  <si>
    <t>57200                   Ang=Apkwmnmh</t>
  </si>
  <si>
    <t>57210                   CALL Rad_gms(Ang,G,Mi,S)</t>
  </si>
  <si>
    <t>57220                   Apkwmnmh$=VAL$(G)&amp;"°"&amp;VAL$(Mi)&amp;"'"</t>
  </si>
  <si>
    <t>57230        END IF</t>
  </si>
  <si>
    <t>57240             PEN 2</t>
  </si>
  <si>
    <t>57250             CSIZE 3,.6</t>
  </si>
  <si>
    <t>57260             LORG 2</t>
  </si>
  <si>
    <t>57270             MOVE X_0+3*Px_sc,Y_1-2*Py_sc</t>
  </si>
  <si>
    <t>57290        IF Elic THEN</t>
  </si>
  <si>
    <t>57300                    LABEL USING "K,K";"AP.F.Alto =";Apwmnmh$</t>
  </si>
  <si>
    <t>57320                IF Dk1 THEN</t>
  </si>
  <si>
    <t>57330                           MOVE X_0+25*Px_sc,Y_1-2*Py_sc</t>
  </si>
  <si>
    <t>57340                           LABEL USING "K,K";"APK.F.Alto =";Apkwmnmh$</t>
  </si>
  <si>
    <t>57350                END IF</t>
  </si>
  <si>
    <t>57370                    MOVE X_0+52*Px_sc,Y_1-2*Py_sc</t>
  </si>
  <si>
    <t>57380                    LABEL USING "K,K";"AP.F.Basso =";Apwmnmt$</t>
  </si>
  <si>
    <t>57400                IF Dk1 THEN</t>
  </si>
  <si>
    <t>57410                           MOVE X_0+74*Px_sc,Y_1-2*Py_sc</t>
  </si>
  <si>
    <t>57420                           LABEL USING "K,K";"APK.F.Basso =";Apkwmnmt$</t>
  </si>
  <si>
    <t>57430                END IF</t>
  </si>
  <si>
    <t>57440        ELSE</t>
  </si>
  <si>
    <t>57450                    LABEL USING "K,K";"AP.=";Apwmnmt$</t>
  </si>
  <si>
    <t>57470                IF Dk1 THEN</t>
  </si>
  <si>
    <t>57480                           MOVE X_0+25*Px_sc,Y_1-2*Py_sc</t>
  </si>
  <si>
    <t>57490                           LABEL USING "K,K";"APK.=";Apkwmnmt$</t>
  </si>
  <si>
    <t>57500                END IF</t>
  </si>
  <si>
    <t>57510        END IF</t>
  </si>
  <si>
    <t>57530        LORG 5</t>
  </si>
  <si>
    <t>57540        CSIZE 5,.5</t>
  </si>
  <si>
    <t>57550        MOVE X_0+50*Px_sc,Y_0+7*Py_sc</t>
  </si>
  <si>
    <t>57560        LABEL "SAGOMA MOLA "</t>
  </si>
  <si>
    <t>57570        LORG 2</t>
  </si>
  <si>
    <t>57580        CSIZE 3,.6</t>
  </si>
  <si>
    <t>57590        MOVE X_0+3*Px_sc,Y_0+2*Py_sc</t>
  </si>
  <si>
    <t>57600        LABEL USING "K,K";"CLIENTE ";Cliente$</t>
  </si>
  <si>
    <t>57610        MOVE X_0+40*Px_sc,Y_0+2*Py_sc</t>
  </si>
  <si>
    <t>57620        LABEL USING "K,K";"DISEGNO N. ";Dis$</t>
  </si>
  <si>
    <t>57640        LINPUT "Introdurre il numero di SAGOMA",N_sag$</t>
  </si>
  <si>
    <t>57650        CSIZE 6,.5</t>
  </si>
  <si>
    <t>57660        MOVE X_0+73*Px_sc,Y_0+2*Py_sc</t>
  </si>
  <si>
    <t>57670        LABEL USING "K,K";"N.SAG. ";N_sag$</t>
  </si>
  <si>
    <t>57690        PEN 0</t>
  </si>
  <si>
    <t>57710   DISP "Premere CONTINUE per proseguire"</t>
  </si>
  <si>
    <t>57720   ENTER 2;A$</t>
  </si>
  <si>
    <t>57740              GCLEAR</t>
  </si>
  <si>
    <t>57750              Studer_gl=0</t>
  </si>
  <si>
    <t>57760              GOTO Titolo</t>
  </si>
  <si>
    <t>57790          INTEGER Cnc</t>
  </si>
  <si>
    <t>57800          Cnc=1</t>
  </si>
  <si>
    <t>57810          OFF KEY</t>
  </si>
  <si>
    <t>57820          OUTPUT 2;Clear$;</t>
  </si>
  <si>
    <t>57840          ON KEY 5 LABEL "CORR .PROFILO" GOTO Corr_prof</t>
  </si>
  <si>
    <t>57850          ON KEY 8 LABEL "STAMPA PROF." GOTO Stampa_prof</t>
  </si>
  <si>
    <t>57860          ON KEY 6 LABEL "AZZER.CORREZIONI" GOTO Inizio</t>
  </si>
  <si>
    <t>57910             OFF KEY</t>
  </si>
  <si>
    <t>57920             INTEGER F_h</t>
  </si>
  <si>
    <t>57930             F_h=0</t>
  </si>
  <si>
    <t>57940             DISP "SEGNALARE IL FIANCO CHE SI VUOLE CORREGGERE"</t>
  </si>
  <si>
    <t>57960       IF Elic THEN</t>
  </si>
  <si>
    <t>57970                   ON KEY 1 LABEL "FIANCO ALTO" GOTO F_alto</t>
  </si>
  <si>
    <t>57980                   ON KEY 4 LABEL "FIANCO BASSO " GOTO Correz</t>
  </si>
  <si>
    <t>57990       ELSE</t>
  </si>
  <si>
    <t>58000                   ON KEY 5 LABEL "FIANCO SX" GOTO F_alto</t>
  </si>
  <si>
    <t>58010                   ON KEY 8 LABEL "FIANCO DX" GOTO Correz</t>
  </si>
  <si>
    <t>58020       END IF</t>
  </si>
  <si>
    <t>58070       F_h=1</t>
  </si>
  <si>
    <t>58080       GOTO Correz</t>
  </si>
  <si>
    <t>58110          OFF KEY</t>
  </si>
  <si>
    <t>58120          IF F_h THEN</t>
  </si>
  <si>
    <t>58130                     Ap=Apwmnmh</t>
  </si>
  <si>
    <t>58140                     Apk=Apkwmnmh</t>
  </si>
  <si>
    <t>58150                     Ham=ABS(Y_sh)</t>
  </si>
  <si>
    <t>58160              IF NOT Dk1 THEN Ham=ABS(Y_hh)</t>
  </si>
  <si>
    <t>58170          ELSE</t>
  </si>
  <si>
    <t>58180                     Ap=Apwmnmt</t>
  </si>
  <si>
    <t>58190                     Apk=Apkwmnmt</t>
  </si>
  <si>
    <t>58200                     Ham=ABS(Y_st)</t>
  </si>
  <si>
    <t>58210              IF NOT Dk1 THEN Ham=ABS(Y_tt)</t>
  </si>
  <si>
    <t>58220          END IF</t>
  </si>
  <si>
    <t>58240          DISP "DIGITARE la correzione da effettuare sul fianco prescelto"</t>
  </si>
  <si>
    <t>58260          ON KEY 0 LABEL "INCL.FIANCO" GOTO Incl_f</t>
  </si>
  <si>
    <t>58270          ON KEY 2 LABEL "ALT.RAGGI" GOTO H_raggi</t>
  </si>
  <si>
    <t>58320          OFF KEY</t>
  </si>
  <si>
    <t>58340          INPUT "INTRODURRE L'ERRORE RISCONTRATO SUL GRAFICO [in mu]",Fha</t>
  </si>
  <si>
    <t>58360          INPUT "INTRODURRE LA LUNGHEZZA DEL GRAFICO [in mm]",La</t>
  </si>
  <si>
    <t>58380          Fa=(Fha/(1000*La*TAN(Apt)))</t>
  </si>
  <si>
    <t>58400       IF F_h THEN</t>
  </si>
  <si>
    <t>58410                  Var_ang=TAN(Ap+Fa)-TAN(Ap)</t>
  </si>
  <si>
    <t>58430              IF H_pzepm_h THEN</t>
  </si>
  <si>
    <t>58440                              Hfm=Y_npzh</t>
  </si>
  <si>
    <t>58450                              X_npzh=X_npzh-Hfm*Var_ang</t>
  </si>
  <si>
    <t>58460              ELSE</t>
  </si>
  <si>
    <t>58470                   IF Ra0 THEN</t>
  </si>
  <si>
    <t>58480                              Hfm=Y_nah</t>
  </si>
  <si>
    <t>58490                   ELSE</t>
  </si>
  <si>
    <t>58500                              Hfm=Y_ah</t>
  </si>
  <si>
    <t>58510                              X_ah=X_ah-Hfm*Var_ang</t>
  </si>
  <si>
    <t>58520                   END IF</t>
  </si>
  <si>
    <t>58530              END IF</t>
  </si>
  <si>
    <t>58550              IF Ra0 THEN</t>
  </si>
  <si>
    <t>58560                         X_ah=X_ah-Hfm*Var_ang</t>
  </si>
  <si>
    <t>58570                         X_nah=X_nah-Hfm*Var_ang</t>
  </si>
  <si>
    <t>58590                     FOR Num=1 TO 8 STEP 1</t>
  </si>
  <si>
    <t>58600                          Rgm_h(Num*Prm_h,0)=Rgm_h(Num*Prm_h,0)-Hfm*Var_ang</t>
  </si>
  <si>
    <t>58610                     NEXT Num</t>
  </si>
  <si>
    <t>58630              END IF</t>
  </si>
  <si>
    <t>58650       ELSE</t>
  </si>
  <si>
    <t>58660                  Var_ang=TAN(Ap+Fa)-TAN(Ap)</t>
  </si>
  <si>
    <t>58680              IF H_pzepm_t THEN</t>
  </si>
  <si>
    <t>58690                              Hfm=Y_npzt</t>
  </si>
  <si>
    <t>58700                              X_npzt=X_npzt+Hfm*Var_ang</t>
  </si>
  <si>
    <t>58710              ELSE</t>
  </si>
  <si>
    <t>58720                    IF Ra0 THEN</t>
  </si>
  <si>
    <t>58730                              Hfm=Y_nat</t>
  </si>
  <si>
    <t>58740                    ELSE</t>
  </si>
  <si>
    <t>58750                              Hfm=Y_at</t>
  </si>
  <si>
    <t>58760                              X_at=X_at+Hfm*Var_ang</t>
  </si>
  <si>
    <t>58770                    END IF</t>
  </si>
  <si>
    <t>58780              END IF</t>
  </si>
  <si>
    <t>58790              IF Ra0 THEN</t>
  </si>
  <si>
    <t>58800                         X_at=X_at+Hfm*Var_ang</t>
  </si>
  <si>
    <t>58810                         X_nat=X_nat+Hfm*Var_ang</t>
  </si>
  <si>
    <t>58830                     FOR Num=1 TO 8 STEP 1</t>
  </si>
  <si>
    <t>58840                          Rgm_t(Num*Prm_t,0)=Rgm_t(Num*Prm_t,0)+Hfm*Var_ang</t>
  </si>
  <si>
    <t>58850                     NEXT Num</t>
  </si>
  <si>
    <t>58870              END IF</t>
  </si>
  <si>
    <t>58880       END IF</t>
  </si>
  <si>
    <t>58900       IF Dk1 THEN</t>
  </si>
  <si>
    <t>58910                  Var_lk=(Ham*SIN(Fa))/(SIN(Apk-(Ap+Fa))*COS(Ap))</t>
  </si>
  <si>
    <t>58920                  Var_xk=Var_lk*SIN(Apk)</t>
  </si>
  <si>
    <t>58930                  Var_yk=Var_lk*COS(Apk)</t>
  </si>
  <si>
    <t>58950             IF F_h THEN</t>
  </si>
  <si>
    <t>58960                  X_sh=X_sh+Var_xk</t>
  </si>
  <si>
    <t>58970                  Y_sh=Y_sh-Var_yk</t>
  </si>
  <si>
    <t>58980             ELSE</t>
  </si>
  <si>
    <t>58990                  X_st=X_st-Var_xk</t>
  </si>
  <si>
    <t>59000                  Y_st=Y_st-Var_yk</t>
  </si>
  <si>
    <t>59010             END IF</t>
  </si>
  <si>
    <t>59020       ELSE</t>
  </si>
  <si>
    <t>59030             IF F_h THEN</t>
  </si>
  <si>
    <t>59040                  X_hh=X_hh+Ham*(TAN(Ap+Fa)-TAN(Ap))</t>
  </si>
  <si>
    <t>59050             ELSE</t>
  </si>
  <si>
    <t>59060                  X_tt=X_tt-Ham*(TAN(Ap+Fa)-TAN(Ap))</t>
  </si>
  <si>
    <t>59070             END IF</t>
  </si>
  <si>
    <t>59080       END IF</t>
  </si>
  <si>
    <t>59100       GOTO Diaf_cnc</t>
  </si>
  <si>
    <t>59140         OFF KEY</t>
  </si>
  <si>
    <t>59150         INPUT "INTRODURRE LA VARIAZIONE DI ALTEZZA DEL RAGGIO",Var_h_rg</t>
  </si>
  <si>
    <t>59170         IF F_h THEN</t>
  </si>
  <si>
    <t>59180                IF H_pzepm_h THEN</t>
  </si>
  <si>
    <t>59190                                Y_npzh=Y_npzh+Var_h_rg</t>
  </si>
  <si>
    <t>59200                                X_npzh=X_npzh-Var_h_rg*TAN(Ap)</t>
  </si>
  <si>
    <t>59210                END IF</t>
  </si>
  <si>
    <t>59220                IF Ra0 THEN</t>
  </si>
  <si>
    <t>59230                                Y_nah=Y_nah+Var_h_rg</t>
  </si>
  <si>
    <t>59240                                X_nah=X_nah-Var_h_rg*TAN(Ap)</t>
  </si>
  <si>
    <t>59260          FOR Cont=1 TO 8 STEP 1</t>
  </si>
  <si>
    <t>59280                   Rgm_h(Cont*Prm_h,1)=Rgm_h(Cont*Prm_h,1)+Var_h_rg</t>
  </si>
  <si>
    <t>59290                   Rgm_h(Cont*Prm_h,0)=Rgm_h(Cont*Prm_h,0)-Var_h_rg*TAN(Ap)</t>
  </si>
  <si>
    <t>59300          NEXT Cont</t>
  </si>
  <si>
    <t>59320               END IF</t>
  </si>
  <si>
    <t>59330                                Y_ah=Y_ah+Var_h_rg</t>
  </si>
  <si>
    <t>59340                                X_ah=X_ah-Var_h_rg*TAN(Ap)</t>
  </si>
  <si>
    <t>59350          ELSE</t>
  </si>
  <si>
    <t>59360                IF H_pzepm_t THEN</t>
  </si>
  <si>
    <t>59370                                Y_npzt=Y_npzt+Var_h_rg</t>
  </si>
  <si>
    <t>59380                                X_npzt=X_npzt+Var_h_rg*TAN(Ap)</t>
  </si>
  <si>
    <t>59390                END IF</t>
  </si>
  <si>
    <t>59400                IF Ra0 THEN</t>
  </si>
  <si>
    <t>59410                                Y_nat=Y_nat+Var_h_rg</t>
  </si>
  <si>
    <t>59420                                X_nat=X_nat+Var_h_rg*TAN(Ap)</t>
  </si>
  <si>
    <t>59440          FOR Cont=1 TO 8 STEP 1</t>
  </si>
  <si>
    <t>59460                   Rgm_t(Cont*Prm_t,1)=Rgm_t(Cont*Prm_t,1)+Var_h_rg</t>
  </si>
  <si>
    <t>59470                   Rgm_t(Cont*Prm_t,0)=Rgm_t(Cont*Prm_t,0)+Var_h_rg*TAN(Ap)</t>
  </si>
  <si>
    <t>59480          NEXT Cont</t>
  </si>
  <si>
    <t>59500               END IF</t>
  </si>
  <si>
    <t>59510                                Y_at=Y_at+Var_h_rg</t>
  </si>
  <si>
    <t>59520                                X_at=X_at+Var_h_rg*TAN(Ap)</t>
  </si>
  <si>
    <t>59530          END IF</t>
  </si>
  <si>
    <t>59540   GOTO Diaf_cnc</t>
  </si>
  <si>
    <t>59570          OFF KEY</t>
  </si>
  <si>
    <t>59580          INTEGER Lin,Incr</t>
  </si>
  <si>
    <t>59600          OUTPUT 2;Clear$;</t>
  </si>
  <si>
    <t>59620          PRINT TAB(Centro+5);</t>
  </si>
  <si>
    <t>59630          PRINT CHR$(129);"PUNTI SAGOMA * DIAFORM C.N.C."</t>
  </si>
  <si>
    <t>59640          Lin=1</t>
  </si>
  <si>
    <t>59660                  PRINT CHR$(132)</t>
  </si>
  <si>
    <t>59670                  Lin=2</t>
  </si>
  <si>
    <t>59680       IF Elic THEN</t>
  </si>
  <si>
    <t>59690                  PRINT TABXY(14,Lin);"FIANCO ALTO"</t>
  </si>
  <si>
    <t>59700                  PRINT TABXY(59,Lin);"FIANCO BASSO"</t>
  </si>
  <si>
    <t>59710       ELSE</t>
  </si>
  <si>
    <t>59720                  PRINT TABXY(15,Lin);"FIANCO SX"</t>
  </si>
  <si>
    <t>59730                  PRINT TABXY(60,Lin);"FIANCO DX"</t>
  </si>
  <si>
    <t>59740       END IF</t>
  </si>
  <si>
    <t>59760          PRINT CHR$(132)</t>
  </si>
  <si>
    <t>59770          Lin=Lin+1</t>
  </si>
  <si>
    <t>59780          PRINT TABXY(13,Lin);"Z"</t>
  </si>
  <si>
    <t>59790          PRINT TABXY(25,Lin);"X"</t>
  </si>
  <si>
    <t>59800          PRINT TABXY(58,Lin);"Z"</t>
  </si>
  <si>
    <t>59810          PRINT TABXY(70,Lin);"X"</t>
  </si>
  <si>
    <t>59830          PRINT CHR$(128)</t>
  </si>
  <si>
    <t>59840          Lin=Lin+2</t>
  </si>
  <si>
    <t>59850          Ps_h$="H_1"</t>
  </si>
  <si>
    <t>59860          Ps_t$="T_1"</t>
  </si>
  <si>
    <t>59870          Z_h=X_ah</t>
  </si>
  <si>
    <t>59880          X_h=Y_ah</t>
  </si>
  <si>
    <t>59890          Z_t=X_at</t>
  </si>
  <si>
    <t>59900          X_t=Y_at</t>
  </si>
  <si>
    <t>59910          GOSUB Stampa_riga</t>
  </si>
  <si>
    <t>59930                IF Ra0 THEN</t>
  </si>
  <si>
    <t>59940                      FOR Incr=1 TO 8 STEP 1</t>
  </si>
  <si>
    <t>59950                          Lin=Lin+1</t>
  </si>
  <si>
    <t>59960                          PRINT TABXY(1,Lin);"RH_";Incr</t>
  </si>
  <si>
    <t>59970                          PRINT TABXY(10,Lin);</t>
  </si>
  <si>
    <t>59980                          PRINT USING Cifr;Rgm_h(Incr*Prm_h,0)</t>
  </si>
  <si>
    <t>59990                          PRINT TABXY(22,Lin);</t>
  </si>
  <si>
    <t>60000                          PRINT USING Cifr;Rgm_h(Incr*Prm_h,1)</t>
  </si>
  <si>
    <t>60010                          PRINT TABXY(45,Lin);"RT_";Incr</t>
  </si>
  <si>
    <t>60020                          PRINT TABXY(55,Lin);</t>
  </si>
  <si>
    <t>60030                          PRINT USING Cifr;Rgm_t(Incr*Prm_t,0)</t>
  </si>
  <si>
    <t>60040                          PRINT TABXY(67,Lin);</t>
  </si>
  <si>
    <t>60050                          PRINT USING Cifr;Rgm_t(Incr*Prm_t,1)</t>
  </si>
  <si>
    <t>60060                      NEXT Incr</t>
  </si>
  <si>
    <t>60070                                Lin=Lin+1</t>
  </si>
  <si>
    <t>60080                                Ps_h$="Fr_H"</t>
  </si>
  <si>
    <t>60090                                Ps_t$="Fr_T"</t>
  </si>
  <si>
    <t>60100                                Z_h=X_nah</t>
  </si>
  <si>
    <t>60110                                X_h=Y_nah</t>
  </si>
  <si>
    <t>60120                                Z_t=X_nat</t>
  </si>
  <si>
    <t>60130                                X_t=Y_nat</t>
  </si>
  <si>
    <t>60140                          GOSUB Stampa_riga</t>
  </si>
  <si>
    <t>60150                 END IF</t>
  </si>
  <si>
    <t>60170                 IF H_pzepm_t THEN</t>
  </si>
  <si>
    <t>60180                                 Lin=Lin+1</t>
  </si>
  <si>
    <t>60190                                Ps_h$="Fp_H"</t>
  </si>
  <si>
    <t>60200                                Ps_t$="Fp_T"</t>
  </si>
  <si>
    <t>60210                                Z_h=X_npzh</t>
  </si>
  <si>
    <t>60220                                X_h=Y_npzh</t>
  </si>
  <si>
    <t>60230                                Z_t=X_npzt</t>
  </si>
  <si>
    <t>60240                                X_t=Y_npzt</t>
  </si>
  <si>
    <t>60250                          GOSUB Stampa_riga</t>
  </si>
  <si>
    <t>60260                 END IF</t>
  </si>
  <si>
    <t>60280            Lin=Lin+1</t>
  </si>
  <si>
    <t>60290            Ps_h$="H_2"</t>
  </si>
  <si>
    <t>60300            Ps_t$="T_2"</t>
  </si>
  <si>
    <t>60310            Z_h=X_sh</t>
  </si>
  <si>
    <t>60320            X_h=Y_sh</t>
  </si>
  <si>
    <t>60330            Z_t=X_st</t>
  </si>
  <si>
    <t>60340            X_t=Y_st</t>
  </si>
  <si>
    <t>60350     GOSUB Stampa_riga</t>
  </si>
  <si>
    <t>60370           IF NOT Dk1 THEN</t>
  </si>
  <si>
    <t>60380                   Lin=Lin+1</t>
  </si>
  <si>
    <t>60390                   Ps_h$="H_3"</t>
  </si>
  <si>
    <t>60400                   Ps_t$="T_3"</t>
  </si>
  <si>
    <t>60410                   Z_h=X_hh</t>
  </si>
  <si>
    <t>60420                   X_h=Y_hh</t>
  </si>
  <si>
    <t>60430                   Z_t=X_tt</t>
  </si>
  <si>
    <t>60440                   X_t=Y_tt</t>
  </si>
  <si>
    <t>60450                          GOSUB Stampa_riga</t>
  </si>
  <si>
    <t>60460           END IF</t>
  </si>
  <si>
    <t>60480                             IF Dk1 THEN</t>
  </si>
  <si>
    <t>60490                   Lin=Lin+1</t>
  </si>
  <si>
    <t>60500                   Ps_h$="Cusp"</t>
  </si>
  <si>
    <t>60510                   Ps_t$="Cusp"</t>
  </si>
  <si>
    <t>60520                   Z_h=X_ht</t>
  </si>
  <si>
    <t>60530                   X_h=Y_ht</t>
  </si>
  <si>
    <t>60540                   Z_t=X_ht</t>
  </si>
  <si>
    <t>60550                   X_t=Y_ht</t>
  </si>
  <si>
    <t>60560               GOSUB Stampa_riga</t>
  </si>
  <si>
    <t>60570                             END IF</t>
  </si>
  <si>
    <t>60590            GOTO Rientro</t>
  </si>
  <si>
    <t>60610          PRINT TABXY(1,Lin);Ps_h$</t>
  </si>
  <si>
    <t>60620          PRINT TABXY(10,Lin);</t>
  </si>
  <si>
    <t>60630          PRINT USING Cifr;Z_h</t>
  </si>
  <si>
    <t>60640          PRINT TABXY(22,Lin);</t>
  </si>
  <si>
    <t>60650          PRINT USING Cifr;X_h</t>
  </si>
  <si>
    <t>60660          PRINT TABXY(45,Lin);Ps_t$</t>
  </si>
  <si>
    <t>60670          PRINT TABXY(55,Lin);</t>
  </si>
  <si>
    <t>60680          PRINT USING Cifr;Z_t</t>
  </si>
  <si>
    <t>60690          PRINT TABXY(67,Lin);</t>
  </si>
  <si>
    <t>60700          PRINT USING Cifr;X_t</t>
  </si>
  <si>
    <t>60710  RETURN</t>
  </si>
  <si>
    <t>60800      IF Dwm0&gt;Da0 THEN</t>
  </si>
  <si>
    <t>60810                     BEEP</t>
  </si>
  <si>
    <t>60820      DISP "ATT.ne!!!!  IL Diam. di ROTOLAMENTO e' SUPERIORE al Diam. ESTERNO !!!"</t>
  </si>
  <si>
    <t>60830      END IF</t>
  </si>
  <si>
    <t>60850      IF Dwm0&lt;Dk0 THEN</t>
  </si>
  <si>
    <t>60860      DISP "ATT.ne!!!!  IL Diam. di ROTOLAMENTO e' INFERIORE al Diam. ATTACCO BISELLO !!!!"</t>
  </si>
  <si>
    <t>60870      END IF</t>
  </si>
  <si>
    <t>60880             IF Elic THEN</t>
  </si>
  <si>
    <t>60890             Rd$=""</t>
  </si>
  <si>
    <t>60900             Rs$=""</t>
  </si>
  <si>
    <t>60910             OFF KEY</t>
  </si>
  <si>
    <t>60930             Ang_h=3*PI/180</t>
  </si>
  <si>
    <t>60950             PRINT</t>
  </si>
  <si>
    <t>60960             PRINT</t>
  </si>
  <si>
    <t>60970             PRINT CHR$(129);</t>
  </si>
  <si>
    <t>60980             PRINT</t>
  </si>
  <si>
    <t>60990    PRINT "ATTUALMENTE il VALORE dell'ANGOLO sul FIANCO ALTO E' di 3 Gr."</t>
  </si>
  <si>
    <t>61000    PRINT</t>
  </si>
  <si>
    <t>61010    PRINT CHR$(128);</t>
  </si>
  <si>
    <t>61030      LINPUT "VUOI CAMBIARLO ?    [NO/CONTINUE]",Rd$</t>
  </si>
  <si>
    <t>61050      IF LEN(Rd$) THEN</t>
  </si>
  <si>
    <t>61060                     Stampa_dati_w=0</t>
  </si>
  <si>
    <t>61070                     INPUT "DIGIT. il NUOVO ANGOLO   [GG.DEC.]",Ang_h</t>
  </si>
  <si>
    <t>61080                     Ang_h=Ang_h*PI/180</t>
  </si>
  <si>
    <t>61090      END IF</t>
  </si>
  <si>
    <t>61110      PRINT "Lo SPESSORE della MOLA E' ==&gt; 16 mm"</t>
  </si>
  <si>
    <t>61120      LINPUT "VUOI CAMBIARLO ?   [NO/CONTINUE]",Rs$</t>
  </si>
  <si>
    <t>61140      IF LEN(Rs$) THEN</t>
  </si>
  <si>
    <t>61150                     INPUT "DIGIT. il NUOVO SPESSORE    [mm]",Spw</t>
  </si>
  <si>
    <t>61160      ELSE</t>
  </si>
  <si>
    <t>61170                     Spw=16</t>
  </si>
  <si>
    <t>61180      END IF</t>
  </si>
  <si>
    <t>61200                    Spw=Spw/2              !    META' SPESSORE MOLA</t>
  </si>
  <si>
    <t>61220     END IF</t>
  </si>
  <si>
    <t>61230             Studer_gl=1</t>
  </si>
  <si>
    <t>61260             OUTPUT 2;Clear$;</t>
  </si>
  <si>
    <t>61310             IF Ra0 THEN</t>
  </si>
  <si>
    <t>61320             Rhx_6=Rgm_h(7*Prm_h,1)              !</t>
  </si>
  <si>
    <t>61340             Rhz_6=Rgm_h(7*Prm_h,0)              !</t>
  </si>
  <si>
    <t>61350             Frx_h=Y_nah</t>
  </si>
  <si>
    <t>61360             Frz_h=X_nah</t>
  </si>
  <si>
    <t>61380             END IF</t>
  </si>
  <si>
    <t>61410             Hx_1=Y_ah</t>
  </si>
  <si>
    <t>61420             Hz_1=X_ah</t>
  </si>
  <si>
    <t>61440             Hx_2=Y_sh</t>
  </si>
  <si>
    <t>61450             Hz_2=X_sh</t>
  </si>
  <si>
    <t>61500             IF Ra0 THEN</t>
  </si>
  <si>
    <t>61510             Rtx_6=Rgm_t(7*Prm_t,1)              !</t>
  </si>
  <si>
    <t>61530             Rtz_6=Rgm_t(7*Prm_t,0)              !</t>
  </si>
  <si>
    <t>61540             Frx_t=Y_nat</t>
  </si>
  <si>
    <t>61550             Frz_t=X_nat</t>
  </si>
  <si>
    <t>61570             END IF</t>
  </si>
  <si>
    <t>61580             Tx_1=Y_at</t>
  </si>
  <si>
    <t>61590             Tz_1=X_at</t>
  </si>
  <si>
    <t>61610             Tx_2=Y_st</t>
  </si>
  <si>
    <t>61620             Tz_2=X_st</t>
  </si>
  <si>
    <t>61660        IF Ra0 THEN</t>
  </si>
  <si>
    <t>61720                  Gamma_h=ABS(ATN((Hx_1-Rhx_6)/(Hz_1-Rhz_6)))</t>
  </si>
  <si>
    <t>61740                  Corda_h=(Hz_1-Rhz_6)/COS(Gamma_h)</t>
  </si>
  <si>
    <t>61760                  Ra_1h=ABS(Corda_h/(2*SIN(Gamma_h)))</t>
  </si>
  <si>
    <t>61970                 Delta_h=ABS(ATN((Rhx_6-Frx_h)/(Rhz_6-Frz_h)))</t>
  </si>
  <si>
    <t>61990                 Corda_2h=(Rhx_6-Frx_h)/SIN(Delta_h)</t>
  </si>
  <si>
    <t>62010                 Alfa_2h=(PI-(2*Delta_h)-(2*Apwmnmh))</t>
  </si>
  <si>
    <t>62030                 Ra_2h=ABS(Corda_2h*SIN(Delta_h+Apwmnmh)/SIN(Alfa_2h))</t>
  </si>
  <si>
    <t>62220                 Ox_2h=Frx_h-(Ra_2h*SIN(Apwmnmh))</t>
  </si>
  <si>
    <t>62240                 Oz_2h=ABS(Frz_h)+(Ra_2h*COS(Apwmnmh))</t>
  </si>
  <si>
    <t>62260                 Ang_beta=ACS((Hx_1-Ox_2h-Ra_1h)/(Ra_2h-Ra_1h))</t>
  </si>
  <si>
    <t>62290                 Oz_1h=Oz_2h-((Ra_2h-Ra_1h)*SIN(Ang_beta))</t>
  </si>
  <si>
    <t>62310                 Ox_1h=Ox_2h+((Ra_2h-Ra_1h)*COS(Ang_beta))</t>
  </si>
  <si>
    <t>62330                 Xsh=Ox_2h+(Ra_2h*COS(Ang_beta))</t>
  </si>
  <si>
    <t>62350                 Zsh=Oz_2h-(Ra_2h*SIN(Ang_beta))</t>
  </si>
  <si>
    <t>62380                 Rhx_6=Xsh</t>
  </si>
  <si>
    <t>62390                 Rhz_6=Zsh</t>
  </si>
  <si>
    <t>62410                  Hx_1=Oz_1h</t>
  </si>
  <si>
    <t>62430                  Hz_1=Hx_1</t>
  </si>
  <si>
    <t>62520                  Gamma_t=ABS(ATN((Tx_1-Rtx_6)/(Tz_1-Rtz_6)))</t>
  </si>
  <si>
    <t>62540                  Corda_t=(Tz_1-Rtz_6)/COS(Gamma_t)</t>
  </si>
  <si>
    <t>62560                  Ra_1t=ABS(Corda_t/(2*SIN(Gamma_t)))</t>
  </si>
  <si>
    <t>62780                 Delta_t=ABS(ATN((Rtx_6-Frx_t)/(Rtz_6-Frz_t)))</t>
  </si>
  <si>
    <t>62800                 Corda_2t=(Rtx_6-Frx_t)/SIN(Delta_t)</t>
  </si>
  <si>
    <t>62820                 Alfa_2t=(PI-(2*Delta_t)-(2*Apwmnmt))</t>
  </si>
  <si>
    <t>62840                 Ra_2t=ABS(Corda_2t*SIN(Delta_t+Apwmnmt)/SIN(Alfa_2t))</t>
  </si>
  <si>
    <t>62990                 Ox_2t=Frx_t-(Ra_2t*SIN(Apwmnmt))</t>
  </si>
  <si>
    <t>63010                 Oz_2t=ABS(Frz_t)+(Ra_2t*COS(Apwmnmt))</t>
  </si>
  <si>
    <t>63030                 Ang_beta=ACS((Tx_1-Ox_2t-Ra_1t)/(Ra_2t-Ra_1t))</t>
  </si>
  <si>
    <t>63060                 Oz_1t=Oz_2t-((Ra_2t-Ra_1t)*SIN(Ang_beta))</t>
  </si>
  <si>
    <t>63080                 Ox_1t=Ox_2t+((Ra_2t-Ra_1t)*COS(Ang_beta))</t>
  </si>
  <si>
    <t>63100                 Xst=Ox_2t+(Ra_2t*COS(Ang_beta))</t>
  </si>
  <si>
    <t>63120                 Zst=Oz_2t-(Ra_2t*SIN(Ang_beta))</t>
  </si>
  <si>
    <t>63150                 Rtx_6=Xst</t>
  </si>
  <si>
    <t>63160                 Rtz_6=Zst</t>
  </si>
  <si>
    <t>63180                  Tx_1=Oz_1t</t>
  </si>
  <si>
    <t>63200                  Tz_1=Tx_1</t>
  </si>
  <si>
    <t>63300  IF (Ra_2h-Ra_1h)&lt;.300 THEN</t>
  </si>
  <si>
    <t>63320                           Hx_1=Y_ah              !RIPORTA ALLA CONDIZIONI INIZIALI LA VARIABILE</t>
  </si>
  <si>
    <t>63330                           Tx_1=Y_at              !RIPORTA ALLA CONDIZIONI INIZIALI LA VARIABILE</t>
  </si>
  <si>
    <t>63340                           Stampa_dati_w=1</t>
  </si>
  <si>
    <t>63360                           Angolo_mola_h=Apwmnmh</t>
  </si>
  <si>
    <t>63380           IF H_pzepm_t THEN</t>
  </si>
  <si>
    <t>63400                      Angolo_mola_h=ABS(ATN((X_nah-X_npzh)/(Y_nah-Y_npzh)))</t>
  </si>
  <si>
    <t>63420           END IF</t>
  </si>
  <si>
    <t>63440                           Rmedio_h=(Ra_2h+Ra_1h)/2</t>
  </si>
  <si>
    <t>63460    X_wbmh=Hx_1              ! Coordinate sulla Base della MOLA  asse X</t>
  </si>
  <si>
    <t>63490           IF H_pzepm_t THEN</t>
  </si>
  <si>
    <t>63510                           Z_wbwh=((Hx_1-Y_nah)*TAN(Angolo_mola_h))+ABS(X_nah)</t>
  </si>
  <si>
    <t>63530           ELSE               !  Coordinate sulla Base della MOLA  asse Z</t>
  </si>
  <si>
    <t>63550    Z_wbwh=Hx_1*TAN(Angolo_mola_h)+Swmnm_h              ! GzH</t>
  </si>
  <si>
    <t>63570           END IF</t>
  </si>
  <si>
    <t>63590                           Alfam_h=(PI/2-Angolo_mola_h)/2</t>
  </si>
  <si>
    <t>63630    Hz_1_a=Z_wbwh+(Rmedio_h*TAN(Alfam_h))              !</t>
  </si>
  <si>
    <t>63650    Hx_1_a=Hx_1                          !</t>
  </si>
  <si>
    <t>63680                   Or_z_h=Hz_1_a              !</t>
  </si>
  <si>
    <t>63700                   Or_x_h=Hx_1-Rmedio_h              !</t>
  </si>
  <si>
    <t>63730   Frh_z_l=Hz_1_a-(Rmedio_h*COS(Angolo_mola_h))              !</t>
  </si>
  <si>
    <t>63750   Frh_x_l=Hx_1-(Rmedio_h*(1-SIN(Angolo_mola_h)))              !</t>
  </si>
  <si>
    <t>63840                           Angolo_mola_t=Apwmnmt</t>
  </si>
  <si>
    <t>63860           IF H_pzepm_t THEN</t>
  </si>
  <si>
    <t>63880                      Angolo_mola_t=ABS(ATN((X_nat-X_npzt)/(Y_nat-Y_npzt)))</t>
  </si>
  <si>
    <t>63900           END IF</t>
  </si>
  <si>
    <t>63920                           Rmedio_t=(Ra_2t+Ra_1t)/2</t>
  </si>
  <si>
    <t>63940    X_wbmt=Tx_1              ! Coordinate sulla Base della MOLA  asse X</t>
  </si>
  <si>
    <t>63970           IF H_pzepm_t THEN</t>
  </si>
  <si>
    <t>63990                           Z_wbwt=((Tx_1-Y_nat)*TAN(Angolo_mola_t))+X_nat</t>
  </si>
  <si>
    <t>64010           ELSE               !  Coordinate sulla Base della MOLA  asse Z</t>
  </si>
  <si>
    <t>64030    Z_wbwt=Tx_1*TAN(Angolo_mola_t)+Swmnm_t              ! GzT</t>
  </si>
  <si>
    <t>64050           END IF</t>
  </si>
  <si>
    <t>64070                           Alfam_t=(PI/2-Angolo_mola_t)/2</t>
  </si>
  <si>
    <t>64110    Tz_1_a=Z_wbwt+(Rmedio_t*TAN(Alfam_t))              !</t>
  </si>
  <si>
    <t>64130    Tx_1_a=Tx_1                          !</t>
  </si>
  <si>
    <t>64160                   Or_z_t=Tz_1_a              !</t>
  </si>
  <si>
    <t>64180                   Or_x_t=Tx_1-Rmedio_t              !</t>
  </si>
  <si>
    <t>64210   Frt_z_l=Tz_1_a-(Rmedio_t*COS(Angolo_mola_t))              !</t>
  </si>
  <si>
    <t>64230   Frt_x_l=Tx_1-(Rmedio_t*(1-SIN(Angolo_mola_t)))              !</t>
  </si>
  <si>
    <t>64260                ELSE</t>
  </si>
  <si>
    <t>64270                Stampa_dati_w=0</t>
  </si>
  <si>
    <t>64280                END IF</t>
  </si>
  <si>
    <t>64290                END IF</t>
  </si>
  <si>
    <t>64340                OFF KEY</t>
  </si>
  <si>
    <t>64350                OUTPUT 2;Clear$;</t>
  </si>
  <si>
    <t>64360                DISP "Premere la SOFTKEY desiderata"</t>
  </si>
  <si>
    <t>64370                ON KEY 1 LABEL "STAMPA VIDEO" GOTO Video_s</t>
  </si>
  <si>
    <t>64380                ON KEY 2 LABEL "CNC SIEMENS" GOTO Cnc_siem</t>
  </si>
  <si>
    <t>64390                ON KEY 4 LABEL "STAMPA PLOTTER" GOTO P_stampa1</t>
  </si>
  <si>
    <t>64400                ON KEY 7 LABEL " USCITA" GOTO Titolo</t>
  </si>
  <si>
    <t>64440             BEEP</t>
  </si>
  <si>
    <t>64450             GOTO Siemens_cnc</t>
  </si>
  <si>
    <t>64480             Lorenz=1</t>
  </si>
  <si>
    <t>64490             GOTO Val_stampa</t>
  </si>
  <si>
    <t>64530          Lorenz=0              !  STAMPA  OFF</t>
  </si>
  <si>
    <t>64540          Permes_siemens=1</t>
  </si>
  <si>
    <t>64570                PRINT TAB(Centro-4);</t>
  </si>
  <si>
    <t>64580                PRINT CHR$(129);"        Coordinate MACCHINA * STUDER *        "</t>
  </si>
  <si>
    <t>64590                Lin=1</t>
  </si>
  <si>
    <t>64600                     PRINT CHR$(132)</t>
  </si>
  <si>
    <t>64610                     Lin=2</t>
  </si>
  <si>
    <t>64620                PRINT TABXY(14,Lin);"FIANCO ALTO"</t>
  </si>
  <si>
    <t>64630                PRINT TABXY(59,Lin);"FIANCO BASSO"</t>
  </si>
  <si>
    <t>64650                PRINT CHR$(132);</t>
  </si>
  <si>
    <t>64660                Lin=Lin+1</t>
  </si>
  <si>
    <t>64670          PRINT TABXY(13,Lin);"Z"</t>
  </si>
  <si>
    <t>64680          PRINT TABXY(25,Lin);"X"</t>
  </si>
  <si>
    <t>64690          PRINT TABXY(58,Lin);"Z"</t>
  </si>
  <si>
    <t>64700          PRINT TABXY(70,Lin);"X"</t>
  </si>
  <si>
    <t>64720          PRINT CHR$(128)</t>
  </si>
  <si>
    <t>64740      IF Stampa_dati_w=1 THEN</t>
  </si>
  <si>
    <t>64760               IF Elic THEN</t>
  </si>
  <si>
    <t>64770                          Hx_1_b=(ABS(Or_z_h))-(Rmedio_h*SIN(Ang_h))</t>
  </si>
  <si>
    <t>64780                          Hz_1_b=(ABS(Or_x_h))+(Rmedio_h*COS(Ang_h))</t>
  </si>
  <si>
    <t>64800                          Ang_hb=Ang_h*180/PI</t>
  </si>
  <si>
    <t>64820                  Lin=Lin+2</t>
  </si>
  <si>
    <t>64830                  Ps_h$="HA_1b"</t>
  </si>
  <si>
    <t>64840                  Ps_t$="Val. ANG."</t>
  </si>
  <si>
    <t>64850                  Z_h=-Hx_1_b</t>
  </si>
  <si>
    <t>64860                  X_h=-Hz_1_b</t>
  </si>
  <si>
    <t>64870                  Z_t=0</t>
  </si>
  <si>
    <t>64880                  X_t=Ang_hb</t>
  </si>
  <si>
    <t>64890                  GOSUB Stampa_stud</t>
  </si>
  <si>
    <t>64910               END IF</t>
  </si>
  <si>
    <t>64940                  Lin=Lin+1</t>
  </si>
  <si>
    <t>64950                  Ps_h$="Ha_1"</t>
  </si>
  <si>
    <t>64960                  Ps_t$="Ta_1"</t>
  </si>
  <si>
    <t>64970                  Z_h=-Hz_1_a</t>
  </si>
  <si>
    <t>64980                  X_h=-Hx_1_a</t>
  </si>
  <si>
    <t>64990                  Z_t=Tz_1_a</t>
  </si>
  <si>
    <t>65000                  X_t=Tx_1_a</t>
  </si>
  <si>
    <t>65010                  GOSUB Stampa_stud</t>
  </si>
  <si>
    <t>65030                                           Lin=Lin+1</t>
  </si>
  <si>
    <t>65040                                           Ps_h$="0m_1H"</t>
  </si>
  <si>
    <t>65050                                           Ps_t$="Om_1T"</t>
  </si>
  <si>
    <t>65060                                           Z_h=-Or_z_h</t>
  </si>
  <si>
    <t>65070                                           X_h=-Or_x_h</t>
  </si>
  <si>
    <t>65080                                           Z_t=Or_z_t</t>
  </si>
  <si>
    <t>65090                                           X_t=Or_x_t</t>
  </si>
  <si>
    <t>65100                                           GOSUB Stampa_stud</t>
  </si>
  <si>
    <t>65130                                           Lin=Lin+1</t>
  </si>
  <si>
    <t>65140                                           Ps_h$="Frl_H"</t>
  </si>
  <si>
    <t>65150                                           Ps_t$="Frl_T"</t>
  </si>
  <si>
    <t>65160                                           Z_h=-Frh_z_l</t>
  </si>
  <si>
    <t>65170                                           X_h=-Frh_x_l</t>
  </si>
  <si>
    <t>65180                                           Z_t=Frt_z_l</t>
  </si>
  <si>
    <t>65190                                           X_t=Frt_x_l</t>
  </si>
  <si>
    <t>65200                                           GOSUB Stampa_stud</t>
  </si>
  <si>
    <t>65240                       PRINT CHR$(132);</t>
  </si>
  <si>
    <t>65250                       PRINT TABXY(1,14),"RAGGIO medio=";</t>
  </si>
  <si>
    <t>65260                       PRINT USING "DD.DDD";Rmedio_h</t>
  </si>
  <si>
    <t>65270                       PRINT TABXY(45,14),"RAGGIO medio=";</t>
  </si>
  <si>
    <t>65280                       PRINT USING "DD.DDD";Rmedio_t</t>
  </si>
  <si>
    <t>65290                       PRINT CHR$(128)</t>
  </si>
  <si>
    <t>65310                       ELSE</t>
  </si>
  <si>
    <t>65340          IF Elic THEN</t>
  </si>
  <si>
    <t>65350                     Y_ahb=(ABS(Oz_1h))-(Ra_1h*SIN(Ang_h))</t>
  </si>
  <si>
    <t>65360                     X_ahb=(ABS(Ox_1h))+(Ra_1h*COS(Ang_h))</t>
  </si>
  <si>
    <t>65380                     Ang_hb=Ang_h*180/PI</t>
  </si>
  <si>
    <t>65390          Lin=Lin+2</t>
  </si>
  <si>
    <t>65400          Ps_h$="H_1B"</t>
  </si>
  <si>
    <t>65410          Ps_t$="VaL. ANG."</t>
  </si>
  <si>
    <t>65420          Z_h=Y_ahb</t>
  </si>
  <si>
    <t>65430          X_h=X_ahb</t>
  </si>
  <si>
    <t>65440          Z_t$="===GRAD===&gt;&gt;&gt;&gt;"</t>
  </si>
  <si>
    <t>65450          X_t=Ang_hb</t>
  </si>
  <si>
    <t>65470          PRINT TABXY(1,Lin);Ps_h$</t>
  </si>
  <si>
    <t>65480          PRINT TABXY(10,Lin);</t>
  </si>
  <si>
    <t>65490          PRINT USING Cifr;Z_h</t>
  </si>
  <si>
    <t>65500          PRINT TABXY(22,Lin);</t>
  </si>
  <si>
    <t>65510          PRINT USING Cifr;X_h</t>
  </si>
  <si>
    <t>65520          PRINT TABXY(45,Lin);Ps_t$</t>
  </si>
  <si>
    <t>65530          PRINT TABXY(55,Lin);Z_t$</t>
  </si>
  <si>
    <t>65540          PRINT TABXY(67,Lin);</t>
  </si>
  <si>
    <t>65550          PRINT USING Cifr;X_t</t>
  </si>
  <si>
    <t>65570          END IF</t>
  </si>
  <si>
    <t>65590          Lin=Lin+1</t>
  </si>
  <si>
    <t>65600          Ps_h$="H_1"</t>
  </si>
  <si>
    <t>65610          Ps_t$="T_1"</t>
  </si>
  <si>
    <t>65620          Z_h=Hz_1              !X_ah</t>
  </si>
  <si>
    <t>65630          X_h=Y_ah</t>
  </si>
  <si>
    <t>65640          Z_t=Tz_1              !X_at</t>
  </si>
  <si>
    <t>65650          X_t=Y_at</t>
  </si>
  <si>
    <t>65660       GOSUB Stampa_stud</t>
  </si>
  <si>
    <t>65690      IF Ra0 THEN</t>
  </si>
  <si>
    <t>65720          Lin=Lin+1</t>
  </si>
  <si>
    <t>65730          Ps_h$="O_1H"</t>
  </si>
  <si>
    <t>65740          Ps_t$="O_1T"</t>
  </si>
  <si>
    <t>65750          Z_h=-Oz_1h</t>
  </si>
  <si>
    <t>65760          X_h=-Ox_1h</t>
  </si>
  <si>
    <t>65770          Z_t=Oz_1t</t>
  </si>
  <si>
    <t>65780          X_t=Ox_1t</t>
  </si>
  <si>
    <t>65790          GOSUB Stampa_stud</t>
  </si>
  <si>
    <t>65810          Lin=Lin+1</t>
  </si>
  <si>
    <t>65820          Ps_h$="RH_S"</t>
  </si>
  <si>
    <t>65830          Ps_t$="RT_S"</t>
  </si>
  <si>
    <t>65840          Z_h=-Rhz_6</t>
  </si>
  <si>
    <t>65850          X_h=-Rhx_6</t>
  </si>
  <si>
    <t>65860          Z_t=Rtz_6</t>
  </si>
  <si>
    <t>65870          X_t=Rtx_6</t>
  </si>
  <si>
    <t>65880          GOSUB Stampa_stud</t>
  </si>
  <si>
    <t>65910          Lin=Lin+1</t>
  </si>
  <si>
    <t>65920          Ps_h$="O_2H"</t>
  </si>
  <si>
    <t>65930          Ps_t$="O_2T"</t>
  </si>
  <si>
    <t>65940          Z_h=-Oz_2h</t>
  </si>
  <si>
    <t>65950          X_h=-Ox_2h</t>
  </si>
  <si>
    <t>65960          Z_t=Oz_2t</t>
  </si>
  <si>
    <t>65970          X_t=Ox_2t</t>
  </si>
  <si>
    <t>65980          GOSUB Stampa_stud</t>
  </si>
  <si>
    <t>66010          Lin=Lin+1</t>
  </si>
  <si>
    <t>66030          Ps_h$="Fr_H"</t>
  </si>
  <si>
    <t>66040          Ps_t$="Fr_T"</t>
  </si>
  <si>
    <t>66050          Z_h=X_nah</t>
  </si>
  <si>
    <t>66060          X_h=Y_nah</t>
  </si>
  <si>
    <t>66070          Z_t=X_nat</t>
  </si>
  <si>
    <t>66080          X_t=Y_nat</t>
  </si>
  <si>
    <t>66090          GOSUB Stampa_stud</t>
  </si>
  <si>
    <t>66120          PRINT CHR$(132);</t>
  </si>
  <si>
    <t>66130          PRINT TABXY(1,14),"RAGGI fianco FH"</t>
  </si>
  <si>
    <t>66140          PRINT CHR$(128)</t>
  </si>
  <si>
    <t>66150          PRINT TABXY(1,15),"R_1H=";</t>
  </si>
  <si>
    <t>66160          PRINT USING "DD.DDD";Ra_1h</t>
  </si>
  <si>
    <t>66170          PRINT TABXY(1,16),"R_2H=";</t>
  </si>
  <si>
    <t>66180          PRINT USING "DD.DDD";Ra_2h</t>
  </si>
  <si>
    <t>66200          PRINT CHR$(132);</t>
  </si>
  <si>
    <t>66210          PRINT TABXY(42,14),"RAGGI fianco FT"</t>
  </si>
  <si>
    <t>66220          PRINT CHR$(128)</t>
  </si>
  <si>
    <t>66230          PRINT TABXY(42,15),"R_1T=";</t>
  </si>
  <si>
    <t>66240          PRINT USING "DD.DDD";Ra_1t</t>
  </si>
  <si>
    <t>66250          PRINT TABXY(42,16),"R_2T=";</t>
  </si>
  <si>
    <t>66260          PRINT USING "DD.DDD";Ra_2t</t>
  </si>
  <si>
    <t>66280          END IF</t>
  </si>
  <si>
    <t>66300          END IF</t>
  </si>
  <si>
    <t>66320  IF H_pzepm_t THEN</t>
  </si>
  <si>
    <t>66330                  Lin=Lin+1</t>
  </si>
  <si>
    <t>66340                  Ps_h$="FP_H"</t>
  </si>
  <si>
    <t>66350                  Ps_t$="FP_T"</t>
  </si>
  <si>
    <t>66360                  Z_h=X_npzh</t>
  </si>
  <si>
    <t>66370                  X_h=Y_npzh</t>
  </si>
  <si>
    <t>66380                  Z_t=X_npzt</t>
  </si>
  <si>
    <t>66390                  X_t=Y_npzt</t>
  </si>
  <si>
    <t>66400                  GOSUB Stampa_stud</t>
  </si>
  <si>
    <t>66420   END IF</t>
  </si>
  <si>
    <t>66440    IF H_pzepm_t THEN</t>
  </si>
  <si>
    <t>66460                    Apwhpzepm_h=ABS(ATN((X_nah-X_npzh)/(Y_nah-Y_npzh)))</t>
  </si>
  <si>
    <t>66470                    Apwhpzepm_t=ABS(ATN((X_nat-X_npzt)/(Y_nat-Y_npzt)))</t>
  </si>
  <si>
    <t>66490                    Ang=Apwhpzepm_h</t>
  </si>
  <si>
    <t>66500                    CALL Rad_gms(Ang,G,Mi,S)</t>
  </si>
  <si>
    <t>66510                    Apwhpzepm_h$=VAL$(G)&amp;"."&amp;VAL$(Mi)&amp;"'"</t>
  </si>
  <si>
    <t>66530                    Ang=Apwhpzepm_t</t>
  </si>
  <si>
    <t>66540                    CALL Rad_gms(Ang,G,Mi,S)</t>
  </si>
  <si>
    <t>66550                    Apwhpzepm_t$=VAL$(G)&amp;"."&amp;VAL$(Mi)&amp;"'"</t>
  </si>
  <si>
    <t>66570                  PRINT CHR$(132);</t>
  </si>
  <si>
    <t>66580                  PRINT TABXY(23,14)," ANG.Protub. H.F."</t>
  </si>
  <si>
    <t>66590                  PRINT CHR$(128)</t>
  </si>
  <si>
    <t>66600                  PRINT TABXY(27,15),Apwhpzepm_h$</t>
  </si>
  <si>
    <t>66620                  PRINT CHR$(132);</t>
  </si>
  <si>
    <t>66630                  PRINT TABXY(66,14),"ANG.Protub. T.F."</t>
  </si>
  <si>
    <t>66640                  PRINT CHR$(128)</t>
  </si>
  <si>
    <t>66650                  PRINT TABXY(71,15),Apwhpzepm_t$</t>
  </si>
  <si>
    <t>66670       END IF</t>
  </si>
  <si>
    <t>66690        IF Dk1 THEN               !     STAMPA DATI SEMITOPPING</t>
  </si>
  <si>
    <t>66700                   Ang=Apkwmnmt</t>
  </si>
  <si>
    <t>66710                   CALL Rad_gms(Ang,G,Mi,S)</t>
  </si>
  <si>
    <t>66720                   Apkwmnmt$=VAL$(G)&amp;"."&amp;VAL$(Mi)&amp;"'"</t>
  </si>
  <si>
    <t>66730                   Ang=Apkwmnmh</t>
  </si>
  <si>
    <t>66740                   CALL Rad_gms(Ang,G,Mi,S)</t>
  </si>
  <si>
    <t>66750                   Apkwmnmh$=VAL$(G)&amp;"."&amp;VAL$(Mi)&amp;"'"</t>
  </si>
  <si>
    <t>66770  DISP "   AP_BISELLO F.H.=";Apkwmnmh$;"                         ";"AP_BISELLO  F.T.=";Apkwmnmt$</t>
  </si>
  <si>
    <t>66790        END IF</t>
  </si>
  <si>
    <t>66840              Ang=Apwmnmt</t>
  </si>
  <si>
    <t>66850              CALL Rad_gms(Ang,G,Mi,S)</t>
  </si>
  <si>
    <t>66860              Apwmnmt$=VAL$(G)&amp;"°"&amp;VAL$(Mi)&amp;"'"</t>
  </si>
  <si>
    <t>66870              Ang=Apwmnmh</t>
  </si>
  <si>
    <t>66880              CALL Rad_gms(Ang,G,Mi,S)</t>
  </si>
  <si>
    <t>66890              Apwmnmh$=VAL$(G)&amp;"°"&amp;VAL$(Mi)&amp;"'"</t>
  </si>
  <si>
    <t>66910                  PRINT CHR$(132);</t>
  </si>
  <si>
    <t>66920                  PRINT TABXY(18,16),"ANG.MOLA H.F."</t>
  </si>
  <si>
    <t>66930                  PRINT CHR$(128)</t>
  </si>
  <si>
    <t>66940                  PRINT TABXY(22,17),Apwmnmh$</t>
  </si>
  <si>
    <t>66960                  PRINT CHR$(132);</t>
  </si>
  <si>
    <t>66970                  PRINT TABXY(61,16),"ANG.MOLA T.F."</t>
  </si>
  <si>
    <t>66980                  PRINT CHR$(128)</t>
  </si>
  <si>
    <t>66990                  PRINT TABXY(65,17),Apwmnmt$</t>
  </si>
  <si>
    <t>67010                  PRINT CHR$(128)</t>
  </si>
  <si>
    <t>67030          Lin=Lin+1</t>
  </si>
  <si>
    <t>67040          Ps_h$="H_2"</t>
  </si>
  <si>
    <t>67050          Ps_t$="T_2"</t>
  </si>
  <si>
    <t>67060          Z_h=X_sh</t>
  </si>
  <si>
    <t>67070          X_h=Y_sh</t>
  </si>
  <si>
    <t>67080          Z_t=X_st</t>
  </si>
  <si>
    <t>67090          X_t=Y_st</t>
  </si>
  <si>
    <t>67100          GOSUB Stampa_stud</t>
  </si>
  <si>
    <t>67120   IF NOT Dk1 THEN</t>
  </si>
  <si>
    <t>67130                 Lin=Lin+1</t>
  </si>
  <si>
    <t>67140                 Ps_h$="H_3"</t>
  </si>
  <si>
    <t>67150                 Ps_t$="T_3"</t>
  </si>
  <si>
    <t>67160                 Z_h=X_hh</t>
  </si>
  <si>
    <t>67170                 X_h=Y_hh</t>
  </si>
  <si>
    <t>67180                 Z_t=X_tt</t>
  </si>
  <si>
    <t>67190                 X_t=Y_tt</t>
  </si>
  <si>
    <t>67200                 GOSUB Stampa_stud</t>
  </si>
  <si>
    <t>67210    END IF</t>
  </si>
  <si>
    <t>67230       IF Dk1 THEN</t>
  </si>
  <si>
    <t>67240                 Lin=Lin+1</t>
  </si>
  <si>
    <t>67250                 Ps_h$="Cusp"</t>
  </si>
  <si>
    <t>67260                 Ps_t$="Cusp"</t>
  </si>
  <si>
    <t>67270                 Z_h=X_ht</t>
  </si>
  <si>
    <t>67280                 X_h=Y_ht</t>
  </si>
  <si>
    <t>67290                 Z_t=X_ht</t>
  </si>
  <si>
    <t>67300                 X_t=Y_ht</t>
  </si>
  <si>
    <t>67310                 GOSUB Stampa_stud</t>
  </si>
  <si>
    <t>67320       END IF</t>
  </si>
  <si>
    <t>67340                      IF Lorenz=1 THEN</t>
  </si>
  <si>
    <t>67360                                     OUTPUT 2;Clear$;</t>
  </si>
  <si>
    <t>67380                                     GOTO P_stampa</t>
  </si>
  <si>
    <t>67400                      END IF</t>
  </si>
  <si>
    <t>67410      ENTER 2;A$</t>
  </si>
  <si>
    <t>67440                                     GOTO Stampa_coord</t>
  </si>
  <si>
    <t>67470          PRINT TABXY(1,Lin);Ps_h$</t>
  </si>
  <si>
    <t>67480          PRINT TABXY(10,Lin);</t>
  </si>
  <si>
    <t>67490          PRINT USING Cifr;Z_h</t>
  </si>
  <si>
    <t>67500          PRINT TABXY(22,Lin);</t>
  </si>
  <si>
    <t>67510          PRINT USING Cifr;X_h</t>
  </si>
  <si>
    <t>67520          PRINT TABXY(45,Lin);Ps_t$</t>
  </si>
  <si>
    <t>67530          PRINT TABXY(55,Lin);</t>
  </si>
  <si>
    <t>67540          PRINT USING Cifr;Z_t</t>
  </si>
  <si>
    <t>67550          PRINT TABXY(67,Lin);</t>
  </si>
  <si>
    <t>67560          PRINT USING Cifr;X_t</t>
  </si>
  <si>
    <t>67570  RETURN</t>
  </si>
  <si>
    <t>67620          ENTER 2;A$</t>
  </si>
  <si>
    <t>67630          OUTPUT 2;Clear$;</t>
  </si>
  <si>
    <t>67640          GOTO Titolo</t>
  </si>
  <si>
    <t>67670               OFF KEY</t>
  </si>
  <si>
    <t>67680               OUTPUT 2;Clear$;</t>
  </si>
  <si>
    <t>67690              Topping$=""</t>
  </si>
  <si>
    <t>67700              T$=""</t>
  </si>
  <si>
    <t>67720              LINPUT "UTENSILE TOPPING ?? [Risp. SI/NO continue]",Topping$</t>
  </si>
  <si>
    <t>67750    IF NOT LEN(N_sag$) THEN</t>
  </si>
  <si>
    <t>67760             PRINT TABXY(Centro-2,15);" NUMERO di SAGOMA non ESISTENTE !"</t>
  </si>
  <si>
    <t>67770                          LINPUT "Digitare il Numero di SAGOMA ?",N_sag$</t>
  </si>
  <si>
    <t>67780           OUTPUT 2;Clear$;</t>
  </si>
  <si>
    <t>67790    END IF</t>
  </si>
  <si>
    <t>67800              PLOTTER IS "c:\Programmi\HTBwin83\NEWPROG\dxfCNC","HPGL;HPGL2",0,210,0,297</t>
  </si>
  <si>
    <t>67810              SHOW 0,210,0,297                                   !SHOW -8,289,-12,408!SHOW 0,401.6,0,274.5</t>
  </si>
  <si>
    <t xml:space="preserve">67930              !           </t>
  </si>
  <si>
    <t>67960               ENTER 2;A$</t>
  </si>
  <si>
    <t>68000               PRINT TABXY(Centro-20,10);</t>
  </si>
  <si>
    <t>68010               PRINT CHR$(129);</t>
  </si>
  <si>
    <t>68020 PRINT "  Trasferisco i DATI su carta della SAGOMA N.",N_sag$,"      "</t>
  </si>
  <si>
    <t>68030               PRINT CHR$(128)</t>
  </si>
  <si>
    <t>68050               DISP "STAMPA dell'ESECUTIVO in CORSO su CAD "</t>
  </si>
  <si>
    <t>68080               PEN 3</t>
  </si>
  <si>
    <t>68100               CSIZE 5,.5</t>
  </si>
  <si>
    <t>68120               LORG 4</t>
  </si>
  <si>
    <t>68130               LDIR 0              ! STAMPA TABELLINA in ALTO</t>
  </si>
  <si>
    <t>68140               MOVE 181,273</t>
  </si>
  <si>
    <t>68150               LABEL N_sag$</t>
  </si>
  <si>
    <t>68170               CSIZE 3,.5</t>
  </si>
  <si>
    <t>68180               MOVE 178,262</t>
  </si>
  <si>
    <t>68190               LABEL Cliente$</t>
  </si>
  <si>
    <t>68210               CSIZE 3.5,.4</t>
  </si>
  <si>
    <t>68220               LORG 4</t>
  </si>
  <si>
    <t>68230               MOVE 15,278</t>
  </si>
  <si>
    <t>68240               LABEL Mn$</t>
  </si>
  <si>
    <t>68260               MOVE 40,278</t>
  </si>
  <si>
    <t>68270               LABEL Z0</t>
  </si>
  <si>
    <t>68290               Ang=Apn</t>
  </si>
  <si>
    <t>68300               CALL Rad_gms(Ang,G,Mi,S)</t>
  </si>
  <si>
    <t>68310               Apn1$=VAL$(G)&amp;"°"&amp;VAL$(Mi)&amp;"'"</t>
  </si>
  <si>
    <t>68320               MOVE 61,278</t>
  </si>
  <si>
    <t>68330               LABEL Apn1$</t>
  </si>
  <si>
    <t>68350               MOVE 104,278</t>
  </si>
  <si>
    <t>68360               LABEL Dis$</t>
  </si>
  <si>
    <t>68410                            IF Dk1 THEN</t>
  </si>
  <si>
    <t>68420                                      Semi$="Semitopping "</t>
  </si>
  <si>
    <t>68430                            END IF</t>
  </si>
  <si>
    <t>68450                            IF LEN(Topping$) THEN</t>
  </si>
  <si>
    <t>68460                                                Top$="- Topping "</t>
  </si>
  <si>
    <t>68470                            END IF</t>
  </si>
  <si>
    <t>68490                            IF Ra0 THEN</t>
  </si>
  <si>
    <t>68500                                      Rag$="- Raggio "</t>
  </si>
  <si>
    <t>68510                            END IF</t>
  </si>
  <si>
    <t>68530                            IF H_pzepm_t THEN</t>
  </si>
  <si>
    <t>68540                                            Prot$="- Protuberanza "</t>
  </si>
  <si>
    <t>68550                            END IF</t>
  </si>
  <si>
    <t>68570                            MOVE 80,260</t>
  </si>
  <si>
    <t>68580                            LABEL Semi$;Top$;Rag$;Prot$</t>
  </si>
  <si>
    <t>68600               CSIZE 5.5,.6</t>
  </si>
  <si>
    <t>68610               FOR I=-1 TO 1 STEP .80</t>
  </si>
  <si>
    <t>68620               MOVE 40+I,246+I</t>
  </si>
  <si>
    <t>68630               LABEL "SCALA x 5"</t>
  </si>
  <si>
    <t>68640               NEXT I</t>
  </si>
  <si>
    <t>68660               FOR I=-.5 TO .5 STEP .65</t>
  </si>
  <si>
    <t>68670               MOVE 40+I,244-I</t>
  </si>
  <si>
    <t>68680               LABEL "_________"</t>
  </si>
  <si>
    <t>68690               NEXT I</t>
  </si>
  <si>
    <t>68710               CSIZE 3,.60</t>
  </si>
  <si>
    <t>68720 Cifr1: IMAGE 3D.2D</t>
  </si>
  <si>
    <t>68740                            IF Elic THEN</t>
  </si>
  <si>
    <t>68750                                       IF Ra0 THEN</t>
  </si>
  <si>
    <t>68760                                                 CSIZE 3,.60</t>
  </si>
  <si>
    <t>68770                                                 LDIR PI/2</t>
  </si>
  <si>
    <t>68780                                                 MOVE 9,200</t>
  </si>
  <si>
    <t>68790                                                 LABEL "3 Gr."</t>
  </si>
  <si>
    <t>68800                                       END IF</t>
  </si>
  <si>
    <t>68810                           END IF</t>
  </si>
  <si>
    <t>68830               IF Ra0 THEN</t>
  </si>
  <si>
    <t>68850                                       CSIZE 3,.60</t>
  </si>
  <si>
    <t>68860                                       LDIR 0</t>
  </si>
  <si>
    <t>68870                                   Mr_s=Dwm0/Z0</t>
  </si>
  <si>
    <t>68880                                   Passo=Mr_s*PI</t>
  </si>
  <si>
    <t>68890                 IF Elic THEN</t>
  </si>
  <si>
    <t>68900                            Passo=Passo*COS(Aelwm0_eff)</t>
  </si>
  <si>
    <t>68910                 END IF</t>
  </si>
  <si>
    <t>68920                                   MOVE 95,232</t>
  </si>
  <si>
    <t>68930                                   LABEL USING Cifr1;Passo*5</t>
  </si>
  <si>
    <t>68960                         IF Stampa_dati_w=1 THEN</t>
  </si>
  <si>
    <t>68970                                               CSIZE 3,.60</t>
  </si>
  <si>
    <t>68980                                               MOVE 26,171</t>
  </si>
  <si>
    <t>68990                                               LABEL USING Cifr1;ABS(Or_z_h*5)</t>
  </si>
  <si>
    <t>69010                                               LDIR 45*PI/180</t>
  </si>
  <si>
    <t>69020                                               MOVE 20,151</t>
  </si>
  <si>
    <t>69030                                               LABEL USING Cifr1;Rmedio_h*5</t>
  </si>
  <si>
    <t>69050                                               LDIR 90*PI/180</t>
  </si>
  <si>
    <t>69060                                               MOVE 40,150</t>
  </si>
  <si>
    <t>69070                                               LABEL USING Cifr1;Or_x_h*5</t>
  </si>
  <si>
    <t>69080                                  ELSE</t>
  </si>
  <si>
    <t>69100                                               LDIR 0</t>
  </si>
  <si>
    <t>69110                                               MOVE 24,171</t>
  </si>
  <si>
    <t>69120                                               LABEL USING Cifr1;ABS(Oz_1h*5)</t>
  </si>
  <si>
    <t>69140                                               LDIR 45*PI/180</t>
  </si>
  <si>
    <t>69150                                               MOVE 20,151</t>
  </si>
  <si>
    <t>69160                                               LABEL USING Cifr1;Ra_1h*5</t>
  </si>
  <si>
    <t>69180                                               LDIR 90*PI/180</t>
  </si>
  <si>
    <t>69190                                               MOVE 40,150</t>
  </si>
  <si>
    <t>69200                                               LABEL USING Cifr1;Ox_1h*5</t>
  </si>
  <si>
    <t>69230                                          LDIR 0</t>
  </si>
  <si>
    <t>69240                                          MOVE 24,164</t>
  </si>
  <si>
    <t>69250                                          LABEL USING Cifr1;ABS(Oz_2h*5)</t>
  </si>
  <si>
    <t>69270                                          LDIR 45*PI/180</t>
  </si>
  <si>
    <t>69280                                          MOVE 24,144</t>
  </si>
  <si>
    <t>69290                                          LABEL USING Cifr1;Ra_2h*5</t>
  </si>
  <si>
    <t>69310                                          LDIR 90*PI/180</t>
  </si>
  <si>
    <t>69320                                          MOVE 47,150</t>
  </si>
  <si>
    <t>69330                                          LABEL USING Cifr1;Ox_2h*5</t>
  </si>
  <si>
    <t>69350                                  END IF</t>
  </si>
  <si>
    <t>69380                                               IF Elic THEN</t>
  </si>
  <si>
    <t>69400                         IF Stampa_dati_w=1 THEN</t>
  </si>
  <si>
    <t>69410                         LDIR 0</t>
  </si>
  <si>
    <t>69420                                               CSIZE 3,.40</t>
  </si>
  <si>
    <t>69430                                               MOVE 175,175</t>
  </si>
  <si>
    <t>69440                                               LABEL USING Cifr1;Or_z_t*5</t>
  </si>
  <si>
    <t>69460                                               LDIR 315*PI/180</t>
  </si>
  <si>
    <t>69470                                               MOVE 181,155</t>
  </si>
  <si>
    <t>69480                                               LABEL USING Cifr1;Rmedio_t*5</t>
  </si>
  <si>
    <t>69500                                               LDIR 90*PI/180</t>
  </si>
  <si>
    <t>69510                                               MOVE 160,155</t>
  </si>
  <si>
    <t>69520                                               LABEL USING Cifr1;Or_x_t*5</t>
  </si>
  <si>
    <t>69530                                               LDIR 0</t>
  </si>
  <si>
    <t>69540                                  ELSE</t>
  </si>
  <si>
    <t>69560                                               LDIR 0</t>
  </si>
  <si>
    <t>69570                                               MOVE 175,175</t>
  </si>
  <si>
    <t>69580                                               LABEL USING Cifr1;Oz_1t*5</t>
  </si>
  <si>
    <t>69600                                               LDIR 315*PI/180</t>
  </si>
  <si>
    <t>69610                                               MOVE 181,155</t>
  </si>
  <si>
    <t>69620                                               LABEL USING Cifr1;Ra_1t*5</t>
  </si>
  <si>
    <t>69640                                               LDIR 90*PI/180</t>
  </si>
  <si>
    <t>69650                                               MOVE 160,155</t>
  </si>
  <si>
    <t>69660                                               LABEL USING Cifr1;Ox_1t*5</t>
  </si>
  <si>
    <t>69670                                               LDIR 0</t>
  </si>
  <si>
    <t>69700                                     LDIR 0</t>
  </si>
  <si>
    <t>69710                                     MOVE 175,168</t>
  </si>
  <si>
    <t>69720                                     LABEL USING Cifr1;Oz_2t*5</t>
  </si>
  <si>
    <t>69740                                     LDIR 315*PI/180</t>
  </si>
  <si>
    <t>69750                                     MOVE 174,150</t>
  </si>
  <si>
    <t>69760                                     LABEL USING Cifr1;Ra_2t*5</t>
  </si>
  <si>
    <t>69780                                     LDIR 90*PI/180</t>
  </si>
  <si>
    <t>69790                                     MOVE 168,155</t>
  </si>
  <si>
    <t>69800                                     LABEL USING Cifr1;Ox_2t*5</t>
  </si>
  <si>
    <t>69810                                     LDIR 0</t>
  </si>
  <si>
    <t>69820                                END IF</t>
  </si>
  <si>
    <t>69830               END IF</t>
  </si>
  <si>
    <t>69840                                              END IF</t>
  </si>
  <si>
    <t>69860                                       IF H_pzepm_t THEN</t>
  </si>
  <si>
    <t>69870                                                       LDIR 0</t>
  </si>
  <si>
    <t>69880                                                       MOVE 65,206</t>
  </si>
  <si>
    <t>69890                                                       LABEL Apwhpzepm_h$</t>
  </si>
  <si>
    <t>69900                                      IF Elic THEN</t>
  </si>
  <si>
    <t>69910                                                 LDIR 0</t>
  </si>
  <si>
    <t>69920                                                 MOVE 132,206</t>
  </si>
  <si>
    <t>69930                                                 LABEL Apwhpzepm_t$</t>
  </si>
  <si>
    <t>69940                                       END IF</t>
  </si>
  <si>
    <t>69950                                                 END IF</t>
  </si>
  <si>
    <t>69970                           IF Dk1 THEN</t>
  </si>
  <si>
    <t>69980                                     LDIR 0</t>
  </si>
  <si>
    <t>69990                                     MOVE 35,88</t>
  </si>
  <si>
    <t>70000                                     LABEL Apkwmnmh$</t>
  </si>
  <si>
    <t>70010                           IF Elic THEN</t>
  </si>
  <si>
    <t>70020                                      LDIR 0</t>
  </si>
  <si>
    <t>70030                                      MOVE 148,88</t>
  </si>
  <si>
    <t>70040                                      LABEL Apkwmnmt$</t>
  </si>
  <si>
    <t>70050                            END IF</t>
  </si>
  <si>
    <t>70060                                     END IF</t>
  </si>
  <si>
    <t>70080                 IF Elic THEN               ! STAMPA ANG. MOLA</t>
  </si>
  <si>
    <t>70090                 LDIR 0</t>
  </si>
  <si>
    <t>70100                            MOVE 75,126</t>
  </si>
  <si>
    <t>70110                            LABEL Apwmnmh$</t>
  </si>
  <si>
    <t>70120                            MOVE 115,126</t>
  </si>
  <si>
    <t>70130                            LABEL Apwmnmt$</t>
  </si>
  <si>
    <t>70140                  ELSE</t>
  </si>
  <si>
    <t>70150                  LDIR 0</t>
  </si>
  <si>
    <t>70160                            MOVE 75,126</t>
  </si>
  <si>
    <t>70170                            LABEL Apwmnmh$</t>
  </si>
  <si>
    <t>70180                  END IF</t>
  </si>
  <si>
    <t>70220                                    LDIR 0</t>
  </si>
  <si>
    <t>70230                                    MOVE 52,62</t>
  </si>
  <si>
    <t>70240                                    LABEL USING Cifr1;ABS(X_sh*5)</t>
  </si>
  <si>
    <t>70260                                    LDIR 90*PI/180</t>
  </si>
  <si>
    <t>70270                                    MOVE 74,42</t>
  </si>
  <si>
    <t>70280                                    LABEL USING Cifr1;Y_sh*5</t>
  </si>
  <si>
    <t>70300                     IF Elic THEN</t>
  </si>
  <si>
    <t>70310                          LDIR 0</t>
  </si>
  <si>
    <t>70320                          MOVE 132,70</t>
  </si>
  <si>
    <t>70330                          LABEL USING Cifr1;ABS(X_st*5)</t>
  </si>
  <si>
    <t>70350                          LDIR 90*PI/180</t>
  </si>
  <si>
    <t>70360                          MOVE 114,30</t>
  </si>
  <si>
    <t>70370                          LABEL USING Cifr1;ABS(Y_st*5)</t>
  </si>
  <si>
    <t>70380                 END IF</t>
  </si>
  <si>
    <t>70410              IF Stampa_dati_w=1 THEN</t>
  </si>
  <si>
    <t>70420                                    Add_h=Hx_1_a</t>
  </si>
  <si>
    <t>70430                          ELSE</t>
  </si>
  <si>
    <t>70440                                    Add_h=Y_ah</t>
  </si>
  <si>
    <t>70450                          END IF</t>
  </si>
  <si>
    <t>70470                          IF Dk1 THEN</t>
  </si>
  <si>
    <t>70480                                    Ded_h=Y_ht</t>
  </si>
  <si>
    <t>70490                          ELSE</t>
  </si>
  <si>
    <t>70500                                    Ded_h=Y_hh</t>
  </si>
  <si>
    <t>70520                          END IF</t>
  </si>
  <si>
    <t>70540           L_totale=ABS(Add_h)+ABS(Ded_h)</t>
  </si>
  <si>
    <t>70560                          LDIR 90*PI/180</t>
  </si>
  <si>
    <t>70570                          MOVE 192,90</t>
  </si>
  <si>
    <t>70580                          LABEL USING Cifr1;L_totale*5</t>
  </si>
  <si>
    <t>70600              IF LEN(Topping$) THEN</t>
  </si>
  <si>
    <t>70630                                  D_topp=Da0-(Da1-Df1)</t>
  </si>
  <si>
    <t>70650                                  L_topp=(((Dwm0-D_topp)/2)*COS(Teta))*5</t>
  </si>
  <si>
    <t>70670                        LDIR 90*PI/180</t>
  </si>
  <si>
    <t>70680                        MOVE 179,75</t>
  </si>
  <si>
    <t>70690                        LABEL "Topping "</t>
  </si>
  <si>
    <t>70700                        MOVE 179,96</t>
  </si>
  <si>
    <t>70710                        LABEL USING Cifr1;L_topp</t>
  </si>
  <si>
    <t>70720              END IF</t>
  </si>
  <si>
    <t>70730       BEEP 3000,.5</t>
  </si>
  <si>
    <t>70740       PEN 0</t>
  </si>
  <si>
    <t>70780       GOTO Titolo</t>
  </si>
  <si>
    <t>70870 T$=""</t>
  </si>
  <si>
    <t>70880     LINPUT " L'UTENSILE E' TOPPING ?   [NO-CONTINUE]",Topping$</t>
  </si>
  <si>
    <t>70890             IF NOT Elic THEN</t>
  </si>
  <si>
    <t>70900                            IF LEN(Topping$) THEN</t>
  </si>
  <si>
    <t>70910                                                T$="GG"</t>
  </si>
  <si>
    <t>70920                                                GOTO Chtop</t>
  </si>
  <si>
    <t>70930                            END IF</t>
  </si>
  <si>
    <t>70950             END IF</t>
  </si>
  <si>
    <t>70970  IF LEN(T$) THEN</t>
  </si>
  <si>
    <t>71000                H_topp=1</t>
  </si>
  <si>
    <t>71010                D_topp=Da0-(Da1-Df1)</t>
  </si>
  <si>
    <t>71020                L_topp=(((Dwm0-D_topp)/2)*COS(Teta))</t>
  </si>
  <si>
    <t>71040  END IF</t>
  </si>
  <si>
    <t>71050  IF Prtz THEN</t>
  </si>
  <si>
    <t>71060             IF Permes_siemens=1 THEN</t>
  </si>
  <si>
    <t>71070                        DISP "ATTENZIONE! il PRG ENTRERA' in AUTOMATICO nelsottoMENU' STUDER. Entrare in STAMPA VIDEO e ritornare nuovamente qui' !  "</t>
  </si>
  <si>
    <t>71080                        BEEP</t>
  </si>
  <si>
    <t>71090                        WAIT 10</t>
  </si>
  <si>
    <t>71100                        GOTO Stampa_coord</t>
  </si>
  <si>
    <t>71110                        Permes_siemens=0</t>
  </si>
  <si>
    <t>71120             END IF</t>
  </si>
  <si>
    <t>71130             END IF</t>
  </si>
  <si>
    <t>71170  T$=""</t>
  </si>
  <si>
    <t>71180  Tr$=""</t>
  </si>
  <si>
    <t>71190  H_topp=0</t>
  </si>
  <si>
    <t>71200  Diff=0</t>
  </si>
  <si>
    <t>71220  PRINT</t>
  </si>
  <si>
    <t>71230  PRINT</t>
  </si>
  <si>
    <t>71240  PRINT " ******    PROGRAMMA    DELLA1    ******"</t>
  </si>
  <si>
    <t>71260  IF NOT LEN(N_sag$) THEN</t>
  </si>
  <si>
    <t>71270                        LINPUT "DIGITARE il N. di SAGOMA",N_sag$</t>
  </si>
  <si>
    <t>71280  END IF</t>
  </si>
  <si>
    <t>71290  IF NOT Elic THEN</t>
  </si>
  <si>
    <t>71300                 IF LEN(Topping$) THEN</t>
  </si>
  <si>
    <t>71310                                     T$="DDD"</t>
  </si>
  <si>
    <t>71320                                     GOTO Chtop1</t>
  </si>
  <si>
    <t>71330                 END IF</t>
  </si>
  <si>
    <t xml:space="preserve">71340                               !                                             </t>
  </si>
  <si>
    <t>71350              LINPUT " L'UTENSILE E' TOPPING ?   [NO-CONTINUE]",T$</t>
  </si>
  <si>
    <t>71370  IF LEN(T$) THEN</t>
  </si>
  <si>
    <t>71380                H_topp=1</t>
  </si>
  <si>
    <t>71390                D_topp=Da0-(Da1-Df1)</t>
  </si>
  <si>
    <t>71400                L_topp=(((Dwm0-D_topp)/2)*COS(Teta))</t>
  </si>
  <si>
    <t>71420  LINPUT "VUOI ESEGUIRE il RAGGIO sulla TESTA della MOLA ?  [NO-CONTINUE]",Tr$</t>
  </si>
  <si>
    <t>71430      IF LEN(Tr$) THEN</t>
  </si>
  <si>
    <t>71440                     INPUT "DIGITARE il VALORE del RAGGIO 3",Ra_3h</t>
  </si>
  <si>
    <t>71460                     H3=(L_topp-(Ra_3h-Ra_3h*SIN(Apwmnmh)))+.1</t>
  </si>
  <si>
    <t>71470                     Ra_4h=.30</t>
  </si>
  <si>
    <t>71480      END IF</t>
  </si>
  <si>
    <t>71500  END IF</t>
  </si>
  <si>
    <t>71510  END IF</t>
  </si>
  <si>
    <t>71520       DISP " VERIFICARE CHE LA STAMPANTE SIA IN LINEA --Premere CONTINUE"</t>
  </si>
  <si>
    <t>71550       WAIT 2</t>
  </si>
  <si>
    <t>71560       CONTROL 10,102;1              ! OUTPUT 26;A$ !PRINTER IS 10 !CONTROL \\Pcdos8\MINOLTA!10,102;1 !PRINTER IS PRT"\\Pcdos8\MINOLTA"</t>
  </si>
  <si>
    <t>71570       CONFIGURE DUMP TO "PCL"                ! PRINTER IS PRT</t>
  </si>
  <si>
    <t>71580       PRINTER IS PRT</t>
  </si>
  <si>
    <t>71630       Hchange=0</t>
  </si>
  <si>
    <t>71640  GOTO 71770</t>
  </si>
  <si>
    <t>71680 BEEP</t>
  </si>
  <si>
    <t>71690 DISP "ATTENZIONE! SPOSTERO' in AUTOMATICO la LINEA di ROTOLAMENTO    OK !! "</t>
  </si>
  <si>
    <t>71700 WAIT 4</t>
  </si>
  <si>
    <t>71710 DISP " ..... PROCEDI PURE!"</t>
  </si>
  <si>
    <t>71720 BEEP</t>
  </si>
  <si>
    <t>71730 WAIT 1</t>
  </si>
  <si>
    <t>71740                   Hchange=(.40*Mt)</t>
  </si>
  <si>
    <t>71750 RETURN</t>
  </si>
  <si>
    <t>71810 Chaxis=0</t>
  </si>
  <si>
    <t>71830 IF Dk1 THEN</t>
  </si>
  <si>
    <t>71840           IF Y_st&gt;0 OR Y_st=0 THEN</t>
  </si>
  <si>
    <t>71850                                  GOSUB Msgbox</t>
  </si>
  <si>
    <t>71860                                  Chaxis=1</t>
  </si>
  <si>
    <t>71870           END IF</t>
  </si>
  <si>
    <t>71880 ELSE</t>
  </si>
  <si>
    <t>71890           IF Y_hh&gt;0 OR Y_hh=0 THEN</t>
  </si>
  <si>
    <t>71900                                  GOSUB Msgbox</t>
  </si>
  <si>
    <t>71910                                  Chaxis=1</t>
  </si>
  <si>
    <t>71920           END IF</t>
  </si>
  <si>
    <t>71930 END IF</t>
  </si>
  <si>
    <t>71950      Halb=Swmnm_h</t>
  </si>
  <si>
    <t>71960       IF Ra0 THEN</t>
  </si>
  <si>
    <t>71970                  Mr_s=Dwm0/Z0</t>
  </si>
  <si>
    <t>71980                  Passo=Mr_s*PI</t>
  </si>
  <si>
    <t>71990                  Smw=Passo/2</t>
  </si>
  <si>
    <t>72030                             H=ABS(Y_ah)</t>
  </si>
  <si>
    <t>72040                  IF (ABS(Y_nah)+(Ra_2h-Ra_2h*SIN(Apwmnmh)))&gt;=H THEN</t>
  </si>
  <si>
    <t>72070                  GOTO 72140</t>
  </si>
  <si>
    <t>72090                  ELSE</t>
  </si>
  <si>
    <t>72100                  Differenza=H-(ABS(Y_nah)+(Ra_2h-Ra_2h*SIN(Apwmnmh)))</t>
  </si>
  <si>
    <t>72110                  Diff=1</t>
  </si>
  <si>
    <t>72120                  N_ynah=ABS(Y_nah)+Differenza+.05</t>
  </si>
  <si>
    <t>72130                  END IF</t>
  </si>
  <si>
    <t>72150       IF Elic THEN</t>
  </si>
  <si>
    <t>72160                  Passo=Passo*COS(Aelwm0_eff)</t>
  </si>
  <si>
    <t>72170                  Smw=Passo/2</t>
  </si>
  <si>
    <t>72180       END IF</t>
  </si>
  <si>
    <t>72190       ELSE</t>
  </si>
  <si>
    <t>72200                  Smw=X_ah</t>
  </si>
  <si>
    <t>72210       END IF</t>
  </si>
  <si>
    <t>72240 PRINT "~~~~~~~~~~~~~~~~~~~~~~~~~~~~~~~~~~~~~~~~~~~~~~~~~~~~~~~~~~~~~~~~~~~~~~~~~~~~~~~"</t>
  </si>
  <si>
    <t>72250 PRINT " CLIENTE ",Cliente$,"  ## SAGOMA N.",N_sag$;"  ## DISEGNO",Dis$</t>
  </si>
  <si>
    <t>72260 PRINT " MODULO ";Mn$,"N. DENTI ";Z0,"ANG. PRESS ";Apn$,"ANG. ELICA ";Ael$</t>
  </si>
  <si>
    <t>72290 PRINT USING "K,3D.2D,K,K";" Diametro ROTOLAMENTO =  ";Dwm0,"   Montante =  ";Tetaprt$</t>
  </si>
  <si>
    <t>72300 PRINT " ~~~~~~~~~~~~~~~~~~~~~~~~~~~~~~~~~~~~~~~~~~~~~~~~~~~~~~~~~~~~~~~~~~~~~~~~~~~~~~"</t>
  </si>
  <si>
    <t>72330       IF Senso$="SINISTRO" THEN</t>
  </si>
  <si>
    <t>72360 PRINT</t>
  </si>
  <si>
    <t>72370 PRINT "                       -------------------------------     "</t>
  </si>
  <si>
    <t>72380 PRINT "                 ------ PARAMETRI MOLA FIANCO SINISTRO ------"</t>
  </si>
  <si>
    <t>72390 PRINT "                       --------------------------------    "</t>
  </si>
  <si>
    <t>72400 PRINT</t>
  </si>
  <si>
    <t>72410 PRINT</t>
  </si>
  <si>
    <t>72420 PRINT</t>
  </si>
  <si>
    <t>72440 Str$="     R030 ="</t>
  </si>
  <si>
    <t>72450 Var=Smw</t>
  </si>
  <si>
    <t>72460 Dstr$="     ________&gt;&gt;"</t>
  </si>
  <si>
    <t>72470 Estr$=" SEMISPESSORE del"</t>
  </si>
  <si>
    <t>72480 Fstr$="la MOLA (TEORICO)"</t>
  </si>
  <si>
    <t>72490 GOSUB Stampa_v</t>
  </si>
  <si>
    <t>72530 Str$="     R031 ="</t>
  </si>
  <si>
    <t>72540                         IF Chaxis=1 THEN</t>
  </si>
  <si>
    <t>72550                                        Var=(Hchange*TAN(Apwmnmh))+ABS(Halb)</t>
  </si>
  <si>
    <t>72560                         ELSE</t>
  </si>
  <si>
    <t>72570                                        Var=ABS(Halb)</t>
  </si>
  <si>
    <t>72580                         END IF</t>
  </si>
  <si>
    <t>72590 Estr$=" SEMISPESSORE"</t>
  </si>
  <si>
    <t>72600 Fstr$=" FIANCO"</t>
  </si>
  <si>
    <t>72610 GOSUB Stampa_v</t>
  </si>
  <si>
    <t>72640 Str$="     R032 ="</t>
  </si>
  <si>
    <t>72650 Estr$=" ADDENDUM MOLA"</t>
  </si>
  <si>
    <t>72660 Fstr$=""</t>
  </si>
  <si>
    <t>72670                     IF H_topp THEN</t>
  </si>
  <si>
    <t>72680                                  IF Chaxis=1 THEN</t>
  </si>
  <si>
    <t>72690                                                 Var=ABS(L_topp)+Hchange</t>
  </si>
  <si>
    <t>72700                                  ELSE</t>
  </si>
  <si>
    <t>72710                                                 Var=ABS(L_topp)</t>
  </si>
  <si>
    <t>72720                                  END IF</t>
  </si>
  <si>
    <t>72730                     ELSE</t>
  </si>
  <si>
    <t>72740                                  IF Chaxis=1 THEN</t>
  </si>
  <si>
    <t>72750                                                 Var=ABS(Y_hh)+Hchange</t>
  </si>
  <si>
    <t>72760                                  ELSE</t>
  </si>
  <si>
    <t>72770                                                 Var=ABS(Y_hh)</t>
  </si>
  <si>
    <t>72780                                  END IF</t>
  </si>
  <si>
    <t>72790                      END IF</t>
  </si>
  <si>
    <t>72810                      IF Dk1 THEN</t>
  </si>
  <si>
    <t>72820                                  IF Chaxis=1 THEN</t>
  </si>
  <si>
    <t>72830                                                 Var=ABS(Y_ht)+Hchange</t>
  </si>
  <si>
    <t>72840                                  ELSE</t>
  </si>
  <si>
    <t>72850                                                 Var=ABS(Y_ht)</t>
  </si>
  <si>
    <t>72860                                  END IF</t>
  </si>
  <si>
    <t>72870                       END IF</t>
  </si>
  <si>
    <t>72880 GOSUB Stampa_v</t>
  </si>
  <si>
    <t>72900 Str$="     R033 ="</t>
  </si>
  <si>
    <t>72910 Estr$=" DEDENDUM MOLA"</t>
  </si>
  <si>
    <t>72920                                  IF Chaxis=1 THEN</t>
  </si>
  <si>
    <t>72930                                                 Var=ABS(Y_ah)+Hchange</t>
  </si>
  <si>
    <t>72940                                  ELSE</t>
  </si>
  <si>
    <t>72950                                                 Var=ABS(Y_ah)</t>
  </si>
  <si>
    <t>72960                                  END IF</t>
  </si>
  <si>
    <t>72980 GOSUB Stampa_v</t>
  </si>
  <si>
    <t>73000 Str$="     R034 ="</t>
  </si>
  <si>
    <t>73010 Var=Apwmnmh*180/PI</t>
  </si>
  <si>
    <t>73020 Estr$=" ANG. PRESSIONE"</t>
  </si>
  <si>
    <t>73030 Fstr$=" ADDENDUM"</t>
  </si>
  <si>
    <t>73040 GOSUB Stampa_v</t>
  </si>
  <si>
    <t>73060 Str$="     R035 ="</t>
  </si>
  <si>
    <t>73070 Var=Apwmnmh*180/PI</t>
  </si>
  <si>
    <t>73080 Estr$=" ANG. PRESSIONE"</t>
  </si>
  <si>
    <t>73090 Fstr$=" DEDENDUM"</t>
  </si>
  <si>
    <t>73100 GOSUB Stampa_v</t>
  </si>
  <si>
    <t>73120                                    IF Dk1 THEN</t>
  </si>
  <si>
    <t>73130 PRINT</t>
  </si>
  <si>
    <t>73140 PRINT</t>
  </si>
  <si>
    <t>73150 PRINT "                   *********** SEMITOPPING ***************"</t>
  </si>
  <si>
    <t>73160 PRINT</t>
  </si>
  <si>
    <t>73170 Str$="     R036 ="</t>
  </si>
  <si>
    <t>73180                                IF Chaxis=1 THEN</t>
  </si>
  <si>
    <t>73190                                               Var=Hchange-ABS(Y_sh)</t>
  </si>
  <si>
    <t>73200                                ELSE</t>
  </si>
  <si>
    <t>73210                                               Var=ABS(Y_sh)</t>
  </si>
  <si>
    <t>73220                                END IF</t>
  </si>
  <si>
    <t>73230 Estr$=" ALTEZZA del"</t>
  </si>
  <si>
    <t>73240 Fstr$=" SEMITOPPING"</t>
  </si>
  <si>
    <t>73250 GOSUB Stampa_v</t>
  </si>
  <si>
    <t>73270 Str$="     R037 ="</t>
  </si>
  <si>
    <t>73280 Var=Apkwmnmh*180/PI</t>
  </si>
  <si>
    <t>73290 Estr$=" ANG. PRESSIONE"</t>
  </si>
  <si>
    <t>73300 GOSUB Stampa_v</t>
  </si>
  <si>
    <t>73310                                     END IF</t>
  </si>
  <si>
    <t>73330                                     IF Ra0 THEN</t>
  </si>
  <si>
    <t>73340 PRINT</t>
  </si>
  <si>
    <t>73350 PRINT</t>
  </si>
  <si>
    <t>73360 PRINT "                  ************  RAGGIO PIEDE MOLA **************"</t>
  </si>
  <si>
    <t>73370 PRINT</t>
  </si>
  <si>
    <t>73380 Str$="     R038 ="</t>
  </si>
  <si>
    <t>73390                        IF Diff=1 THEN</t>
  </si>
  <si>
    <t>73400                                     IF Chaxis=1 THEN</t>
  </si>
  <si>
    <t>73410                                                    Var=ABS(N_ynah)+Hchange</t>
  </si>
  <si>
    <t>73420                                     ELSE</t>
  </si>
  <si>
    <t>73430                                                    Var=ABS(N_ynah)</t>
  </si>
  <si>
    <t>73440                                     END IF</t>
  </si>
  <si>
    <t>73450                         ELSE</t>
  </si>
  <si>
    <t>73460                                     IF Chaxis=1 THEN</t>
  </si>
  <si>
    <t>73470                                                    Var=ABS(Y_nah)+Hchange</t>
  </si>
  <si>
    <t>73480                                     ELSE</t>
  </si>
  <si>
    <t>73490                                                    Var=ABS(Y_nah)</t>
  </si>
  <si>
    <t>73500                                     END IF</t>
  </si>
  <si>
    <t>73510                         END IF</t>
  </si>
  <si>
    <t>73520 Estr$=" ALTEZZA PUNTO di"</t>
  </si>
  <si>
    <t>73530 Fstr$=" TANGENZA RAGGIO 1"</t>
  </si>
  <si>
    <t>73540 GOSUB Stampa_v</t>
  </si>
  <si>
    <t>73560 Str$="     R039 ="</t>
  </si>
  <si>
    <t>73570 Var=Ra_2h</t>
  </si>
  <si>
    <t>73580 Estr$=" RAGGIO 1"</t>
  </si>
  <si>
    <t>73590 Fstr$=""</t>
  </si>
  <si>
    <t>73600 GOSUB Stampa_v</t>
  </si>
  <si>
    <t>73620 Str$="     R040 ="</t>
  </si>
  <si>
    <t>73630 Var=Ra_1h</t>
  </si>
  <si>
    <t>73640 Estr$=" RAGGIO 2"</t>
  </si>
  <si>
    <t>73650 GOSUB Stampa_v</t>
  </si>
  <si>
    <t>73660                                     IF Elic THEN</t>
  </si>
  <si>
    <t>73680 Str$="     R041 ="</t>
  </si>
  <si>
    <t>73690 Var=Ang_h*180/PI</t>
  </si>
  <si>
    <t>73700 Estr$=" ANG. RASTREMATURA"</t>
  </si>
  <si>
    <t>73710 Fstr$=" PIEDE MOLA"</t>
  </si>
  <si>
    <t>73720 GOSUB Stampa_v</t>
  </si>
  <si>
    <t>73730                                     END IF</t>
  </si>
  <si>
    <t>73740                                     END IF</t>
  </si>
  <si>
    <t>73760                                     IF H_pzepm_t THEN</t>
  </si>
  <si>
    <t>73770 PRINT</t>
  </si>
  <si>
    <t>73780 PRINT</t>
  </si>
  <si>
    <t>73790 PRINT "                  ************* PROTUBERANZA ***************"</t>
  </si>
  <si>
    <t>73800 PRINT</t>
  </si>
  <si>
    <t>73820 Str$="     R046 ="</t>
  </si>
  <si>
    <t>73830                                     IF Chaxis=1 THEN</t>
  </si>
  <si>
    <t>73840                                                    Var=ABS(Y_npzh)+Hchange</t>
  </si>
  <si>
    <t>73850                                     ELSE</t>
  </si>
  <si>
    <t>73860                                                    Var=ABS(Y_npzh)</t>
  </si>
  <si>
    <t>73870                                     END IF</t>
  </si>
  <si>
    <t>73880 Estr$=" ALTEZZA INIZIO"</t>
  </si>
  <si>
    <t>73890 Fstr$=" PROTUBERANZA"</t>
  </si>
  <si>
    <t>73900 GOSUB Stampa_v</t>
  </si>
  <si>
    <t>73920 Str$="     R047 ="</t>
  </si>
  <si>
    <t>73930 Var=Apwhpzepm_h*180/PI</t>
  </si>
  <si>
    <t>73940 Estr$=" ANG. PRESSIONE"</t>
  </si>
  <si>
    <t>73950 GOSUB Stampa_v</t>
  </si>
  <si>
    <t>73960                                    END IF</t>
  </si>
  <si>
    <t>73980                                    IF LEN(Tr$) THEN</t>
  </si>
  <si>
    <t>73990 PRINT</t>
  </si>
  <si>
    <t>74000 PRINT</t>
  </si>
  <si>
    <t>74010 PRINT "                  *************** RAGGIO TESTA MOLA ************"</t>
  </si>
  <si>
    <t>74020 PRINT</t>
  </si>
  <si>
    <t>74030 Str$="     R042 ="</t>
  </si>
  <si>
    <t>74040 Var=0</t>
  </si>
  <si>
    <t>74050 Estr$=" ALTEZZA PUNTO"</t>
  </si>
  <si>
    <t>74060 Fstr$=" TANGENZA R3"</t>
  </si>
  <si>
    <t>74070 GOSUB Stampa_v</t>
  </si>
  <si>
    <t>74090 Str$="     R043 ="</t>
  </si>
  <si>
    <t>74100 Var=Ra_3h</t>
  </si>
  <si>
    <t>74110 Estr$=" RAGGIO 3"</t>
  </si>
  <si>
    <t>74120 Fstr$=""</t>
  </si>
  <si>
    <t>74130 GOSUB Stampa_v</t>
  </si>
  <si>
    <t>74150 Str$="     R044 ="</t>
  </si>
  <si>
    <t>74160 Var=Ra_4h</t>
  </si>
  <si>
    <t>74170 Estr$=" RAGGIO 4"</t>
  </si>
  <si>
    <t>74180 GOSUB Stampa_v</t>
  </si>
  <si>
    <t>74200 Str$="     R045 ="</t>
  </si>
  <si>
    <t>74210 Var=Ang_3h</t>
  </si>
  <si>
    <t>74220 Estr$=" ANG. RASTREMATURA"</t>
  </si>
  <si>
    <t>74230 Fstr$=" TESTA MOLA"</t>
  </si>
  <si>
    <t>74240 GOSUB Stampa_v</t>
  </si>
  <si>
    <t>74250                                       END IF</t>
  </si>
  <si>
    <t>74280       Halbt=Swmnm_t</t>
  </si>
  <si>
    <t>74300       IF Ra0 THEN</t>
  </si>
  <si>
    <t>74310                  Mr_s=Dwm0/Z0</t>
  </si>
  <si>
    <t>74320                  Passo=Mr_s*PI</t>
  </si>
  <si>
    <t>74330                  Smwt=Passo/2</t>
  </si>
  <si>
    <t>74370                             Ht=ABS(Y_at)</t>
  </si>
  <si>
    <t>74380                  IF (ABS(Y_nat)+(Ra_2t-Ra_2t*SIN(Apwmnmt)))&gt;=Ht THEN</t>
  </si>
  <si>
    <t>74400                  GOTO 74460</t>
  </si>
  <si>
    <t>74410                  ELSE</t>
  </si>
  <si>
    <t>74420                  Differenzat=Ht-(ABS(Y_nat)+(Ra_2t-Ra_2t*SIN(Apwmnmt)))</t>
  </si>
  <si>
    <t>74430                  Difft=1</t>
  </si>
  <si>
    <t>74440                  N_ynat=ABS(Y_nat)+Differenza+.05</t>
  </si>
  <si>
    <t>74450                  END IF</t>
  </si>
  <si>
    <t>74470       IF Elic THEN</t>
  </si>
  <si>
    <t>74480                  Passo=Passo*COS(Aelwm0_eff)</t>
  </si>
  <si>
    <t>74490                  Smwt=Passo/2</t>
  </si>
  <si>
    <t>74500       END IF</t>
  </si>
  <si>
    <t>74510       ELSE</t>
  </si>
  <si>
    <t>74520                  Smwt=X_at</t>
  </si>
  <si>
    <t>74530       END IF</t>
  </si>
  <si>
    <t>74570 PRINT "                       -------------------------------     "</t>
  </si>
  <si>
    <t>74580 PRINT "                 ------ PARAMETRI MOLA FIANCO DESTRO ------"</t>
  </si>
  <si>
    <t>74590 PRINT "                       --------------------------------    "</t>
  </si>
  <si>
    <t>74600 PRINT</t>
  </si>
  <si>
    <t>74610 PRINT</t>
  </si>
  <si>
    <t>74620 PRINT</t>
  </si>
  <si>
    <t>74640 Str$="     R050 ="</t>
  </si>
  <si>
    <t>74650 Var=Smwt</t>
  </si>
  <si>
    <t>74660 Dstr$="     ________&gt;&gt;"</t>
  </si>
  <si>
    <t>74670 Estr$=" SEMISPESSORE del"</t>
  </si>
  <si>
    <t>74680 Fstr$="la MOLA (TEORICO)"</t>
  </si>
  <si>
    <t>74690 GOSUB Stampa_v</t>
  </si>
  <si>
    <t>74710 Str$="     R051 ="</t>
  </si>
  <si>
    <t>74720                         IF Chaxis=1 THEN</t>
  </si>
  <si>
    <t>74730                                        Var=(Hchange*TAN(Apwmnmt))+Halbt</t>
  </si>
  <si>
    <t>74740                         ELSE</t>
  </si>
  <si>
    <t>74750                                        Var=Halbt</t>
  </si>
  <si>
    <t>74760                         END IF</t>
  </si>
  <si>
    <t>74770 Dstr$="     ________&gt;&gt;"</t>
  </si>
  <si>
    <t>74780 Estr$=" SEMISPESSORE"</t>
  </si>
  <si>
    <t>74790 Fstr$=" FIANCO"</t>
  </si>
  <si>
    <t>74800 GOSUB Stampa_v</t>
  </si>
  <si>
    <t>74830 Str$="     R052 ="</t>
  </si>
  <si>
    <t>74840 Estr$=" ADDENDUM MOLA"</t>
  </si>
  <si>
    <t>74850 Fstr$=""</t>
  </si>
  <si>
    <t>74860                    IF H_topp THEN</t>
  </si>
  <si>
    <t>74870                                  IF Chaxis=1 THEN</t>
  </si>
  <si>
    <t>74880                                                 Var=L_topp+Hchange</t>
  </si>
  <si>
    <t>74890                                  ELSE</t>
  </si>
  <si>
    <t>74900                                                 Var=L_topp</t>
  </si>
  <si>
    <t>74910                                  END IF</t>
  </si>
  <si>
    <t>74920                     ELSE</t>
  </si>
  <si>
    <t>74930                                  IF Chaxis=1 THEN</t>
  </si>
  <si>
    <t>74940                                                 Var=ABS(Y_hh)+Hchange</t>
  </si>
  <si>
    <t>74950                                  ELSE</t>
  </si>
  <si>
    <t>74960                                                 Var=ABS(Y_hh)</t>
  </si>
  <si>
    <t>74970                                  END IF</t>
  </si>
  <si>
    <t>74980                      END IF</t>
  </si>
  <si>
    <t>75000                      IF Dk1 THEN</t>
  </si>
  <si>
    <t>75010                                  IF Chaxis=1 THEN</t>
  </si>
  <si>
    <t>75020                                                 Var=ABS(Y_ht)+Hchange</t>
  </si>
  <si>
    <t>75030                                  ELSE</t>
  </si>
  <si>
    <t>75040                                                 Var=ABS(Y_ht)</t>
  </si>
  <si>
    <t>75050                                  END IF</t>
  </si>
  <si>
    <t>75060                       END IF</t>
  </si>
  <si>
    <t>75070 GOSUB Stampa_v</t>
  </si>
  <si>
    <t>75090 Str$="     R053 ="</t>
  </si>
  <si>
    <t>75100 Estr$=" DEDENDUM MOLA"</t>
  </si>
  <si>
    <t>75110                                  IF Chaxis=1 THEN</t>
  </si>
  <si>
    <t>75120                                                 Var=ABS(Y_at)+Hchange</t>
  </si>
  <si>
    <t>75130                                  ELSE</t>
  </si>
  <si>
    <t>75140                                                 Var=ABS(Y_at)</t>
  </si>
  <si>
    <t>75150                                  END IF</t>
  </si>
  <si>
    <t>75160 GOSUB Stampa_v</t>
  </si>
  <si>
    <t>75180 Str$="     R054 ="</t>
  </si>
  <si>
    <t>75190 Var=Apwmnmt*180/PI</t>
  </si>
  <si>
    <t>75200 Estr$=" ANG. PRESSIONE"</t>
  </si>
  <si>
    <t>75210 Fstr$=" ADDENDUM"</t>
  </si>
  <si>
    <t>75220 GOSUB Stampa_v</t>
  </si>
  <si>
    <t>75240 Str$="     R055 ="</t>
  </si>
  <si>
    <t>75250 Var=Apwmnmt*180/PI</t>
  </si>
  <si>
    <t>75260 Estr$=" ANG. PRESSIONE"</t>
  </si>
  <si>
    <t>75270 Fstr$=" DEDENDUM"</t>
  </si>
  <si>
    <t>75280 GOSUB Stampa_v</t>
  </si>
  <si>
    <t>75300                                    IF Dk1 THEN</t>
  </si>
  <si>
    <t>75310 PRINT</t>
  </si>
  <si>
    <t>75320 PRINT</t>
  </si>
  <si>
    <t>75330 PRINT "                   *********** SEMITOPPING ***************"</t>
  </si>
  <si>
    <t>75340 PRINT</t>
  </si>
  <si>
    <t>75350 Str$="     R056 ="</t>
  </si>
  <si>
    <t>75360                                IF Chaxis=1 THEN</t>
  </si>
  <si>
    <t>75370                                               Var=Hchange-ABS(Y_st)</t>
  </si>
  <si>
    <t>75380                                ELSE</t>
  </si>
  <si>
    <t>75390                                               Var=ABS(Y_st)</t>
  </si>
  <si>
    <t>75400                                END IF</t>
  </si>
  <si>
    <t>75410 Estr$=" ALTEZZA del"</t>
  </si>
  <si>
    <t>75420 Fstr$=" SEMITOPPING"</t>
  </si>
  <si>
    <t>75430 GOSUB Stampa_v</t>
  </si>
  <si>
    <t>75450 Str$="     R057 ="</t>
  </si>
  <si>
    <t>75460 Var=Apkwmnmt*180/PI</t>
  </si>
  <si>
    <t>75470 Estr$=" ANG. PRESSIONE"</t>
  </si>
  <si>
    <t>75480 GOSUB Stampa_v</t>
  </si>
  <si>
    <t>75490                                     END IF</t>
  </si>
  <si>
    <t>75510                                     IF Ra0 THEN</t>
  </si>
  <si>
    <t>75520 PRINT</t>
  </si>
  <si>
    <t>75530 PRINT</t>
  </si>
  <si>
    <t>75540 PRINT "                  ************  RAGGIO PIEDE MOLA **************"</t>
  </si>
  <si>
    <t>75550 PRINT</t>
  </si>
  <si>
    <t>75560 Str$="     R058 ="</t>
  </si>
  <si>
    <t>75570                        IF Diff=1 THEN</t>
  </si>
  <si>
    <t>75580                                     IF Chaxis=1 THEN</t>
  </si>
  <si>
    <t>75590                                                    Var=ABS(N_ynat)+Hchange</t>
  </si>
  <si>
    <t>75600                                     ELSE</t>
  </si>
  <si>
    <t>75610                                                    Var=ABS(N_ynat)</t>
  </si>
  <si>
    <t>75620                                     END IF</t>
  </si>
  <si>
    <t>75630                         ELSE</t>
  </si>
  <si>
    <t>75640                                     IF Chaxis=1 THEN</t>
  </si>
  <si>
    <t>75650                                                    Var=ABS(Y_nat)+Hchange</t>
  </si>
  <si>
    <t>75660                                     ELSE</t>
  </si>
  <si>
    <t>75670                                                    Var=ABS(Y_nat)</t>
  </si>
  <si>
    <t>75680                                     END IF</t>
  </si>
  <si>
    <t>75690                         END IF</t>
  </si>
  <si>
    <t>75700 Estr$=" ALTEZZA PUNTO di"</t>
  </si>
  <si>
    <t>75710 Fstr$=" TANGENZA RAGGIO 1"</t>
  </si>
  <si>
    <t>75720 GOSUB Stampa_v</t>
  </si>
  <si>
    <t>75740 Str$="     R059 ="</t>
  </si>
  <si>
    <t>75750 Var=Ra_2t</t>
  </si>
  <si>
    <t>75760 Estr$=" RAGGIO 1"</t>
  </si>
  <si>
    <t>75770 Fstr$=""</t>
  </si>
  <si>
    <t>75780 GOSUB Stampa_v</t>
  </si>
  <si>
    <t>75800 Str$="     R060 ="</t>
  </si>
  <si>
    <t>75810 Var=Ra_1t</t>
  </si>
  <si>
    <t>75820 Estr$=" RAGGIO 2"</t>
  </si>
  <si>
    <t>75830 GOSUB Stampa_v</t>
  </si>
  <si>
    <t>75840                                     IF Elic THEN</t>
  </si>
  <si>
    <t>75860 Str$="     R061 ="</t>
  </si>
  <si>
    <t>75870 Var=Ang_t*180/PI</t>
  </si>
  <si>
    <t>75880 Estr$=" ANG. RASTREMATURA"</t>
  </si>
  <si>
    <t>75890 Fstr$=" PIEDE MOLA"</t>
  </si>
  <si>
    <t>75900 GOSUB Stampa_v</t>
  </si>
  <si>
    <t>75910                                     END IF</t>
  </si>
  <si>
    <t>75920                                     END IF</t>
  </si>
  <si>
    <t>75940                                     IF H_pzepm_t THEN</t>
  </si>
  <si>
    <t>75950 PRINT</t>
  </si>
  <si>
    <t>75960 PRINT</t>
  </si>
  <si>
    <t>75970 PRINT "                  ************* PROTUBERANZA ***************"</t>
  </si>
  <si>
    <t>75980 PRINT</t>
  </si>
  <si>
    <t>76000 Str$="     R066 ="</t>
  </si>
  <si>
    <t>76010                                     IF Chaxis=1 THEN</t>
  </si>
  <si>
    <t>76020                                                    Var=ABS(Y_npzt)+Hchange</t>
  </si>
  <si>
    <t>76030                                     ELSE</t>
  </si>
  <si>
    <t>76040                                                    Var=ABS(Y_npzt)</t>
  </si>
  <si>
    <t>76050                                     END IF</t>
  </si>
  <si>
    <t>76060 Estr$=" ALTEZZA INIZIO"</t>
  </si>
  <si>
    <t>76070 Fstr$=" PROTUBERANZA"</t>
  </si>
  <si>
    <t>76080 GOSUB Stampa_v</t>
  </si>
  <si>
    <t>76100 Str$="     R067 ="</t>
  </si>
  <si>
    <t>76110 Var=Apwhpzepm_t*180/PI</t>
  </si>
  <si>
    <t>76120 Estr$=" ANG. PRESSIONE"</t>
  </si>
  <si>
    <t>76130 GOSUB Stampa_v</t>
  </si>
  <si>
    <t>76140                                    END IF</t>
  </si>
  <si>
    <t>76160                                    IF LEN(Tr$) THEN</t>
  </si>
  <si>
    <t>76170 PRINT</t>
  </si>
  <si>
    <t>76180 PRINT</t>
  </si>
  <si>
    <t>76190 PRINT "                  *************** RAGGIO TESTA MOLA ************"</t>
  </si>
  <si>
    <t>76200 PRINT</t>
  </si>
  <si>
    <t>76210 Str$="     R062 ="</t>
  </si>
  <si>
    <t>76220 Var=0</t>
  </si>
  <si>
    <t>76230 Estr$=" ALTEZZA PUNTO"</t>
  </si>
  <si>
    <t>76240 Fstr$=" TANGENZA R3"</t>
  </si>
  <si>
    <t>76250 GOSUB Stampa_v</t>
  </si>
  <si>
    <t>76270 Str$="     R063 ="</t>
  </si>
  <si>
    <t>76280 Var=Ra_3h</t>
  </si>
  <si>
    <t>76290 Estr$=" RAGGIO 3"</t>
  </si>
  <si>
    <t>76300 Fstr$=""</t>
  </si>
  <si>
    <t>76310 GOSUB Stampa_v</t>
  </si>
  <si>
    <t>76330 Str$="     R064 ="</t>
  </si>
  <si>
    <t>76340 Var=Ra_4h</t>
  </si>
  <si>
    <t>76350 Estr$=" RAGGIO 4"</t>
  </si>
  <si>
    <t>76360 Fstr$=""</t>
  </si>
  <si>
    <t>76370 GOSUB Stampa_v</t>
  </si>
  <si>
    <t>76390 Str$="     R065 ="</t>
  </si>
  <si>
    <t>76400 Var=Ang_3h</t>
  </si>
  <si>
    <t>76410 Estr$=" ANG. RASTREMATURA"</t>
  </si>
  <si>
    <t>76420 Fstr$=" TESTA MOLA"</t>
  </si>
  <si>
    <t>76430 GOSUB Stampa_v</t>
  </si>
  <si>
    <t>76450                                   END IF</t>
  </si>
  <si>
    <t>76490  ELSE               !     +++++++  CASO - SENSO ELICA DESTRO -  ++++++++++++++++</t>
  </si>
  <si>
    <t>76520       Halbt=Swmnm_t</t>
  </si>
  <si>
    <t>76540       IF Ra0 THEN</t>
  </si>
  <si>
    <t>76550                  Mr_s=Dwm0/Z0</t>
  </si>
  <si>
    <t>76560                  Passo=Mr_s*PI</t>
  </si>
  <si>
    <t>76570                  Smwt=Passo/2</t>
  </si>
  <si>
    <t>76610                             Ht=Y_at</t>
  </si>
  <si>
    <t>76620                  IF (ABS(Y_nat)+(Ra_2t-Ra_2t*SIN(Apwmnmt)))&gt;=Ht THEN</t>
  </si>
  <si>
    <t>76640                  GOTO 76700</t>
  </si>
  <si>
    <t>76650                  ELSE</t>
  </si>
  <si>
    <t>76660                  Differenzat=Ht-(ABS(Y_nat)+(Ra_2t-Ra_2t*SIN(Apwmnmt)))</t>
  </si>
  <si>
    <t>76670                  Difft=1</t>
  </si>
  <si>
    <t>76680                  N_ynat=ABS(Y_nat)+Differenza+.05</t>
  </si>
  <si>
    <t>76690                  END IF</t>
  </si>
  <si>
    <t>76710       IF Elic THEN</t>
  </si>
  <si>
    <t>76720                  Passo=Passo*COS(Aelwm0_eff)</t>
  </si>
  <si>
    <t>76730                  Smwt=Passo/2</t>
  </si>
  <si>
    <t>76740       END IF</t>
  </si>
  <si>
    <t>76750       ELSE</t>
  </si>
  <si>
    <t>76760                  Smwt=X_at</t>
  </si>
  <si>
    <t>76770       END IF</t>
  </si>
  <si>
    <t>76810 PRINT "                       -------------------------------     "</t>
  </si>
  <si>
    <t>76820 PRINT "                 ------ PARAMETRI MOLA FIANCO SINISTRO ------"</t>
  </si>
  <si>
    <t>76830 PRINT "                       --------------------------------    "</t>
  </si>
  <si>
    <t>76840 PRINT</t>
  </si>
  <si>
    <t>76850 PRINT</t>
  </si>
  <si>
    <t>76860 PRINT</t>
  </si>
  <si>
    <t>76880 Str$="     R030 ="</t>
  </si>
  <si>
    <t>76890 Var=Smwt</t>
  </si>
  <si>
    <t>76900 Dstr$="     ________&gt;&gt;"</t>
  </si>
  <si>
    <t>76910 Estr$=" SEMISPESSORE del"</t>
  </si>
  <si>
    <t>76920 Fstr$="la MOLA (TEORICO)"</t>
  </si>
  <si>
    <t>76930 GOSUB Stampa_v</t>
  </si>
  <si>
    <t>76950 Str$="     R031 ="</t>
  </si>
  <si>
    <t>76960                         IF Chaxis=1 THEN</t>
  </si>
  <si>
    <t>76970                                        Var=(Hchange*TAN(Apwmnmt))+Halbt</t>
  </si>
  <si>
    <t>76980                         ELSE</t>
  </si>
  <si>
    <t>76990                                        Var=Halbt</t>
  </si>
  <si>
    <t>77000                         END IF</t>
  </si>
  <si>
    <t>77010 Dstr$="     ________&gt;&gt;"</t>
  </si>
  <si>
    <t>77020 Estr$=" SEMISPESSORE"</t>
  </si>
  <si>
    <t>77030 Fstr$=" FIANCO"</t>
  </si>
  <si>
    <t>77040 GOSUB Stampa_v</t>
  </si>
  <si>
    <t>77070 Str$="     R032 ="</t>
  </si>
  <si>
    <t>77080 Estr$=" ADDENDUM MOLA"</t>
  </si>
  <si>
    <t>77090 Fstr$=""</t>
  </si>
  <si>
    <t>77100                    IF H_topp THEN</t>
  </si>
  <si>
    <t>77110                                  IF Chaxis=1 THEN</t>
  </si>
  <si>
    <t>77120                                                 Var=ABS(L_topp)+Hchange</t>
  </si>
  <si>
    <t>77130                                  ELSE</t>
  </si>
  <si>
    <t>77140                                                 Var=ABS(L_topp)</t>
  </si>
  <si>
    <t>77150                                  END IF</t>
  </si>
  <si>
    <t>77160                     ELSE</t>
  </si>
  <si>
    <t>77170                                  IF Chaxis=1 THEN</t>
  </si>
  <si>
    <t>77180                                                 Var=ABS(Y_hh)+Hchange</t>
  </si>
  <si>
    <t>77190                                  ELSE</t>
  </si>
  <si>
    <t>77200                                                 Var=ABS(Y_hh)</t>
  </si>
  <si>
    <t>77210                                  END IF</t>
  </si>
  <si>
    <t>77220                      END IF</t>
  </si>
  <si>
    <t>77240                      IF Dk1 THEN</t>
  </si>
  <si>
    <t>77250                                  IF Chaxis=1 THEN</t>
  </si>
  <si>
    <t>77260                                                 Var=ABS(Y_ht)+Hchange</t>
  </si>
  <si>
    <t>77270                                  ELSE</t>
  </si>
  <si>
    <t>77280                                                 Var=ABS(Y_ht)</t>
  </si>
  <si>
    <t>77290                                  END IF</t>
  </si>
  <si>
    <t>77300                       END IF</t>
  </si>
  <si>
    <t>77310 GOSUB Stampa_v</t>
  </si>
  <si>
    <t>77330 Str$="     R033 ="</t>
  </si>
  <si>
    <t>77340 Estr$=" DEDENDUM MOLA"</t>
  </si>
  <si>
    <t>77350                                  IF Chaxis=1 THEN</t>
  </si>
  <si>
    <t>77360                                                 Var=ABS(Y_at)+Hchange</t>
  </si>
  <si>
    <t>77370                                  ELSE</t>
  </si>
  <si>
    <t>77380                                                 Var=ABS(Y_at)</t>
  </si>
  <si>
    <t>77390                                  END IF</t>
  </si>
  <si>
    <t>77400 GOSUB Stampa_v</t>
  </si>
  <si>
    <t>77420 Str$="     R034 ="</t>
  </si>
  <si>
    <t>77430 Var=Apwmnmt*180/PI</t>
  </si>
  <si>
    <t>77440 Estr$=" ANG. PRESSIONE"</t>
  </si>
  <si>
    <t>77450 Fstr$=" ADDENDUM"</t>
  </si>
  <si>
    <t>77460 GOSUB Stampa_v</t>
  </si>
  <si>
    <t>77480 Str$="     R035 ="</t>
  </si>
  <si>
    <t>77490 Var=Apwmnmt*180/PI</t>
  </si>
  <si>
    <t>77500 Estr$=" ANG. PRESSIONE"</t>
  </si>
  <si>
    <t>77510 Fstr$=" DEDENDUM"</t>
  </si>
  <si>
    <t>77520 GOSUB Stampa_v</t>
  </si>
  <si>
    <t>77540                                    IF Dk1 THEN</t>
  </si>
  <si>
    <t>77550 PRINT</t>
  </si>
  <si>
    <t>77560 PRINT</t>
  </si>
  <si>
    <t>77570 PRINT "                   *********** SEMITOPPING ***************"</t>
  </si>
  <si>
    <t>77580 PRINT</t>
  </si>
  <si>
    <t>77590 Str$="     R036 ="</t>
  </si>
  <si>
    <t>77600                                IF Chaxis=1 THEN</t>
  </si>
  <si>
    <t>77610                                               Var=Hchange-ABS(Y_st)</t>
  </si>
  <si>
    <t>77620                                ELSE</t>
  </si>
  <si>
    <t>77630                                               Var=ABS(Y_st)</t>
  </si>
  <si>
    <t>77640                                END IF</t>
  </si>
  <si>
    <t>77650 Estr$=" ALTEZZA del"</t>
  </si>
  <si>
    <t>77660 Fstr$=" SEMITOPPING"</t>
  </si>
  <si>
    <t>77670 GOSUB Stampa_v</t>
  </si>
  <si>
    <t>77690 Str$="     R037 ="</t>
  </si>
  <si>
    <t>77700 Var=Apkwmnmt*180/PI</t>
  </si>
  <si>
    <t>77710 Estr$=" ANG. PRESSIONE"</t>
  </si>
  <si>
    <t>77720 GOSUB Stampa_v</t>
  </si>
  <si>
    <t>77730                                     END IF</t>
  </si>
  <si>
    <t>77750                                     IF Ra0 THEN</t>
  </si>
  <si>
    <t>77760 PRINT</t>
  </si>
  <si>
    <t>77770 PRINT</t>
  </si>
  <si>
    <t>77780 PRINT "                  ************  RAGGIO PIEDE MOLA **************"</t>
  </si>
  <si>
    <t>77790 PRINT</t>
  </si>
  <si>
    <t>77800 Str$="     R038 ="</t>
  </si>
  <si>
    <t>77810                        IF Diff=1 THEN</t>
  </si>
  <si>
    <t>77820                                     IF Chaxis=1 THEN</t>
  </si>
  <si>
    <t>77830                                                    Var=ABS(N_ynat)+Hchange</t>
  </si>
  <si>
    <t>77840                                     ELSE</t>
  </si>
  <si>
    <t>77850                                                    Var=ABS(N_ynat)</t>
  </si>
  <si>
    <t>77860                                     END IF</t>
  </si>
  <si>
    <t>77870                         ELSE</t>
  </si>
  <si>
    <t>77880                                     IF Chaxis=1 THEN</t>
  </si>
  <si>
    <t>77890                                                    Var=ABS(Y_nat)+Hchange</t>
  </si>
  <si>
    <t>77900                                     ELSE</t>
  </si>
  <si>
    <t>77910                                                    Var=ABS(Y_nat)</t>
  </si>
  <si>
    <t>77920                                     END IF</t>
  </si>
  <si>
    <t>77930                         END IF</t>
  </si>
  <si>
    <t>77940 Estr$=" ALTEZZA PUNTO di"</t>
  </si>
  <si>
    <t>77950 Fstr$=" TANGENZA RAGGIO 1"</t>
  </si>
  <si>
    <t>77960 GOSUB Stampa_v</t>
  </si>
  <si>
    <t>77980 Str$="     R039 ="</t>
  </si>
  <si>
    <t>77990 Var=Ra_2t</t>
  </si>
  <si>
    <t>78000 Estr$=" RAGGIO 1"</t>
  </si>
  <si>
    <t>78010 Fstr$=""</t>
  </si>
  <si>
    <t>78020 GOSUB Stampa_v</t>
  </si>
  <si>
    <t>78040 Str$="     R040 ="</t>
  </si>
  <si>
    <t>78050 Var=Ra_1t</t>
  </si>
  <si>
    <t>78060 Estr$=" RAGGIO 2"</t>
  </si>
  <si>
    <t>78070 GOSUB Stampa_v</t>
  </si>
  <si>
    <t>78080                                     IF Elic THEN</t>
  </si>
  <si>
    <t>78100 Str$="     R041 ="</t>
  </si>
  <si>
    <t>78110 Var=Ang_t*180/PI</t>
  </si>
  <si>
    <t>78120 Estr$=" ANG. RASTREMATURA"</t>
  </si>
  <si>
    <t>78130 Fstr$=" PIEDE MOLA"</t>
  </si>
  <si>
    <t>78140 GOSUB Stampa_v</t>
  </si>
  <si>
    <t>78150                                     END IF</t>
  </si>
  <si>
    <t>78160                                     END IF</t>
  </si>
  <si>
    <t>78180                                     IF H_pzepm_t THEN</t>
  </si>
  <si>
    <t>78190 PRINT</t>
  </si>
  <si>
    <t>78200 PRINT</t>
  </si>
  <si>
    <t>78210 PRINT "                  ************* PROTUBERANZA ***************"</t>
  </si>
  <si>
    <t>78220 PRINT</t>
  </si>
  <si>
    <t>78240 Str$="     R046 ="</t>
  </si>
  <si>
    <t>78250                                     IF Chaxis=1 THEN</t>
  </si>
  <si>
    <t>78260                                                    Var=ABS(Y_npzt)+Hchange</t>
  </si>
  <si>
    <t>78270                                     ELSE</t>
  </si>
  <si>
    <t>78280                                                    Var=ABS(Y_npzt)</t>
  </si>
  <si>
    <t>78290                                     END IF</t>
  </si>
  <si>
    <t>78300 Estr$=" ALTEZZA INIZIO"</t>
  </si>
  <si>
    <t>78310 Fstr$=" PROTUBERANZA"</t>
  </si>
  <si>
    <t>78320 GOSUB Stampa_v</t>
  </si>
  <si>
    <t>78340 Str$="     R047 ="</t>
  </si>
  <si>
    <t>78350 Var=Apwhpzepm_t*180/PI</t>
  </si>
  <si>
    <t>78360 Estr$=" ANG. PRESSIONE"</t>
  </si>
  <si>
    <t>78370 GOSUB Stampa_v</t>
  </si>
  <si>
    <t>78380                                    END IF</t>
  </si>
  <si>
    <t>78400                                    IF LEN(Tr$) THEN</t>
  </si>
  <si>
    <t>78410 PRINT</t>
  </si>
  <si>
    <t>78420 PRINT</t>
  </si>
  <si>
    <t>78430 PRINT "                  *************** RAGGIO TESTA MOLA ************"</t>
  </si>
  <si>
    <t>78440 PRINT</t>
  </si>
  <si>
    <t>78450 Str$="     R042 ="</t>
  </si>
  <si>
    <t>78460 Var=0</t>
  </si>
  <si>
    <t>78470 Estr$=" ALTEZZA PUNTO"</t>
  </si>
  <si>
    <t>78480 Fstr$=" TANGENZA R3"</t>
  </si>
  <si>
    <t>78490 GOSUB Stampa_v</t>
  </si>
  <si>
    <t>78510 Str$="     R043 ="</t>
  </si>
  <si>
    <t>78520 Var=Ra_3h</t>
  </si>
  <si>
    <t>78530 Estr$=" RAGGIO 3"</t>
  </si>
  <si>
    <t>78540 Fstr$=""</t>
  </si>
  <si>
    <t>78550 GOSUB Stampa_v</t>
  </si>
  <si>
    <t>78570 Str$="     R044 ="</t>
  </si>
  <si>
    <t>78580 Var=Ra_4h</t>
  </si>
  <si>
    <t>78590 Estr$=" RAGGIO 4"</t>
  </si>
  <si>
    <t>78600 Fstr$=""</t>
  </si>
  <si>
    <t>78610 GOSUB Stampa_v</t>
  </si>
  <si>
    <t>78630 Str$="     R045 ="</t>
  </si>
  <si>
    <t>78640 Var=Ang_3h</t>
  </si>
  <si>
    <t>78650 Estr$=" ANG. RASTREMATURA"</t>
  </si>
  <si>
    <t>78660 Fstr$=" TESTA MOLA"</t>
  </si>
  <si>
    <t>78670 GOSUB Stampa_v</t>
  </si>
  <si>
    <t>78680                       END IF</t>
  </si>
  <si>
    <t>78700      Halb=Swmnm_h</t>
  </si>
  <si>
    <t>78710       IF Ra0 THEN</t>
  </si>
  <si>
    <t>78720                  Mr_s=Dwm0/Z0</t>
  </si>
  <si>
    <t>78730                  Passo=Mr_s*PI</t>
  </si>
  <si>
    <t>78740                  Smw=Passo/2</t>
  </si>
  <si>
    <t>78780                             H=ABS(Y_ah)</t>
  </si>
  <si>
    <t>78790                  IF (ABS(Y_nah)+(Ra_2h-Ra_2h*SIN(Apwmnmh)))&gt;=H THEN</t>
  </si>
  <si>
    <t>78820                  GOTO 78890</t>
  </si>
  <si>
    <t>78840                  ELSE</t>
  </si>
  <si>
    <t>78850                  Differenza=H-(ABS(Y_nah)+(Ra_2h-Ra_2h*SIN(Apwmnmh)))</t>
  </si>
  <si>
    <t>78860                  Diff=1</t>
  </si>
  <si>
    <t>78870                  N_ynah=ABS(Y_nah)+Differenza+.05</t>
  </si>
  <si>
    <t>78880                  END IF</t>
  </si>
  <si>
    <t>78900       IF Elic THEN</t>
  </si>
  <si>
    <t>78910                  Passo=Passo*COS(Aelwm0_eff)</t>
  </si>
  <si>
    <t>78920                  Smw=Passo/2</t>
  </si>
  <si>
    <t>78930       END IF</t>
  </si>
  <si>
    <t>78940       ELSE</t>
  </si>
  <si>
    <t>78950                  Smw=X_ah</t>
  </si>
  <si>
    <t>78960       END IF</t>
  </si>
  <si>
    <t>78980 PRINT</t>
  </si>
  <si>
    <t>78990 PRINT</t>
  </si>
  <si>
    <t>79000 PRINT "                       -------------------------------     "</t>
  </si>
  <si>
    <t>79010 PRINT "                 ------ PARAMETRI MOLA FIANCO DESTRO   ------"</t>
  </si>
  <si>
    <t>79020 PRINT "                       --------------------------------    "</t>
  </si>
  <si>
    <t>79030 PRINT</t>
  </si>
  <si>
    <t>79040 PRINT</t>
  </si>
  <si>
    <t>79050 PRINT</t>
  </si>
  <si>
    <t>79070 Str$="     R050 ="</t>
  </si>
  <si>
    <t>79080 Var=Smw</t>
  </si>
  <si>
    <t>79090 Dstr$="     ________&gt;&gt;"</t>
  </si>
  <si>
    <t>79100 Estr$=" SEMISPESSORE del"</t>
  </si>
  <si>
    <t>79110 Fstr$="la MOLA (TEORICO)"</t>
  </si>
  <si>
    <t>79120 GOSUB Stampa_v</t>
  </si>
  <si>
    <t>79160 Str$="     R051 ="</t>
  </si>
  <si>
    <t>79170                         IF Chaxis=1 THEN</t>
  </si>
  <si>
    <t>79180                                        Var=(Hchange*TAN(Apwmnmh))+Halb</t>
  </si>
  <si>
    <t>79190                         ELSE</t>
  </si>
  <si>
    <t>79200                                        Var=Halb</t>
  </si>
  <si>
    <t>79210                         END IF</t>
  </si>
  <si>
    <t>79220 Estr$=" SEMISPESSORE"</t>
  </si>
  <si>
    <t>79230 Fstr$=" FIANCO"</t>
  </si>
  <si>
    <t>79240 GOSUB Stampa_v</t>
  </si>
  <si>
    <t>79270 Str$="     R052 ="</t>
  </si>
  <si>
    <t>79280 Estr$=" ADDENDUM MOLA"</t>
  </si>
  <si>
    <t>79290 Fstr$=""</t>
  </si>
  <si>
    <t>79300                     IF H_topp THEN</t>
  </si>
  <si>
    <t>79310                                  IF Chaxis=1 THEN</t>
  </si>
  <si>
    <t>79320                                                 Var=ABS(L_topp)+Hchange</t>
  </si>
  <si>
    <t>79330                                  ELSE</t>
  </si>
  <si>
    <t>79340                                                 Var=ABS(L_topp)</t>
  </si>
  <si>
    <t>79350                                  END IF</t>
  </si>
  <si>
    <t>79360                     ELSE</t>
  </si>
  <si>
    <t>79370                                  IF Chaxis=1 THEN</t>
  </si>
  <si>
    <t>79380                                                 Var=ABS(Y_hh)+Hchange</t>
  </si>
  <si>
    <t>79390                                  ELSE</t>
  </si>
  <si>
    <t>79400                                                 Var=ABS(Y_hh)</t>
  </si>
  <si>
    <t>79410                                  END IF</t>
  </si>
  <si>
    <t>79420                      END IF</t>
  </si>
  <si>
    <t>79440                      IF Dk1 THEN</t>
  </si>
  <si>
    <t>79450                                  IF Chaxis=1 THEN</t>
  </si>
  <si>
    <t>79460                                                 Var=ABS(Y_ht)+Hchange</t>
  </si>
  <si>
    <t>79470                                  ELSE</t>
  </si>
  <si>
    <t>79480                                                 Var=ABS(Y_ht)</t>
  </si>
  <si>
    <t>79490                                  END IF</t>
  </si>
  <si>
    <t>79500                       END IF</t>
  </si>
  <si>
    <t>79510 GOSUB Stampa_v</t>
  </si>
  <si>
    <t>79530 Str$="     R053 ="</t>
  </si>
  <si>
    <t>79540 Estr$=" DEDENDUM MOLA"</t>
  </si>
  <si>
    <t>79550                                  IF Chaxis=1 THEN</t>
  </si>
  <si>
    <t>79560                                                 Var=ABS(Y_ah)+Hchange</t>
  </si>
  <si>
    <t>79570                                  ELSE</t>
  </si>
  <si>
    <t>79580                                                 Var=ABS(Y_ah)</t>
  </si>
  <si>
    <t>79590                                  END IF</t>
  </si>
  <si>
    <t>79610 GOSUB Stampa_v</t>
  </si>
  <si>
    <t>79630 Str$="     R054 ="</t>
  </si>
  <si>
    <t>79640 Var=Apwmnmh*180/PI</t>
  </si>
  <si>
    <t>79650 Estr$=" ANG. PRESSIONE"</t>
  </si>
  <si>
    <t>79660 Fstr$=" ADDENDUM"</t>
  </si>
  <si>
    <t>79670 GOSUB Stampa_v</t>
  </si>
  <si>
    <t>79690 Str$="     R055 ="</t>
  </si>
  <si>
    <t>79700 Var=Apwmnmh*180/PI</t>
  </si>
  <si>
    <t>79710 Estr$=" ANG. PRESSIONE"</t>
  </si>
  <si>
    <t>79720 Fstr$=" DEDENDUM"</t>
  </si>
  <si>
    <t>79730 GOSUB Stampa_v</t>
  </si>
  <si>
    <t>79750                                    IF Dk1 THEN</t>
  </si>
  <si>
    <t>79760 PRINT</t>
  </si>
  <si>
    <t>79770 PRINT</t>
  </si>
  <si>
    <t>79780 PRINT "                   *********** SEMITOPPING ***************"</t>
  </si>
  <si>
    <t>79790 PRINT</t>
  </si>
  <si>
    <t>79800 Str$="     R056 ="</t>
  </si>
  <si>
    <t>79810                                IF Chaxis=1 THEN</t>
  </si>
  <si>
    <t>79820                                               Var=Hchange-ABS(Y_sh)</t>
  </si>
  <si>
    <t>79830                                ELSE</t>
  </si>
  <si>
    <t>79840                                               Var=ABS(Y_sh)</t>
  </si>
  <si>
    <t>79850                                END IF</t>
  </si>
  <si>
    <t>79860 Estr$=" ALTEZZA del"</t>
  </si>
  <si>
    <t>79870 Fstr$=" SEMITOPPING"</t>
  </si>
  <si>
    <t>79880 GOSUB Stampa_v</t>
  </si>
  <si>
    <t>79900 Str$="     R057 ="</t>
  </si>
  <si>
    <t>79910 Var=Apkwmnmh*180/PI</t>
  </si>
  <si>
    <t>79920 Estr$=" ANG. PRESSIONE"</t>
  </si>
  <si>
    <t>79930 GOSUB Stampa_v</t>
  </si>
  <si>
    <t>79940                                     END IF</t>
  </si>
  <si>
    <t>79960                                     IF Ra0 THEN</t>
  </si>
  <si>
    <t>79970 PRINT</t>
  </si>
  <si>
    <t>79980 PRINT</t>
  </si>
  <si>
    <t>79990 PRINT "                  ************  RAGGIO PIEDE MOLA **************"</t>
  </si>
  <si>
    <t>80000 PRINT</t>
  </si>
  <si>
    <t>80010 Str$="     R058 ="</t>
  </si>
  <si>
    <t>80020                        IF Diff=1 THEN</t>
  </si>
  <si>
    <t>80030                                     IF Chaxis=1 THEN</t>
  </si>
  <si>
    <t>80040                                                    Var=ABS(N_ynah)+Hchange</t>
  </si>
  <si>
    <t>80050                                     ELSE</t>
  </si>
  <si>
    <t>80060                                                    Var=ABS(N_ynah)</t>
  </si>
  <si>
    <t>80070                                     END IF</t>
  </si>
  <si>
    <t>80080                         ELSE</t>
  </si>
  <si>
    <t>80090                                     IF Chaxis=1 THEN</t>
  </si>
  <si>
    <t>80100                                                    Var=ABS(Y_nah)+Hchange</t>
  </si>
  <si>
    <t>80110                                     ELSE</t>
  </si>
  <si>
    <t>80120                                                    Var=ABS(Y_nah)</t>
  </si>
  <si>
    <t>80130                                     END IF</t>
  </si>
  <si>
    <t>80140                         END IF</t>
  </si>
  <si>
    <t>80150 Estr$=" ALTEZZA PUNTO di"</t>
  </si>
  <si>
    <t>80160 Fstr$=" TANGENZA RAGGIO 1"</t>
  </si>
  <si>
    <t>80170 GOSUB Stampa_v</t>
  </si>
  <si>
    <t>80190 Str$="     R059 ="</t>
  </si>
  <si>
    <t>80200 Var=Ra_2h</t>
  </si>
  <si>
    <t>80210 Estr$=" RAGGIO 1"</t>
  </si>
  <si>
    <t>80220 Fstr$=""</t>
  </si>
  <si>
    <t>80230 GOSUB Stampa_v</t>
  </si>
  <si>
    <t>80250 Str$="     R060 ="</t>
  </si>
  <si>
    <t>80260 Var=Ra_1h</t>
  </si>
  <si>
    <t>80270 Estr$=" RAGGIO 2"</t>
  </si>
  <si>
    <t>80280 GOSUB Stampa_v</t>
  </si>
  <si>
    <t>80290                                     IF Elic THEN</t>
  </si>
  <si>
    <t>80310 Str$="     R061 ="</t>
  </si>
  <si>
    <t>80320 Var=Ang_h*180/PI</t>
  </si>
  <si>
    <t>80330 Estr$=" ANG. RASTREMATURA"</t>
  </si>
  <si>
    <t>80340 Fstr$=" PIEDE MOLA"</t>
  </si>
  <si>
    <t>80350 GOSUB Stampa_v</t>
  </si>
  <si>
    <t>80360                                     END IF</t>
  </si>
  <si>
    <t>80370                                     END IF</t>
  </si>
  <si>
    <t>80390                                     IF H_pzepm_t THEN</t>
  </si>
  <si>
    <t>80400 PRINT</t>
  </si>
  <si>
    <t>80410 PRINT</t>
  </si>
  <si>
    <t>80420 PRINT "                  ************* PROTUBERANZA ***************"</t>
  </si>
  <si>
    <t>80430 PRINT</t>
  </si>
  <si>
    <t>80450 Str$="     R066 ="</t>
  </si>
  <si>
    <t>80460                                     IF Chaxis=1 THEN</t>
  </si>
  <si>
    <t>80470                                                    Var=ABS(Y_npzh)+Hchange</t>
  </si>
  <si>
    <t>80480                                     ELSE</t>
  </si>
  <si>
    <t>80490                                                    Var=ABS(Y_npzh)</t>
  </si>
  <si>
    <t>80500                                     END IF</t>
  </si>
  <si>
    <t>80510 Estr$=" ALTEZZA INIZIO"</t>
  </si>
  <si>
    <t>80520 Fstr$=" PROTUBERANZA"</t>
  </si>
  <si>
    <t>80530 GOSUB Stampa_v</t>
  </si>
  <si>
    <t>80550 Str$="     R067 ="</t>
  </si>
  <si>
    <t>80560 Var=Apwhpzepm_h*180/PI</t>
  </si>
  <si>
    <t>80570 Estr$=" ANG. PRESSIONE"</t>
  </si>
  <si>
    <t>80580 GOSUB Stampa_v</t>
  </si>
  <si>
    <t>80590                                    END IF</t>
  </si>
  <si>
    <t>80610                                    IF LEN(Tr$) THEN</t>
  </si>
  <si>
    <t>80620 PRINT</t>
  </si>
  <si>
    <t>80630 PRINT</t>
  </si>
  <si>
    <t>80640 PRINT "                  *************** RAGGIO TESTA MOLA ************"</t>
  </si>
  <si>
    <t>80650 PRINT</t>
  </si>
  <si>
    <t>80660 Str$="     R062 ="</t>
  </si>
  <si>
    <t>80670 Var=0</t>
  </si>
  <si>
    <t>80680 Estr$=" ALTEZZA PUNTO"</t>
  </si>
  <si>
    <t>80690 Fstr$=" TANGENZA R3"</t>
  </si>
  <si>
    <t>80700 GOSUB Stampa_v</t>
  </si>
  <si>
    <t>80720 Str$="     R063 ="</t>
  </si>
  <si>
    <t>80730 Var=Ra_3h</t>
  </si>
  <si>
    <t>80740 Estr$=" RAGGIO 3"</t>
  </si>
  <si>
    <t>80750 Fstr$=""</t>
  </si>
  <si>
    <t>80760 GOSUB Stampa_v</t>
  </si>
  <si>
    <t>80780 Str$="     R064 ="</t>
  </si>
  <si>
    <t>80790 Var=Ra_4h</t>
  </si>
  <si>
    <t>80800 Estr$=" RAGGIO 4"</t>
  </si>
  <si>
    <t>80810 GOSUB Stampa_v</t>
  </si>
  <si>
    <t>80830 Str$="     R065 ="</t>
  </si>
  <si>
    <t>80840 Var=Ang_3h</t>
  </si>
  <si>
    <t>80850 Estr$=" ANG. RASTREMATURA"</t>
  </si>
  <si>
    <t>80860 Fstr$=" TESTA MOLA"</t>
  </si>
  <si>
    <t>80870 GOSUB Stampa_v</t>
  </si>
  <si>
    <t>80900                                   END IF</t>
  </si>
  <si>
    <t>80930 END IF</t>
  </si>
  <si>
    <t>80950       PRINTER IS PRT</t>
  </si>
  <si>
    <t>80960       PRINTER IS CRT</t>
  </si>
  <si>
    <t>80970       WAIT 8</t>
  </si>
  <si>
    <t>80980       CONFIGURE DUMP TO "WIN-DUMP"</t>
  </si>
  <si>
    <t>80990       GOTO Titolo</t>
  </si>
  <si>
    <t>81010            PRINT USING "K,3D.3D,K,K,K";Str$,ABS(Var),Dstr$,Estr$,Fstr$</t>
  </si>
  <si>
    <t>81020            RETURN</t>
  </si>
  <si>
    <t>81060   OUTPUT 2;Clear$;</t>
  </si>
  <si>
    <t>81080 ASSIGN @Plot TO *            ! @@@@ CHISURA FILE  @@@@</t>
  </si>
  <si>
    <t>81100   SUBEND</t>
  </si>
  <si>
    <t>81120   SUB Stampa_dati</t>
  </si>
  <si>
    <t>81140  OFF KEY</t>
  </si>
  <si>
    <t>81150   OPTION BASE 1</t>
  </si>
  <si>
    <t>81160   DISP "INTRODURRE IL DISEGNO PRESTAMPATO NEL PLOTTER "</t>
  </si>
  <si>
    <t>81170   ENTER 2;A$</t>
  </si>
  <si>
    <t>81180   OUTPUT 2;Clear$;</t>
  </si>
  <si>
    <t>81190 COM Progettista$,Clear$,Home$,Cliente$,Dis$,K1$,Dp$,Mn$,Mt$,Apn$,Apt$,Apkn$,Ael$,Sen_el$,Senso$,N_ingr$,N_sag$,Topping$,Lavor$,Work$,Tip_colt$,Work_b$,Work_c$,Fgtorn$,Tip_colt1$,Carkey$,Rf1p$,Rasap$,Dk1_f$,Apktprt$,Tetaprt$</t>
  </si>
  <si>
    <t>81200 COM REAL Sp,Mn,Mt,Ael,Apn,Apt,Db1,Da1,Df1,Dnf1,Dnf1_pr,Dk1,Apkn,Apkt,Sn1,St1,St1_f,En1,Et1,Skt1,Skn1,Psbt1,X1,W1,Dm,Mdk,Sykes,D_topp,X_hap,X_hfp,X1mn,Dk1_f,Rf1p,Prtmdk,Prtw,Prtsps,Dk1_f1</t>
  </si>
  <si>
    <t>81210 COM REAL Mwt,Da0,Dna0,Da0t,Pskbt1,Db0h,Db0t,Dkb0,D_stc_f,D_stc_i,Ra0,X_max,Swmt0,San0,Skwmt0,Dwm0,Apkwtm,Inv_apt,Gm,Zeta_h,Zeta_t,Zeta_kb_f,Dv0</t>
  </si>
  <si>
    <t>81220 COM INTEGER Z1,Z0,K1,Int,Elic,Std,Centro,Protuberanzap</t>
  </si>
  <si>
    <t>81230 COM /Dati_ep/ REAL Dkb0h,Dkb0t,Psep_kb0h,Psep_kb0t,Psep_b0h,Psep_b0t,Da0_ep,Da0_ept,Da0_eph,H_pzepm_t,H_pzepm_h</t>
  </si>
  <si>
    <t>81240 COM /Mola/ REAL Swmnm_h,Swmnm_t,Skwmnm_h,Skwmnm_t,Apwmnmh,Apwmnmt,Apkwmnmh,Apkwmnmt,Xep0h_max,Xep0t_max,Gm_eph,Gm_ept,Aelwm0,Df0,Teta,Tau</t>
  </si>
  <si>
    <t>81250 COM /Str_dati_ut/Tau$,Zeta_h$,Zeta_t$,Aelwm0$,Teta$,Apwmnmt$,Apwmnmh$,Apkwmnmt$,Apkwmnmh$,Aelb0h_m$,Aelb0t_m$,Part$</t>
  </si>
  <si>
    <t>81260 COM /Dati_ut_dis/ REAL Prtz,Hab,H_ra0,H_vn0,Hk0,S_vn0,Dk0,X0,X_hap0,W0,K,H_ut,H_err_max,Err_max,Err_max_dk,L_ut,Pz0,Pz0_h,Pz0_t,Pbt,Eta</t>
  </si>
  <si>
    <t>81270 COM /Collaudo/ REAL Db0h_m,Db0t_m,Fha_h,Fha_t,Alfa_e_h,Alfa_e_t,Aelb0h,Aelb0t,Gioco,Inesistente,Dx_inesistente,Sx_inesistente,Dna1_2</t>
  </si>
  <si>
    <t>81280 COM /Plot/@Plot,File$[80],Prima,Raps,Ang_piv,Lorg,Csize,Ldir</t>
  </si>
  <si>
    <t>81300          INTEGER G,Mi,S</t>
  </si>
  <si>
    <t>81310           Ang=Eta</t>
  </si>
  <si>
    <t>81320           CALL Rad_gms(Ang,G,Mi,S)</t>
  </si>
  <si>
    <t>81330           Eta$=VAL$(G)&amp;"°"</t>
  </si>
  <si>
    <t>81340           DIM Lingua$[8]</t>
  </si>
  <si>
    <t>81360             DISP "ATTENZIONE NON SONO STATI INSERITI I NUMERI DI SAGOMA e INGRANDIMENTO !!! [NO / CONTINUA]"</t>
  </si>
  <si>
    <t>81380             LINPUT "INTRODURRE IL NUMERO DI INGRANDIMENTO da STAMPARE",N_ingr$</t>
  </si>
  <si>
    <t>81390             LINPUT "INTRODURRE IL NUMERO DI SAGOMA da STAMPARE",N_sag$</t>
  </si>
  <si>
    <t>81640     DIM Tip_lav$[15]</t>
  </si>
  <si>
    <t>81660     DISP "Premere la SOFTKEY relativa al tipo di lavorazione"</t>
  </si>
  <si>
    <t>81670     ON KEY 1 LABEL "FINITORE" GOTO Finitore</t>
  </si>
  <si>
    <t>81680     ON KEY 2 LABEL "PRERASATORE" GOTO Preras</t>
  </si>
  <si>
    <t>81690     ON KEY 3 LABEL "PRERETTIFICA" GOTO Preret</t>
  </si>
  <si>
    <t>81700     ON KEY 4 LABEL "SGROSSATORE" GOTO Sgros</t>
  </si>
  <si>
    <t>81710     ON KEY 9 LABEL "PELATORE" GOTO Pelat</t>
  </si>
  <si>
    <t>81720     ON KEY 5 LABEL "SEMITOPPING" GOTO Semit</t>
  </si>
  <si>
    <t>81730     ON KEY 6 LABEL "TOPPING" GOTO Topp</t>
  </si>
  <si>
    <t>81740     ON KEY 7 LABEL "PROTUBERANZA" GOTO Prot</t>
  </si>
  <si>
    <t>81760     ON KEY 8 LABEL "  USCITA" GOTO Tip_colt</t>
  </si>
  <si>
    <t>81810         SELECT Lingua$</t>
  </si>
  <si>
    <t>81820                      CASE "ITALIANO"</t>
  </si>
  <si>
    <t>81830                                    Lavor$="FINITORE"</t>
  </si>
  <si>
    <t>81840                      CASE "TEDESCO"</t>
  </si>
  <si>
    <t>81850                                    Lavor$="FERTIGER"</t>
  </si>
  <si>
    <t>81860                      CASE "INGLESE"</t>
  </si>
  <si>
    <t>81870                                    Lavor$="FINISHING"</t>
  </si>
  <si>
    <t>81880         END SELECT</t>
  </si>
  <si>
    <t>81890         GOTO Tip_lav</t>
  </si>
  <si>
    <t>81910         SELECT Lingua$</t>
  </si>
  <si>
    <t>81920                       CASE "ITALIANO"</t>
  </si>
  <si>
    <t>81930                                     Lavor$="PRERASATORE"</t>
  </si>
  <si>
    <t>81940                       CASE "TEDESCO"</t>
  </si>
  <si>
    <t>81950                                     Lavor$="VORSCHABER"</t>
  </si>
  <si>
    <t>81960                       CASE "INGLESE"</t>
  </si>
  <si>
    <t>81970                                     Lavor$="PRE-SHAVING"</t>
  </si>
  <si>
    <t>81980         END SELECT</t>
  </si>
  <si>
    <t>81990       GOTO Tip_lav</t>
  </si>
  <si>
    <t>82010         SELECT Lingua$</t>
  </si>
  <si>
    <t>82020                       CASE "ITALIANO"</t>
  </si>
  <si>
    <t>82030                                     Lavor$="PRERETTIFICA"</t>
  </si>
  <si>
    <t>82040                       CASE "TEDESCO"</t>
  </si>
  <si>
    <t>82050                                     Lavor$="VORSCHLEIFER"</t>
  </si>
  <si>
    <t>82060                       CASE "INGLESE"</t>
  </si>
  <si>
    <t>82070                                     Lavor$="PRE-GRINDING"</t>
  </si>
  <si>
    <t>82080         END SELECT</t>
  </si>
  <si>
    <t>82090       GOTO Tip_lav</t>
  </si>
  <si>
    <t>82110         SELECT Lingua$</t>
  </si>
  <si>
    <t>82120                       CASE "ITALIANO"</t>
  </si>
  <si>
    <t>82130                                     Lavor$="SGROSSATORE"</t>
  </si>
  <si>
    <t>82140                       CASE "TEDESCO"</t>
  </si>
  <si>
    <t>82150                                     Lavor$="SCHRUPPER"</t>
  </si>
  <si>
    <t>82160                       CASE "INGLESE"</t>
  </si>
  <si>
    <t>82170                                     Lavor$="ROUGHER"</t>
  </si>
  <si>
    <t>82180         END SELECT</t>
  </si>
  <si>
    <t>82190      GOTO Tip_lav</t>
  </si>
  <si>
    <t>82210         SELECT Lingua$</t>
  </si>
  <si>
    <t>82220                       CASE "ITALIANO"</t>
  </si>
  <si>
    <t>82230                                      Lavor$="PELATORE"</t>
  </si>
  <si>
    <t>82240                       CASE "TEDESCO"</t>
  </si>
  <si>
    <t>82250                                      Lavor$="SCHAELER"</t>
  </si>
  <si>
    <t>82260                       CASE "INGLESE"</t>
  </si>
  <si>
    <t>82270                                      Lavor$="SKIVING"</t>
  </si>
  <si>
    <t>82280         END SELECT</t>
  </si>
  <si>
    <t>82290      GOTO Tip_lav</t>
  </si>
  <si>
    <t>82310         SELECT Lingua$</t>
  </si>
  <si>
    <t>82320                       CASE "ITALIANO"</t>
  </si>
  <si>
    <t>82330                                     Work$="-Semitopping"</t>
  </si>
  <si>
    <t>82340                       CASE "TEDESCO"</t>
  </si>
  <si>
    <t>82350                                     Work$="-Kantenbrecher"</t>
  </si>
  <si>
    <t>82360                       CASE "INGLESE"</t>
  </si>
  <si>
    <t>82370                                     Work$="-Chamfering"</t>
  </si>
  <si>
    <t>82380         END SELECT</t>
  </si>
  <si>
    <t>82390      GOTO Tip_lav</t>
  </si>
  <si>
    <t>82410         SELECT Lingua$</t>
  </si>
  <si>
    <t>82420                       CASE "ITALIANO"</t>
  </si>
  <si>
    <t>82430                                     Work_b$="-Topping"</t>
  </si>
  <si>
    <t>82440                                     Topping$="tt"</t>
  </si>
  <si>
    <t>82450                       CASE "TEDESCO"</t>
  </si>
  <si>
    <t>82460                                     Work_b$="-Ueberschneider"</t>
  </si>
  <si>
    <t>82470                       CASE "INGLESE"</t>
  </si>
  <si>
    <t>82480                                     Work_b$="-Topping"</t>
  </si>
  <si>
    <t>82490         END SELECT</t>
  </si>
  <si>
    <t>82500     GOTO Tip_lav</t>
  </si>
  <si>
    <t>82530        SELECT Lingua$</t>
  </si>
  <si>
    <t>82540                     CASE "ITALIANO"</t>
  </si>
  <si>
    <t>82550                                    Work_c$="-Protuberanza"</t>
  </si>
  <si>
    <t>82560                     CASE "TEDESCO"</t>
  </si>
  <si>
    <t>82570                                    Work_c$="-Protuberanz"</t>
  </si>
  <si>
    <t>82580                     CASE "INGLESE"</t>
  </si>
  <si>
    <t>82590                                    Work_c$="-Protuberance"</t>
  </si>
  <si>
    <t>82600        END SELECT</t>
  </si>
  <si>
    <t>82610     GOTO Tip_lav</t>
  </si>
  <si>
    <t>82640         LINPUT "DIGITARE IL TIPO DI LAVORAZIONE",Lavor$</t>
  </si>
  <si>
    <t>82650         LINPUT "DIGITARE L'EVENTUALE CARATTERISTICA  AGGIUNTIVA",Work$</t>
  </si>
  <si>
    <t>82660         GOTO Tip_colt</t>
  </si>
  <si>
    <t>82690     OFF KEY</t>
  </si>
  <si>
    <t>82700     ON KEY 5 LABEL "A SCELTA" GOTO Scelta</t>
  </si>
  <si>
    <t>82710     ON KEY 8 LABEL "  USCITA" GOTO Tip_colt1</t>
  </si>
  <si>
    <t>82760     OFF KEY</t>
  </si>
  <si>
    <t>82790 DISP "Premere la SOFTKEY relativa al tipo di utensile"</t>
  </si>
  <si>
    <t>82810       ON KEY 1 LABEL "DISCO" GOTO Disco</t>
  </si>
  <si>
    <t>82820       ON KEY 2 LABEL "CAMPANA" GOTO Campana</t>
  </si>
  <si>
    <t>82830       ON KEY 3 LABEL "CODOLO" GOTO Codolo</t>
  </si>
  <si>
    <t>82840       ON KEY 4 LABEL "MOZZO" GOTO Mozzo</t>
  </si>
  <si>
    <t>82850       ON KEY 5 LABEL "SEMICAMPANA" GOTO S_campana</t>
  </si>
  <si>
    <t>82860       ON KEY 6 LABEL "TIPO  SYKES" GOTO Sykes</t>
  </si>
  <si>
    <t>82870       ON KEY 7 LABEL "DIVERSO" GOTO Digit</t>
  </si>
  <si>
    <t>82920          GOTO Fori</t>
  </si>
  <si>
    <t>82940       Sykes=1</t>
  </si>
  <si>
    <t>82950       GOTO Tip_colt</t>
  </si>
  <si>
    <t>82970       SELECT Lingua$</t>
  </si>
  <si>
    <t>82980                    CASE "ITALIANO"</t>
  </si>
  <si>
    <t>82990                                  Tip_colt$="DISCO"</t>
  </si>
  <si>
    <t>83000                                  Tip_colt1$="DISCO"</t>
  </si>
  <si>
    <t>83010                    CASE "TEDESCO"</t>
  </si>
  <si>
    <t>83020                                  Tip_colt$="Scheibenschneidrad"</t>
  </si>
  <si>
    <t>83030                    CASE "INGLESE"</t>
  </si>
  <si>
    <t>83040                                  Tip_colt$="DISC"</t>
  </si>
  <si>
    <t>83050       END SELECT</t>
  </si>
  <si>
    <t>83080       SELECT (Mt*Z0)</t>
  </si>
  <si>
    <t>83090                    CASE &lt;=63.49</t>
  </si>
  <si>
    <t>83100                                  Cod_colt$="2DS"</t>
  </si>
  <si>
    <t>83110                    CASE &lt;=88.89</t>
  </si>
  <si>
    <t>83120                                  Cod_colt$="3DS"</t>
  </si>
  <si>
    <t>83130                    CASE &lt;=114.29</t>
  </si>
  <si>
    <t>83140                                  Cod_colt$="4DS"</t>
  </si>
  <si>
    <t>83150                    CASE &lt;=139.69</t>
  </si>
  <si>
    <t>83160                                  Cod_colt$="5DS"</t>
  </si>
  <si>
    <t>83170                    CASE &lt;=165.09</t>
  </si>
  <si>
    <t>83180                                  Cod_colt$="6DS"</t>
  </si>
  <si>
    <t>83190                    CASE &lt;=190.49</t>
  </si>
  <si>
    <t>83200                                  Cod_colt$="7DS"</t>
  </si>
  <si>
    <t>83210                    CASE &gt;=190.5</t>
  </si>
  <si>
    <t>83220                                  Cod_colt$="8+DS"</t>
  </si>
  <si>
    <t>83230      END SELECT</t>
  </si>
  <si>
    <t>83250      GOTO Fori</t>
  </si>
  <si>
    <t>83270        SELECT Lingua$</t>
  </si>
  <si>
    <t>83280                     CASE "ITALIANO"</t>
  </si>
  <si>
    <t>83290                                   Tip_colt$="CAMPANA"</t>
  </si>
  <si>
    <t>83300                                   Tip_colt1$="CAMPANA"</t>
  </si>
  <si>
    <t>83310                     CASE "TEDESCO"</t>
  </si>
  <si>
    <t>83320                                   Tip_colt$="Glockenschneidrad"</t>
  </si>
  <si>
    <t>83330                     CASE "INGLESE"</t>
  </si>
  <si>
    <t>83340                                   Tip_colt$="EBB"</t>
  </si>
  <si>
    <t>83350        END SELECT</t>
  </si>
  <si>
    <t>83390       SELECT (Mt*Z0)</t>
  </si>
  <si>
    <t>83400                    CASE &lt;=63.49</t>
  </si>
  <si>
    <t>83410                                  Cod_colt$="2CM"</t>
  </si>
  <si>
    <t>83420                    CASE &lt;=88.89</t>
  </si>
  <si>
    <t>83430                                  Cod_colt$="3CM"</t>
  </si>
  <si>
    <t>83440                    CASE &lt;=114.29</t>
  </si>
  <si>
    <t>83450                                  Cod_colt$="4CM"</t>
  </si>
  <si>
    <t>83460                    CASE &lt;=139.69</t>
  </si>
  <si>
    <t>83470                                  Cod_colt$="5CM"</t>
  </si>
  <si>
    <t>83480                    CASE &lt;=165.09</t>
  </si>
  <si>
    <t>83490                                  Cod_colt$="6CM"</t>
  </si>
  <si>
    <t>83500                    CASE &lt;=190.49</t>
  </si>
  <si>
    <t>83510                                  Cod_colt$="7CM"</t>
  </si>
  <si>
    <t>83520                    CASE &gt;=190.5</t>
  </si>
  <si>
    <t>83530                                  Cod_colt$="8+CM"</t>
  </si>
  <si>
    <t>83540      END SELECT</t>
  </si>
  <si>
    <t>83560        GOTO Fori</t>
  </si>
  <si>
    <t>83580           SELECT Lingua$</t>
  </si>
  <si>
    <t>83590                        CASE "ITALIANO"</t>
  </si>
  <si>
    <t>83600                                     Tip_colt$="semiCAMPANA"</t>
  </si>
  <si>
    <t>83610                                     Tip_colt1$="semiCAMPANA"</t>
  </si>
  <si>
    <t>83620                        CASE "TEDESCO"</t>
  </si>
  <si>
    <t>83630                                     Tip_colt$="Glockenschneidrad"</t>
  </si>
  <si>
    <t>83640                        CASE "INGLESE"</t>
  </si>
  <si>
    <t>83650                                     Tip_colt$="           "</t>
  </si>
  <si>
    <t>83660         END SELECT</t>
  </si>
  <si>
    <t>83700       SELECT (Mt*Z0)</t>
  </si>
  <si>
    <t>83710                    CASE &lt;=63.49</t>
  </si>
  <si>
    <t>83720                                  Cod_colt$="2SCM"</t>
  </si>
  <si>
    <t>83730                    CASE &lt;=88.89</t>
  </si>
  <si>
    <t>83740                                  Cod_colt$="3SCM"</t>
  </si>
  <si>
    <t>83750                    CASE &lt;=114.29</t>
  </si>
  <si>
    <t>83760                                  Cod_colt$="4SCM"</t>
  </si>
  <si>
    <t>83770                    CASE &lt;=139.69</t>
  </si>
  <si>
    <t>83780                                  Cod_colt$="5SCM"</t>
  </si>
  <si>
    <t>83790                    CASE &lt;=165.09</t>
  </si>
  <si>
    <t>83800                                  Cod_colt$="6SCM"</t>
  </si>
  <si>
    <t>83810                    CASE &lt;=190.49</t>
  </si>
  <si>
    <t>83820                                  Cod_colt$="7SCM"</t>
  </si>
  <si>
    <t>83830                    CASE &gt;=190.5</t>
  </si>
  <si>
    <t>83840                                  Cod_colt$="8+SCM"</t>
  </si>
  <si>
    <t>83850      END SELECT</t>
  </si>
  <si>
    <t>83870         GOTO Fori</t>
  </si>
  <si>
    <t>83900        SELECT Lingua$</t>
  </si>
  <si>
    <t>83910                     CASE "ITALIANO"</t>
  </si>
  <si>
    <t>83920                                   Tip_colt$="CODOLO"</t>
  </si>
  <si>
    <t>83930                                   Tip_colt1$="CODOLO"</t>
  </si>
  <si>
    <t>83940                     CASE "TEDESCO"</t>
  </si>
  <si>
    <t>83950                                   Tip_colt$="Schaftschneidrad"</t>
  </si>
  <si>
    <t>83960                     CASE "INGLESE"</t>
  </si>
  <si>
    <t>83970                                   Tip_colt$="SHANK"</t>
  </si>
  <si>
    <t>83980        END SELECT</t>
  </si>
  <si>
    <t>84000        Cod_colt$="COD"</t>
  </si>
  <si>
    <t>84010        Printcodolo=1</t>
  </si>
  <si>
    <t>84020       GOTO Fori</t>
  </si>
  <si>
    <t>84040        SELECT Lingua$</t>
  </si>
  <si>
    <t>84050                     CASE "ITALIANO"</t>
  </si>
  <si>
    <t>84060                                    Tip_colt$="MOZZO"</t>
  </si>
  <si>
    <t>84070                     CASE "TEDESCO"</t>
  </si>
  <si>
    <t>84080                                    Tip_colt$="Halschneidrad"</t>
  </si>
  <si>
    <t>84090                     CASE "INGLESE"</t>
  </si>
  <si>
    <t>84100                                    Tip_colt$="HUB"</t>
  </si>
  <si>
    <t>84110        END SELECT</t>
  </si>
  <si>
    <t>84130        Cod_colt$="MZ"</t>
  </si>
  <si>
    <t>84150     OFF KEY</t>
  </si>
  <si>
    <t>84160 DIM Foro_cono$[10]</t>
  </si>
  <si>
    <t>84170 DIM Fill_cono$[8]</t>
  </si>
  <si>
    <t>84190 DISP "Premere la SOFTKEY relativa al FORO o CONO prescelto"</t>
  </si>
  <si>
    <t>84220       ON KEY 1 LABEL "FORO 31.75" GOTO Foro_p</t>
  </si>
  <si>
    <t>84230       ON KEY 2 LABEL "FORO 44.45" GOTO Foro_g</t>
  </si>
  <si>
    <t>84240       ON KEY 3 LABEL "FORI VARI" GOTO Vari_f</t>
  </si>
  <si>
    <t>84250 IF Cod_colt$="COD" THEN</t>
  </si>
  <si>
    <t>84260                       ON KEY 1 LABEL "" GOTO Jump1</t>
  </si>
  <si>
    <t>84270                       ON KEY 2 LABEL "" GOTO Jump1</t>
  </si>
  <si>
    <t>84280                       ON KEY 3 LABEL "" GOTO Jump1</t>
  </si>
  <si>
    <t>84290                       ON KEY 4 LABEL "CONI==&gt;&gt;&gt;" GOTO Coni</t>
  </si>
  <si>
    <t>84300 END IF</t>
  </si>
  <si>
    <t xml:space="preserve">84340 Coni:               ! </t>
  </si>
  <si>
    <t>84350       OFF KEY</t>
  </si>
  <si>
    <t>84380       ON KEY 1 LABEL "MORSE N.1" GOTO Morse_a</t>
  </si>
  <si>
    <t>84390       ON KEY 2 LABEL "MORSE N.2" GOTO Morse_b</t>
  </si>
  <si>
    <t>84400       ON KEY 3 LABEL "MORSE N.3" GOTO Morse_c</t>
  </si>
  <si>
    <t>84410       ON KEY 4 LABEL "MORSE N.4" GOTO Morse_d</t>
  </si>
  <si>
    <t>84420       ON KEY 5 LABEL "MORSE 4 LTV" GOTO Morse_lvt</t>
  </si>
  <si>
    <t>84430       ON KEY 6 LABEL "FELLOWS" GOTO Fellows</t>
  </si>
  <si>
    <t>84480            GOTO H_lu</t>
  </si>
  <si>
    <t>84510            GOTO H_lu</t>
  </si>
  <si>
    <t>84540            L_cono=30</t>
  </si>
  <si>
    <t>84550            D_cono=12.06</t>
  </si>
  <si>
    <t>84560            Fill_cono$="M 5"</t>
  </si>
  <si>
    <t>84570            L_fill=16</t>
  </si>
  <si>
    <t>84580            GOTO H_lu</t>
  </si>
  <si>
    <t>84610            L_cono=40</t>
  </si>
  <si>
    <t>84620            D_cono=17.98</t>
  </si>
  <si>
    <t>84630            Fill_cono$="M 6"</t>
  </si>
  <si>
    <t>84640            L_fill=24</t>
  </si>
  <si>
    <t>84650            GOTO H_lu</t>
  </si>
  <si>
    <t>84680            L_cono=40</t>
  </si>
  <si>
    <t>84690            D_cono=23.84</t>
  </si>
  <si>
    <t>84700            Fill_cono$="M 10"</t>
  </si>
  <si>
    <t>84710            L_fill=28</t>
  </si>
  <si>
    <t>84720            GOTO H_lu</t>
  </si>
  <si>
    <t>84760     Cono$="MORSE Kegel 4"</t>
  </si>
  <si>
    <t>84780            L_cono=71</t>
  </si>
  <si>
    <t>84790            D_cono=31.27</t>
  </si>
  <si>
    <t>84800            Fill_cono$="M 16"</t>
  </si>
  <si>
    <t>84810            L_fill=32</t>
  </si>
  <si>
    <t>84820            Sw=20</t>
  </si>
  <si>
    <t>84830            Lsw20=3</t>
  </si>
  <si>
    <t>84840            Fgtorn$="1912"</t>
  </si>
  <si>
    <t>84850            GOTO H_lu</t>
  </si>
  <si>
    <t>84890            OFF KEY</t>
  </si>
  <si>
    <t>84900            DISP "CONO MORSE 4 SCEGLIERE IL TIPO"</t>
  </si>
  <si>
    <t>84920            ON KEY 1 LABEL "CON BATTUTA" GOTO Flangia</t>
  </si>
  <si>
    <t>84930            ON KEY 2 LABEL "CORTO" GOTO Corto</t>
  </si>
  <si>
    <t>84940            ON KEY 4 LABEL "LUNGO" GOTO Lungo</t>
  </si>
  <si>
    <t>85000       L_cono=40</t>
  </si>
  <si>
    <t>85010       D_cono=31.27</t>
  </si>
  <si>
    <t>85020       Fill_cono$="M 12"</t>
  </si>
  <si>
    <t>85030       L_fill=26</t>
  </si>
  <si>
    <t>85040       GOTO H_lu</t>
  </si>
  <si>
    <t>85070       L_cono=72</t>
  </si>
  <si>
    <t>85080       D_cono=31.54</t>
  </si>
  <si>
    <t>85090       Fill_cono$="M 16"</t>
  </si>
  <si>
    <t>85100       L_fill=32</t>
  </si>
  <si>
    <t>85110       GOTO H_lu</t>
  </si>
  <si>
    <t>85140         L_cono=67</t>
  </si>
  <si>
    <t>85150         D_cono=31.06</t>
  </si>
  <si>
    <t>85160         D_batt=44</t>
  </si>
  <si>
    <t>85170         Fill_cono$="M 16"</t>
  </si>
  <si>
    <t>85180         L_fill=36</t>
  </si>
  <si>
    <t>85190         GOTO H_lu</t>
  </si>
  <si>
    <t>85220            D_cono=27</t>
  </si>
  <si>
    <t>85230            OFF KEY</t>
  </si>
  <si>
    <t>85240            DISP "CONO FELLOWS DIMENSIONAMENTO EUROPEO O AMERICANO ?"</t>
  </si>
  <si>
    <t>85260            ON KEY 5 LABEL "AMERICANO" GOTO Americ</t>
  </si>
  <si>
    <t>85270            ON KEY 8 LABEL "DIN" GOTO Europ</t>
  </si>
  <si>
    <t>85320            L_cono=38.1</t>
  </si>
  <si>
    <t>85330            Fill_cono$="1/4*20"</t>
  </si>
  <si>
    <t>85340            L_fill=21</t>
  </si>
  <si>
    <t>85350            GOTO H_lu</t>
  </si>
  <si>
    <t>85380            L_cono=39</t>
  </si>
  <si>
    <t>85390            Fill_cono$="M 12"</t>
  </si>
  <si>
    <t>85400            L_fill=28</t>
  </si>
  <si>
    <t>85410            GOTO H_lu</t>
  </si>
  <si>
    <t>85440            GOTO H_lu</t>
  </si>
  <si>
    <t>85460            INPUT "INTRODURRE IL DIAMETRO DEL CONO [No Cono=CONTINUE]",D_cono</t>
  </si>
  <si>
    <t>85470            INPUT "INTRODURRE LA LUNGHEZZA DEL CONO",L_cono</t>
  </si>
  <si>
    <t>85480            LINPUT "INTRODURRE IL TIPO DI FILETTO ",Fill_cono$</t>
  </si>
  <si>
    <t>85490            INPUT "INTRODURRE LA LUNGHEZZA DEL FILETTO",L_fill</t>
  </si>
  <si>
    <t>85520           IF D_cono&gt;Da0t THEN</t>
  </si>
  <si>
    <t>85530                              Da0_max=D_cono</t>
  </si>
  <si>
    <t>85540           ELSE</t>
  </si>
  <si>
    <t>85550                              Da0_max=Da0t</t>
  </si>
  <si>
    <t>85560           END IF</t>
  </si>
  <si>
    <t>85580     Peso=(Da0_max+6)^2*(H_l+6)*.0000063</t>
  </si>
  <si>
    <t>85590     Peso=DROUND(Peso,3)</t>
  </si>
  <si>
    <t>85610     LINPUT "INTRODURRE LA TOLLERANZA DEL DIAMETRO ESTERNO UTENSILE [Rif.+/-.05]",Toll_diam$</t>
  </si>
  <si>
    <t>85620     IF Toll_diam$="" THEN Toll_diam$="+/- 0.05"</t>
  </si>
  <si>
    <t>85640 IF Dk1 THEN LINPUT "INTODURRE LA TOLLERANZA DELL'ALTEZZA RADIALE DEL SEMITOPPING [Rif.+/-.03]",Toll_hk0$</t>
  </si>
  <si>
    <t>85650     IF Toll_hk0$="" THEN Toll_hk0$="+/- 0.03"</t>
  </si>
  <si>
    <t>85670     IF LEN(Topping$) THEN LINPUT "INTRODURRE LA TOLLERANZA DEL DIAMETRO TOPPING ?  [Rif.+/- 0.02]",Toll_topp$</t>
  </si>
  <si>
    <t>85680     IF Toll_topp$="" THEN Toll_topp$="+/- 0.02"</t>
  </si>
  <si>
    <t>85700 OFF KEY</t>
  </si>
  <si>
    <t>85720 DIM Caratt_ut$[50],Collarino$[30]</t>
  </si>
  <si>
    <t>85750 OFF KEY</t>
  </si>
  <si>
    <t>85760 DISP "INTRODUZIONE CARATTERISTICHE PARTICOLARI DELL'UTENSILE"</t>
  </si>
  <si>
    <t>85780       ON KEY 1 LABEL "CHIAV.FORO &gt;&gt;" GOTO Ch_f</t>
  </si>
  <si>
    <t>85790       ON KEY 2 LABEL "ALLIN. DENTE" GOTO Ch_f_all_d</t>
  </si>
  <si>
    <t>85800       ON KEY 3 LABEL "ALLIN. VANO" GOTO Ch_f_all_v</t>
  </si>
  <si>
    <t>85810       ON KEY 4 LABEL "COLLARINO RETT." GOTO Coll</t>
  </si>
  <si>
    <t>85820       ON KEY 5 LABEL "CHIAV DORS &gt;&gt;" GOTO Ch_d</t>
  </si>
  <si>
    <t>85830       ON KEY 6 LABEL "ALLIN. DENTE" GOTO Ch_d_all_d</t>
  </si>
  <si>
    <t>85840       ON KEY 7 LABEL "ALLIN. VANO" GOTO Ch_d_all_v</t>
  </si>
  <si>
    <t>85850       ON KEY 9 LABEL "ALTRE" GOTO Varie</t>
  </si>
  <si>
    <t>85860       ON KEY 8 LABEL "USCITA" GOTO Commenti</t>
  </si>
  <si>
    <t>85910                   CASE "ITALIANO"</t>
  </si>
  <si>
    <t>85920                                 Collarino$="Collarino rettificato"</t>
  </si>
  <si>
    <t>85930                   CASE "TEDESCO"</t>
  </si>
  <si>
    <t>85940                                 Collarino$="Pruefbund"</t>
  </si>
  <si>
    <t>85950                   CASE "INGLESE"</t>
  </si>
  <si>
    <t>85960                                 Collarino$="Indicating band"</t>
  </si>
  <si>
    <t>85970                   CASE "FRANCESE"</t>
  </si>
  <si>
    <t>85980                                 Collarino$="Collerette de contrôle"</t>
  </si>
  <si>
    <t>85990                   END SELECT</t>
  </si>
  <si>
    <t>86010               GOTO Intr_car_ut</t>
  </si>
  <si>
    <t>86040               CASE "ITALIANO"</t>
  </si>
  <si>
    <t>86050                    Caratt_ut$=" Chiavetta nel foro non allineata"</t>
  </si>
  <si>
    <t>86060               CASE "TEDESCO"</t>
  </si>
  <si>
    <t>86070                    Caratt_ut$=" Laengsnut"</t>
  </si>
  <si>
    <t>86080               CASE "INGLESE"</t>
  </si>
  <si>
    <t>86090                    Caratt_ut$=" KEYWAY unaligned"</t>
  </si>
  <si>
    <t>86100      END SELECT</t>
  </si>
  <si>
    <t>86110               GOTO Intr_dim_ch</t>
  </si>
  <si>
    <t>86140               CASE "ITALIANO"</t>
  </si>
  <si>
    <t>86150                 Caratt_ut$=" Chiavetta nel foro allineata al dente entro "</t>
  </si>
  <si>
    <t>86160               CASE "TEDESCO"</t>
  </si>
  <si>
    <t>86170                 Caratt_ut$=" Laengsnut Mittigkeit zum Zahn "</t>
  </si>
  <si>
    <t>86180               CASE "INGLESE"</t>
  </si>
  <si>
    <t>86190                 Caratt_ut$=" KEYWAY aligned on Tooth whitin "</t>
  </si>
  <si>
    <t>86200            END SELECT</t>
  </si>
  <si>
    <t>86220               GOTO Intr_dim_ch</t>
  </si>
  <si>
    <t>86250               CASE "ITALIANO"</t>
  </si>
  <si>
    <t>86260                 Caratt_ut$=" Chiavetta nel foro allineata al vano entro "</t>
  </si>
  <si>
    <t>86270               CASE "TEDESCO"</t>
  </si>
  <si>
    <t>86280                 Caratt_ut$=" Laengsnut Mittigkeit zur Luecke "</t>
  </si>
  <si>
    <t>86290               CASE "INGLESE "</t>
  </si>
  <si>
    <t>86300                 Caratt_ut$=" KEYWAY aligned on space within "</t>
  </si>
  <si>
    <t>86310            END SELECT</t>
  </si>
  <si>
    <t>86330               GOTO Intr_dim_ch</t>
  </si>
  <si>
    <t>86360               CASE "ITALIANO"</t>
  </si>
  <si>
    <t>86370                    Caratt_ut$=" Chiavetta dorsale non allineata"</t>
  </si>
  <si>
    <t>86380               CASE "TEDESCO"</t>
  </si>
  <si>
    <t>86390                    Caratt_ut$=" QUERNUT"</t>
  </si>
  <si>
    <t>86400               CASE "INGLESE"</t>
  </si>
  <si>
    <t>86410                    Caratt_ut$=" KEYWAY unaligned"</t>
  </si>
  <si>
    <t>86420       END SELECT</t>
  </si>
  <si>
    <t>86430               GOTO Intr_dim_ch</t>
  </si>
  <si>
    <t>86460               CASE "ITALIANO"</t>
  </si>
  <si>
    <t>86470                  Caratt_ut$=" Chiavetta dorsale allineata al dente entro "</t>
  </si>
  <si>
    <t>86480               CASE "TEDESCO"</t>
  </si>
  <si>
    <t>86490                  Caratt_ut$=" Quernut Mittigkeit zum Zahn "</t>
  </si>
  <si>
    <t>86500               CASE "INGLESE"</t>
  </si>
  <si>
    <t>86510                  Caratt_ut$=" KEYWAY aligned on Tooth within "</t>
  </si>
  <si>
    <t>86520            END SELECT</t>
  </si>
  <si>
    <t>86540               GOTO Intr_dim_ch</t>
  </si>
  <si>
    <t>86570               CASE "ITALIANO"</t>
  </si>
  <si>
    <t>86580                   Caratt_ut$=" Chiavetta dorsale allineata al vano entro "</t>
  </si>
  <si>
    <t>86590               CASE "TEDESCO"</t>
  </si>
  <si>
    <t>86600                   Caratt_ut$=" Quernut Mittigkeit zuer Luecke "</t>
  </si>
  <si>
    <t>86610               CASE "INGLESE"</t>
  </si>
  <si>
    <t>86620                   Caratt_ut$=" KEYWAY aligned on Space within "</t>
  </si>
  <si>
    <t>86630            END SELECT</t>
  </si>
  <si>
    <t>86650               GOTO Intr_dim_ch</t>
  </si>
  <si>
    <t>86680               DIM Amp_ch$[18],Prof_ch$[7],Coass_ch$[10]</t>
  </si>
  <si>
    <t>86700     LINPUT "DIGITARE: Ampiezza Chiavetta con relativa tolleranza",Amp_ch$</t>
  </si>
  <si>
    <t>86710     LINPUT "DIGITARE: Profondita della chiavetta",Prof_ch$</t>
  </si>
  <si>
    <t>86720 LINPUT "DIGITARE: Toll.di coassialita'rispetto all'asse di RIF.",Coass_ch$</t>
  </si>
  <si>
    <t>86740               GOTO Intr_car_ut</t>
  </si>
  <si>
    <t>86770               LINPUT "INTRODURRE ALTRE CARATTERISTICHE PARTICOLARI",Caratt_ut$</t>
  </si>
  <si>
    <t>86780               GOTO Intr_car_ut</t>
  </si>
  <si>
    <t>86810               Part_ideal_c=0</t>
  </si>
  <si>
    <t>86820               OFF KEY</t>
  </si>
  <si>
    <t>86830               DIM Comment_part$[35],Comment_ut$[35]</t>
  </si>
  <si>
    <t>86860        OFF KEY</t>
  </si>
  <si>
    <t>86870 DISP "INTROD. OSSERVAZIONI PARTICOLARI NELLE TAB. PARTIC - UTENSILE [35 Cr.MAX]"</t>
  </si>
  <si>
    <t>86890    ON KEY 1 LABEL "Part.Ideal.Costr." GOTO P_i_c</t>
  </si>
  <si>
    <t>86900    ON KEY 3 LABEL "OSSERV.PART" GOTO Oss_part</t>
  </si>
  <si>
    <t>86910    ON KEY 4 LABEL "OSSERV.UTENS." GOTO Oss_ut</t>
  </si>
  <si>
    <t>86920    ON KEY 8 LABEL "USCITA" GOTO Dati_macch</t>
  </si>
  <si>
    <t>86970                      GOTO Intr_comm</t>
  </si>
  <si>
    <t>86990 Oss_ut: LINPUT "COMMENTI UTENSILE",Comment_ut$</t>
  </si>
  <si>
    <t>87000                      GOTO Intr_comm</t>
  </si>
  <si>
    <t>87030                      Part_ideal_c=1</t>
  </si>
  <si>
    <t>87040                      Comment_part$="Particolare Idealmente Costruito"</t>
  </si>
  <si>
    <t>87050                      GOTO Intr_comm</t>
  </si>
  <si>
    <t>87090      IF Dk1 OR Ra0 OR Prtz THEN</t>
  </si>
  <si>
    <t>87100                                Dwm=Dwm0</t>
  </si>
  <si>
    <t>87110                                Mont$=Teta$</t>
  </si>
  <si>
    <t>87120      END IF</t>
  </si>
  <si>
    <t>87160     INTEGER Gr,Min,Sec</t>
  </si>
  <si>
    <t>87180               OFF KEY</t>
  </si>
  <si>
    <t>87220               ON KEY 1 LABEL "incisiomi" GOTO Incisioni              ! ON KEY 1 LABEL "137" GOTO Ev_sempl</t>
  </si>
  <si>
    <t>87270               ON KEY 8 LABEL "USCITA" GOTO Calcolo_punti               !Tolleranze</t>
  </si>
  <si>
    <t>87330 DIM Incisioni1$[48],Incisioni2$[48],Incisioni3$[48],Incisioni4$[48]</t>
  </si>
  <si>
    <t>87350 LINPUT "Digitare riga 1",Incisioni1$</t>
  </si>
  <si>
    <t>87360 LINPUT "Digitare riga 2",Incisioni2$</t>
  </si>
  <si>
    <t>87370 LINPUT "Digitare riga 3",Incisioni3$</t>
  </si>
  <si>
    <t>87380 LINPUT "Digitare riga 4",Incisioni4$</t>
  </si>
  <si>
    <t>87400 GOTO Macch_profil</t>
  </si>
  <si>
    <t>87430                    GOTO Macch_profil</t>
  </si>
  <si>
    <t>87460        IF NOT Dwm THEN GOSUB Mola_profil</t>
  </si>
  <si>
    <t>87480                       INTEGER Z_ms</t>
  </si>
  <si>
    <t>87490                       PRINT TABXY(5,16),"Z_ms &gt;&gt; ";</t>
  </si>
  <si>
    <t>87500                       PRINT USING "K,DDD,K,DDD,K,DDD,K,DDDD";"2* &gt;",2*Z0,"   3* &gt;",3*Z0,"   4* &gt;",4*Z0,"   5* &gt;",5*Z0</t>
  </si>
  <si>
    <t>87510                       PRINT TABXY(8,35),"DIAM.ROT.MOLA = ";</t>
  </si>
  <si>
    <t>87520                       PRINT USING "DDD.DD";Dwm</t>
  </si>
  <si>
    <t>87530                       INPUT "DIGITARE IN SUCCESSIONE MODULO E NUMERO DENTI DEL MASTER [M_ms,Z_ms]",M_ms,Z_ms</t>
  </si>
  <si>
    <t>87550            IF NOT FRACT(Z_ms/Z0)=0 THEN</t>
  </si>
  <si>
    <t>87560                                        BEEP 2000,.3</t>
  </si>
  <si>
    <t>87570                       DISP "ATTENZIONE Z_ms ERRATO NON E'UN MULTIPLO INTERO DI Z0"</t>
  </si>
  <si>
    <t>87580                       ENTER 2;A$</t>
  </si>
  <si>
    <t>87590                       GOTO Scelta_ms</t>
  </si>
  <si>
    <t>87600            END IF</t>
  </si>
  <si>
    <t>87620                       Corr=1-(M_ms*Z_ms/Dwm)</t>
  </si>
  <si>
    <t>87630                       OUTPUT 2;Clear$;</t>
  </si>
  <si>
    <t>87640                       GOTO Macch_profil</t>
  </si>
  <si>
    <t>87670        IF Dk1 THEN</t>
  </si>
  <si>
    <t>87680                   Dwm_nil=Dwm0</t>
  </si>
  <si>
    <t>87690                   Mont=Teta</t>
  </si>
  <si>
    <t>87700        END IF</t>
  </si>
  <si>
    <t>87720        IF NOT Dwm_nil THEN</t>
  </si>
  <si>
    <t>87730                           GOSUB Mola_profil</t>
  </si>
  <si>
    <t>87740                           Dwm_nil=Dwm</t>
  </si>
  <si>
    <t>87750        END IF</t>
  </si>
  <si>
    <t>87770             Rot=(COS(ATN(TAN(Apwmnmh)*COS(Mont))))/Db0h</t>
  </si>
  <si>
    <t>87790        OFF KEY</t>
  </si>
  <si>
    <t>87810        ON KEY 5 LABEL "NILES VECCHIA" GOTO Niles_vecch</t>
  </si>
  <si>
    <t>87820        ON KEY 9 LABEL "NILES NUOVE" GOTO Niles_nuo</t>
  </si>
  <si>
    <t>87870             Rotol_v=59.7686*Rot</t>
  </si>
  <si>
    <t>87880          IF Rotol_v&gt;1 THEN Rotol_rov_v=1/Rotol_v</t>
  </si>
  <si>
    <t>87890             GOTO Macch_profil</t>
  </si>
  <si>
    <t>87920             Rotol=119.5372*Rot</t>
  </si>
  <si>
    <t>87930          IF Rotol&gt;1 THEN Rotol_rov=1/Rotol</t>
  </si>
  <si>
    <t>87940             GOTO Macch_profil</t>
  </si>
  <si>
    <t>87970        IF NOT Dwm THEN GOSUB Mola_profil</t>
  </si>
  <si>
    <t>87990                        PRINT TABXY(8,35),"DIAM.ROT.MOLA = ";</t>
  </si>
  <si>
    <t>88000                        PRINT USING "DDD.DD";Dwm</t>
  </si>
  <si>
    <t>88010                        LINPUT "DIGITARE IL BASE DI ROTOLAMENTO DISPONIBILE",Base_rot$</t>
  </si>
  <si>
    <t>88020                        OUTPUT 2;Clear$;</t>
  </si>
  <si>
    <t>88030                        GOTO Macch_profil</t>
  </si>
  <si>
    <t>88070        IF NOT Dwm THEN GOSUB Mola_profil</t>
  </si>
  <si>
    <t>88090                        SELECT Dwm</t>
  </si>
  <si>
    <t>88100                        CASE 62.50 TO 124.98</t>
  </si>
  <si>
    <t>88110                                   Cerchio_rot=124.68</t>
  </si>
  <si>
    <t>88120                        CASE 124.99 TO 249.56</t>
  </si>
  <si>
    <t>88130                                   Cerchio_rot=249.25</t>
  </si>
  <si>
    <t>88140                        END SELECT</t>
  </si>
  <si>
    <t>88160                            Correz=(1-Dwm/(Cerchio_rot+.3))*500</t>
  </si>
  <si>
    <t>88180              OUTPUT 2;Clear$;</t>
  </si>
  <si>
    <t>88190              GOTO Macch_profil</t>
  </si>
  <si>
    <t>88230                        LINPUT "DIGITARE L'ANGOLO DI PRESSIONE DELLA MOLA [gg.mm.ss]",Ap_mola$</t>
  </si>
  <si>
    <t>88240                        Ang$=Ap_mola$</t>
  </si>
  <si>
    <t>88250                        CALL Gms_rad(Ang$,Ang,Gr,Min,Sec)</t>
  </si>
  <si>
    <t>88260                        Apwmnmh=Ang</t>
  </si>
  <si>
    <t>88270                        CALL Rad_gms(Ang,G,Mi,S)</t>
  </si>
  <si>
    <t>88280                        Apwmnmh$=VAL$(G)&amp;"°"&amp;VAL$(Mi)&amp;"'"</t>
  </si>
  <si>
    <t>88290                        Dwm=Db0h/COS(Apwmnmh)</t>
  </si>
  <si>
    <t>88310                        Mont=(TAN(Zeta_h)*COS(Apn))/SIN(Apwmnmh)</t>
  </si>
  <si>
    <t>88320                        Ang=Mont</t>
  </si>
  <si>
    <t>88330                        CALL Rad_gms(Ang,G,Mi,S)</t>
  </si>
  <si>
    <t>88340                        Mont$=VAL$(G)&amp;"°"&amp;VAL$(Mi)&amp;"'"</t>
  </si>
  <si>
    <t>88360              RETURN</t>
  </si>
  <si>
    <t>88434      IF Elic THEN               !CON ELICA</t>
  </si>
  <si>
    <t>88438      Da0ck_new=0</t>
  </si>
  <si>
    <t>88439      Var_ck$=""</t>
  </si>
  <si>
    <t>88440      OFF KEY</t>
  </si>
  <si>
    <t>88441      IF Int THEN</t>
  </si>
  <si>
    <t>88442      Dna1_2_emp=Dna1_2-.45</t>
  </si>
  <si>
    <t>88443      ELSE</t>
  </si>
  <si>
    <t>88444      Dna1_2_emp=Dna1_2+.45</t>
  </si>
  <si>
    <t>88445      END IF</t>
  </si>
  <si>
    <t>88446      PRINT</t>
  </si>
  <si>
    <t>88447      PRINT</t>
  </si>
  <si>
    <t>88448      PRINT</t>
  </si>
  <si>
    <t>88449      PRINT</t>
  </si>
  <si>
    <t>88450      PRINT</t>
  </si>
  <si>
    <t>88451      PRINT</t>
  </si>
  <si>
    <t>88452      PRINT USING "K,K,K,6D.2D,K";"DIAMETRO ESTERNO TEORICO  ";Da0</t>
  </si>
  <si>
    <t>88453      LINPUT "UUOI VARIARE IL DIAMETRO DI CONTROLLO ?[Risp.NO/Continue]",Var_ck$</t>
  </si>
  <si>
    <t>88455                     IF LEN(Var_ck$) THEN</t>
  </si>
  <si>
    <t>88456                                        INPUT "DIGITARE IL NUOVO VALORE DEL DIAMETRO di CONTROLLO",Da0ck_new</t>
  </si>
  <si>
    <t>88458                                        Da0w=Da0ck_new</t>
  </si>
  <si>
    <t>88460                                        ELSE</t>
  </si>
  <si>
    <t>88462                                        Da0w=Da0</t>
  </si>
  <si>
    <t>88463                     END IF</t>
  </si>
  <si>
    <t>88468      IF NOT Dnf1 THEN</t>
  </si>
  <si>
    <t>88469                     Dxw=Dnf1_pr</t>
  </si>
  <si>
    <t>88470      ELSE</t>
  </si>
  <si>
    <t>88471                     Dxw=Dnf1</t>
  </si>
  <si>
    <t>88472      END IF</t>
  </si>
  <si>
    <t>88474      IF Int THEN</t>
  </si>
  <si>
    <t>88475                GOSUB Calc_puntoint</t>
  </si>
  <si>
    <t>88476      ELSE</t>
  </si>
  <si>
    <t>88477                GOSUB Calc_puntoext</t>
  </si>
  <si>
    <t>88478      END IF</t>
  </si>
  <si>
    <t>88479                      Lalpha_k_newt=SQR((D_iewx^2-Db0t^2))/2                ! LPUNTO SULLA TESTA UTENSILE  FT</t>
  </si>
  <si>
    <t>88480      Dxw=0</t>
  </si>
  <si>
    <t>88484      IF Dk1 THEN                          ! CON SEMITOPPING</t>
  </si>
  <si>
    <t>88486      IF Int THEN</t>
  </si>
  <si>
    <t>88487                Dxw=Dna1_2_emp                 ! PUNTO SUL VALORE DELLA TROCOIDE</t>
  </si>
  <si>
    <t>88488      ELSE</t>
  </si>
  <si>
    <t>88489                Dxw=Dk1</t>
  </si>
  <si>
    <t>88490      END IF</t>
  </si>
  <si>
    <t>88492      IF Int THEN</t>
  </si>
  <si>
    <t>88493                GOSUB Calc_puntoint</t>
  </si>
  <si>
    <t>88494      ELSE</t>
  </si>
  <si>
    <t>88495                GOSUB Calc_puntoext</t>
  </si>
  <si>
    <t>88496      END IF</t>
  </si>
  <si>
    <t>88497                      Lalpha_f_newt=SQR((D_iewx^2-Db0t^2))/2                ! LPUNTO SUL FONDO UTENSILE  FT</t>
  </si>
  <si>
    <t>88498      Dxw=0</t>
  </si>
  <si>
    <t>88500      ELSE                                 ! SENZA SEMITOPPING</t>
  </si>
  <si>
    <t>88506                 Dxw=Da1</t>
  </si>
  <si>
    <t>88510      IF Int THEN</t>
  </si>
  <si>
    <t>88511                GOSUB Calc_puntoint</t>
  </si>
  <si>
    <t>88512      ELSE</t>
  </si>
  <si>
    <t>88513                GOSUB Calc_puntoext</t>
  </si>
  <si>
    <t>88514      END IF</t>
  </si>
  <si>
    <t>88516                      Lalpha_f_newt=SQR((D_iewx^2-Db0t^2))/2                ! LPUNTO SUL FONDO UTENSILE   FT</t>
  </si>
  <si>
    <t>88517      Dxw=0</t>
  </si>
  <si>
    <t>88519      END IF</t>
  </si>
  <si>
    <t>88523      ELSE                     !  NO ELICA</t>
  </si>
  <si>
    <t>88527      Da0ck_new=0</t>
  </si>
  <si>
    <t>88528      Var_ck$=""</t>
  </si>
  <si>
    <t>88529      OFF KEY</t>
  </si>
  <si>
    <t>88530      IF Int THEN</t>
  </si>
  <si>
    <t>88531      Dna1_2_emp=Dna1_2-.45               !</t>
  </si>
  <si>
    <t>88532      ELSE</t>
  </si>
  <si>
    <t>88533      Dna1_2_emp=Dna1_2+.45</t>
  </si>
  <si>
    <t>88534      END IF</t>
  </si>
  <si>
    <t>88535      PRINT</t>
  </si>
  <si>
    <t>88536      PRINT</t>
  </si>
  <si>
    <t>88537      PRINT</t>
  </si>
  <si>
    <t>88538      PRINT</t>
  </si>
  <si>
    <t>88539      PRINT</t>
  </si>
  <si>
    <t>88540      PRINT</t>
  </si>
  <si>
    <t>88541      PRINT USING "K,K,K,6D.2D,K";"DIAMETRO ESTERNO TEORICO  ";Da0</t>
  </si>
  <si>
    <t>88542      LINPUT "UUOI VARIARE IL DIAMETRO DI CONTROLLO ?[Risp.NO/Continue]",Var_ck$</t>
  </si>
  <si>
    <t>88544                     IF LEN(Var_ck$) THEN</t>
  </si>
  <si>
    <t>88545                                        INPUT "DIGITARE IL NUOVO VALORE DEL DIAMETRO di CONTROLLO",Da0ck_new</t>
  </si>
  <si>
    <t>88547                                        Da0w=Da0ck_new</t>
  </si>
  <si>
    <t>88549                                        ELSE</t>
  </si>
  <si>
    <t>88551                                        Da0w=Da0</t>
  </si>
  <si>
    <t>88552                     END IF</t>
  </si>
  <si>
    <t>88557      IF NOT Dnf1 THEN</t>
  </si>
  <si>
    <t>88558                     Dxw=Dnf1_pr</t>
  </si>
  <si>
    <t>88559      ELSE</t>
  </si>
  <si>
    <t>88560                     Dxw=Dnf1</t>
  </si>
  <si>
    <t>88561      END IF</t>
  </si>
  <si>
    <t>88563      IF Int THEN</t>
  </si>
  <si>
    <t>88564                GOSUB Calc_puntoint</t>
  </si>
  <si>
    <t>88565      ELSE</t>
  </si>
  <si>
    <t>88566                GOSUB Calc_puntoext</t>
  </si>
  <si>
    <t>88567      END IF</t>
  </si>
  <si>
    <t>88568                      Lalpha_k_newh=SQR((D_iewx^2-Db0h^2))/2                ! LPUNTO SULLA TESTA UTENSILE  FH</t>
  </si>
  <si>
    <t>88569      Dxw=0</t>
  </si>
  <si>
    <t>88573      IF Dk1 THEN                          ! CON SEMITOPPING</t>
  </si>
  <si>
    <t>88575      IF Int THEN</t>
  </si>
  <si>
    <t>88576                Dxw=Dna1_2_emp                 ! PUNTO SUL VALORE DELLA TROCOIDE</t>
  </si>
  <si>
    <t>88577      ELSE</t>
  </si>
  <si>
    <t>88578                Dxw=Dk1</t>
  </si>
  <si>
    <t>88579      END IF</t>
  </si>
  <si>
    <t xml:space="preserve">88580                    !        </t>
  </si>
  <si>
    <t>88581      IF Int THEN</t>
  </si>
  <si>
    <t>88582                GOSUB Calc_puntoint</t>
  </si>
  <si>
    <t>88583      ELSE</t>
  </si>
  <si>
    <t>88584                GOSUB Calc_puntoext</t>
  </si>
  <si>
    <t>88585      END IF</t>
  </si>
  <si>
    <t>88586                      Lalpha_f_newh=SQR((D_iewx^2-Db0h^2))/2                ! LPUNTO SUL FONDO UTENSILE  FH</t>
  </si>
  <si>
    <t>88587      Dxw=0</t>
  </si>
  <si>
    <t xml:space="preserve">88588                    !            </t>
  </si>
  <si>
    <t>88589      ELSE                                 ! SENZA SEMITOPPING</t>
  </si>
  <si>
    <t>88595                 Dxw=Da1</t>
  </si>
  <si>
    <t>88599      IF Int THEN</t>
  </si>
  <si>
    <t>88600                GOSUB Calc_puntoint</t>
  </si>
  <si>
    <t>88601      ELSE</t>
  </si>
  <si>
    <t>88602                GOSUB Calc_puntoext</t>
  </si>
  <si>
    <t>88603      END IF</t>
  </si>
  <si>
    <t>88605                      Lalpha_f_newh=SQR((D_iewx^2-Db0h^2))/2                ! LPUNTO SUL FONDO UTENSILE   FH</t>
  </si>
  <si>
    <t>88606      Dxw=0</t>
  </si>
  <si>
    <t>88608      END IF</t>
  </si>
  <si>
    <t xml:space="preserve">88609                    !            </t>
  </si>
  <si>
    <t>88611      IF NOT Elic THEN GOTO 88614</t>
  </si>
  <si>
    <t>88612      RETURN</t>
  </si>
  <si>
    <t>88614      END IF                ! FINE CONTROLLO ELICA</t>
  </si>
  <si>
    <t xml:space="preserve">88615                    !                                 </t>
  </si>
  <si>
    <t>88618    OFF KEY</t>
  </si>
  <si>
    <t>88620      DISP "L'ALTEZZA UTILE TEORICA E': ";H_ut</t>
  </si>
  <si>
    <t>88621      ENTER 2;A$</t>
  </si>
  <si>
    <t>88623      Var_el$=""</t>
  </si>
  <si>
    <t>88624      H_ut_new=0</t>
  </si>
  <si>
    <t>88625      Da0w=0</t>
  </si>
  <si>
    <t>88627          INPUT "VUOI VARIARE QUESTO VALORE PER IL CALCOLO DEI PUNTI ?[Risp.NO/Continue]",Var_el$</t>
  </si>
  <si>
    <t>88629                     IF LEN(Var_el$) THEN</t>
  </si>
  <si>
    <t>88630                                        INPUT "DIGITARE IL NUOVO VALORE di h4 PER IL CALCOLO",H_ut_new</t>
  </si>
  <si>
    <t>88632                                        H_ut_punti=H_ut_new</t>
  </si>
  <si>
    <t>88634                                        ELSE</t>
  </si>
  <si>
    <t>88636                                        H_ut_punti=H_ut</t>
  </si>
  <si>
    <t>88637                     END IF</t>
  </si>
  <si>
    <t>88641      Da0w=Da0-((H_ut_punti*TAN(Teta))*2)</t>
  </si>
  <si>
    <t>88643      IF Elic THEN               !CON ELICA</t>
  </si>
  <si>
    <t>88647      IF NOT Dnf1 THEN</t>
  </si>
  <si>
    <t>88648                     Dxw=Dnf1_pr</t>
  </si>
  <si>
    <t>88649      ELSE</t>
  </si>
  <si>
    <t>88650                     Dxw=Dnf1</t>
  </si>
  <si>
    <t>88651      END IF</t>
  </si>
  <si>
    <t>88653      IF Int THEN</t>
  </si>
  <si>
    <t>88654                GOSUB Calc_puntoint</t>
  </si>
  <si>
    <t>88655      ELSE</t>
  </si>
  <si>
    <t>88656                GOSUB Calc_puntoext</t>
  </si>
  <si>
    <t>88657      END IF</t>
  </si>
  <si>
    <t>88658                      Lalpha_k_endt=SQR((D_iewx^2-Db0t^2))/2                ! LPUNTO SULLA TESTA UTENSILE  FT</t>
  </si>
  <si>
    <t>88659      Dxw=0</t>
  </si>
  <si>
    <t>88660      D_iewx=0</t>
  </si>
  <si>
    <t>88664      IF Dk1 THEN                          ! CON SEMITOPPING</t>
  </si>
  <si>
    <t>88666      IF Int THEN</t>
  </si>
  <si>
    <t>88667                Dxw=Dna1_2_emp                 ! PUNTO SUL VALORE DELLA TROCOIDE</t>
  </si>
  <si>
    <t>88668      ELSE</t>
  </si>
  <si>
    <t>88669                Dxw=Dk1</t>
  </si>
  <si>
    <t>88670      END IF</t>
  </si>
  <si>
    <t>88672      IF Int THEN</t>
  </si>
  <si>
    <t>88673                GOSUB Calc_puntoint</t>
  </si>
  <si>
    <t>88674      ELSE</t>
  </si>
  <si>
    <t>88675                GOSUB Calc_puntoext</t>
  </si>
  <si>
    <t>88676      END IF</t>
  </si>
  <si>
    <t>88677                      Lalpha_f_endt=SQR((D_iewx^2-Db0t^2))/2                ! LPUNTO SUL FONDO UTENSILE  FT</t>
  </si>
  <si>
    <t>88678      Dxw=0</t>
  </si>
  <si>
    <t>88680      ELSE                                 ! SENZA SEMITOPPING</t>
  </si>
  <si>
    <t>88686                 Dxw=Da1</t>
  </si>
  <si>
    <t>88690      IF Int THEN</t>
  </si>
  <si>
    <t>88691                GOSUB Calc_puntoint</t>
  </si>
  <si>
    <t>88692      ELSE</t>
  </si>
  <si>
    <t>88693                GOSUB Calc_puntoext</t>
  </si>
  <si>
    <t>88694      END IF</t>
  </si>
  <si>
    <t>88696                      Lalpha_f_endt=SQR((D_iewx^2-Db0t^2))/2                ! LPUNTO SUL FONDO UTENSILE   FT</t>
  </si>
  <si>
    <t>88697      Dxw=0</t>
  </si>
  <si>
    <t>88699      END IF</t>
  </si>
  <si>
    <t>88703      ELSE                     !  NO ELICA</t>
  </si>
  <si>
    <t>88707      Da0w=Da0-((H_ut_punti*TAN(Teta))*2)               !---- RIFERIMENTO DEL PUNTO DI CONTROLLO</t>
  </si>
  <si>
    <t>88711      IF NOT Dnf1 THEN</t>
  </si>
  <si>
    <t>88712                     Dxw=Dnf1_pr</t>
  </si>
  <si>
    <t>88713      ELSE</t>
  </si>
  <si>
    <t>88714                     Dxw=Dnf1</t>
  </si>
  <si>
    <t>88715      END IF</t>
  </si>
  <si>
    <t>88717      IF Int THEN</t>
  </si>
  <si>
    <t>88718                GOSUB Calc_puntoint</t>
  </si>
  <si>
    <t>88719      ELSE</t>
  </si>
  <si>
    <t>88720                GOSUB Calc_puntoext</t>
  </si>
  <si>
    <t>88721      END IF</t>
  </si>
  <si>
    <t>88722                      Lalpha_k_endh=SQR((D_iewx^2-Db0h^2))/2                ! LPUNTO SULLA TESTA UTENSILE  FH</t>
  </si>
  <si>
    <t>88723      Dxw=0</t>
  </si>
  <si>
    <t>88727      IF Dk1 THEN                          ! CON SEMITOPPING</t>
  </si>
  <si>
    <t>88729      IF Int THEN</t>
  </si>
  <si>
    <t>88730                Dxw=Dna1_2_emp                 ! PUNTO SUL VALORE DELLA TROCOIDE</t>
  </si>
  <si>
    <t>88731      ELSE</t>
  </si>
  <si>
    <t>88732                Dxw=Dk1</t>
  </si>
  <si>
    <t>88733      END IF</t>
  </si>
  <si>
    <t>88735      IF Int THEN</t>
  </si>
  <si>
    <t>88736                GOSUB Calc_puntoint</t>
  </si>
  <si>
    <t>88737      ELSE</t>
  </si>
  <si>
    <t>88738                GOSUB Calc_puntoext</t>
  </si>
  <si>
    <t>88739      END IF</t>
  </si>
  <si>
    <t>88740                      Lalpha_f_endh=SQR((D_iewx^2-Db0h^2))/2                ! LPUNTO SUL FONDO UTENSILE  FH</t>
  </si>
  <si>
    <t>88741      Dxw=0</t>
  </si>
  <si>
    <t>88743      ELSE                                 ! SENZA SEMITOPPING</t>
  </si>
  <si>
    <t>88749                 Dxw=Da1</t>
  </si>
  <si>
    <t>88753      IF Int THEN</t>
  </si>
  <si>
    <t>88754                GOSUB Calc_puntoint</t>
  </si>
  <si>
    <t>88755      ELSE</t>
  </si>
  <si>
    <t>88756                GOSUB Calc_puntoext</t>
  </si>
  <si>
    <t>88757      END IF</t>
  </si>
  <si>
    <t>88759                      Lalpha_f_endh=SQR((D_iewx^2-Db0h^2))/2                ! LPUNTO SUL FONDO UTENSILE   FH</t>
  </si>
  <si>
    <t>88760      Dxw=0</t>
  </si>
  <si>
    <t>88762      END IF</t>
  </si>
  <si>
    <t>88764      IF NOT Elic THEN GOTO 88767</t>
  </si>
  <si>
    <t>88765      RETURN</t>
  </si>
  <si>
    <t>88767      END IF                ! FINE CONTROLLO ELICA</t>
  </si>
  <si>
    <t>88769      Da0w=0                ! AZZERAMENTO VARIABILE</t>
  </si>
  <si>
    <t>88775      Vuoi$=""</t>
  </si>
  <si>
    <t>88776      PRINT CHR$(129)</t>
  </si>
  <si>
    <t>88778      LINPUT " VUOI CALCOLARE i PUNTI sull'EVOLVENTE ?  [no-CONTINUE]",Vuoi$</t>
  </si>
  <si>
    <t>88779      PRINT CHR$(128)</t>
  </si>
  <si>
    <t>88780      IF NOT LEN(Vuoi$) THEN GOTO Tolleranze</t>
  </si>
  <si>
    <t>88801      DISP "Si possono calcolare fino a N° 3 punti"</t>
  </si>
  <si>
    <t>88802      WAIT 2</t>
  </si>
  <si>
    <t>88803      INPUT "DIGITARE il DIAM. di CONTROLLO sul COLTELLO",Da0w</t>
  </si>
  <si>
    <t>88805      INPUT "DIGITARE PRIMO PUNTO sul PARTICOLARE da REALIZZARE",Dx1</t>
  </si>
  <si>
    <t>88807      IF Dx1=0 THEN GOTO 88816</t>
  </si>
  <si>
    <t>88808      Dxw=Dx1</t>
  </si>
  <si>
    <t>88809      IF Int THEN</t>
  </si>
  <si>
    <t>88810                GOSUB Calc_puntoint</t>
  </si>
  <si>
    <t>88811      ELSE</t>
  </si>
  <si>
    <t>88812                GOSUB Calc_puntoext</t>
  </si>
  <si>
    <t>88813      END IF</t>
  </si>
  <si>
    <t>88814      Dy1w=D_iewx</t>
  </si>
  <si>
    <t>88816      INPUT "DIGITARE SECONDO PUNTO sul PARTICOLARE da REALIZZARE",Dx2</t>
  </si>
  <si>
    <t>88818      IF Dx2=0 THEN GOTO 88900</t>
  </si>
  <si>
    <t>88819      Dxw=Dx2</t>
  </si>
  <si>
    <t>88820      IF Int THEN</t>
  </si>
  <si>
    <t>88830                GOSUB Calc_puntoint</t>
  </si>
  <si>
    <t>88840      ELSE</t>
  </si>
  <si>
    <t>88850                GOSUB Calc_puntoext</t>
  </si>
  <si>
    <t>88860      END IF</t>
  </si>
  <si>
    <t>88880      Dy2w=D_iewx</t>
  </si>
  <si>
    <t>88900      INPUT "DIGITARE TERZO PUNTO sul PARTICOLARE da REALIZZARE",Dx3</t>
  </si>
  <si>
    <t>88920      IF Dx3=0 THEN GOTO 89020</t>
  </si>
  <si>
    <t>88930      Dxw=Dx3</t>
  </si>
  <si>
    <t>88940      IF Int THEN</t>
  </si>
  <si>
    <t>88950                GOSUB Calc_puntoint</t>
  </si>
  <si>
    <t>88960      ELSE</t>
  </si>
  <si>
    <t>88970                GOSUB Calc_puntoext</t>
  </si>
  <si>
    <t>88980      END IF</t>
  </si>
  <si>
    <t>89000      Dy3w=D_iewx</t>
  </si>
  <si>
    <t>89020      GOTO Tolleranze</t>
  </si>
  <si>
    <t>89070     D_iewx=0</t>
  </si>
  <si>
    <t>89100     I2w=ABS(Df1)-Da0w              !+Df1</t>
  </si>
  <si>
    <t>89110     Mrw=I2w/(ABS(Z1)-Z0)</t>
  </si>
  <si>
    <t>89120     Dr=Mrw*ABS(Z1)</t>
  </si>
  <si>
    <t>89130     Alfa_tw=ACS(ABS(Db1)/Dr)</t>
  </si>
  <si>
    <t>89140     Db0w=Mt*ABS(Z0)*COS(Apt)</t>
  </si>
  <si>
    <t>89150     Ruota_accopp=((SQR((Dxw^2-ABS(Db1)^2)))-(I2w*SIN(Alfa_tw)))^2</t>
  </si>
  <si>
    <t>89160     D_iewx=SQR((Ruota_accopp+Db0w^2))</t>
  </si>
  <si>
    <t>89170     RETURN</t>
  </si>
  <si>
    <t>89190     D_iewx=0</t>
  </si>
  <si>
    <t>89220     I2w=Da0w+Df1</t>
  </si>
  <si>
    <t>89230     Mrw=I2w/(Z1+Z0)</t>
  </si>
  <si>
    <t>89240     Dr=Mrw*Z1</t>
  </si>
  <si>
    <t>89250     Alfa_tw=ACS(Db1/Dr)</t>
  </si>
  <si>
    <t>89260     Db0w=Mt*Z0*COS(Apt)</t>
  </si>
  <si>
    <t>89270     Ruota_accopp=((SQR((Dxw^2-Db1^2)))-(I2w*SIN(Alfa_tw)))^2</t>
  </si>
  <si>
    <t>89280     D_iewx=SQR((Ruota_accopp+Db0w^2))</t>
  </si>
  <si>
    <t>89290     RETURN</t>
  </si>
  <si>
    <t>89330    PRINT</t>
  </si>
  <si>
    <t>89340    PRINT</t>
  </si>
  <si>
    <t>89350    PRINT "I2w,Da0w,Dr,Alfa_tw,Dy3w,Dy2w,Dy1w"</t>
  </si>
  <si>
    <t>89360    PRINT I2w,Da0w;Dr,Alfa_tw;Dy3w;Dy2w;Dy1w</t>
  </si>
  <si>
    <t>89370    PRINT</t>
  </si>
  <si>
    <t>89380    Nienten$=""                            ! AZZERAMENTO STRINGA</t>
  </si>
  <si>
    <t xml:space="preserve">89390 Quote_geo:       !            </t>
  </si>
  <si>
    <t>89400    PRINT CHR$(129)</t>
  </si>
  <si>
    <t>89420 LINPUT "VUOI INSERIRE LE QUOTE GEOMETRICHE DEL COLTELLO ???   NO/CONTINUE",Nienten$</t>
  </si>
  <si>
    <t>89430    PRINT CHR$(128)</t>
  </si>
  <si>
    <t>89440    D1=0</t>
  </si>
  <si>
    <t>89490 IF Printcodolo=1 THEN</t>
  </si>
  <si>
    <t>89500    Var$=""</t>
  </si>
  <si>
    <t>89510    Fresvar$=""</t>
  </si>
  <si>
    <t>89520    Trrinf$=""</t>
  </si>
  <si>
    <t>89540    PRINT</t>
  </si>
  <si>
    <t>89550    PRINT</t>
  </si>
  <si>
    <t>89560    PRINT</t>
  </si>
  <si>
    <t>89570    PRINT</t>
  </si>
  <si>
    <t>89580    PRINT</t>
  </si>
  <si>
    <t>89590    PRINT "INSERIMENTO QUOTE GEOMETRICHE UTENSILE"</t>
  </si>
  <si>
    <t>89600    PRINT</t>
  </si>
  <si>
    <t>89610    INPUT "DIGITARE ALTEZZA TOTALE DEL DENTE -- b2 --",B2</t>
  </si>
  <si>
    <t>89620    INPUT "DIGITARE ALTEZZA DENTE UTILE DOPO SMUSSO  -- b3 --",B3</t>
  </si>
  <si>
    <t>89630    INPUT "DIGITARE DIAMETRO DI CAMERA DI SCARICO INTERNO TAGLIENTE -- Dd2 --",Dd2</t>
  </si>
  <si>
    <t>89640    INPUT "DIGITARE PROFONDITA' DI CAMERA DI SCARICO -- Bd2 -- ",Bd2</t>
  </si>
  <si>
    <t>89650    INPUT "DIGITARE il DIAMETRO del GAMBO -- DBG --",Dbg</t>
  </si>
  <si>
    <t>89660    INPUT "DIGITARE IL VALORE DEL RAGGIO CONO/GAMBO -- R1c --",R1c</t>
  </si>
  <si>
    <t>89670    INPUT "DIGITARE IL VALORE DEL RAGGIO DENTE/GAMBO -- R2c --",R2c</t>
  </si>
  <si>
    <t>89680    LINPUT "VUOI QUOTARE TRATTO CONICO RINFORZO CONO/GAMBO ?   NO/CONTINUE",Trrinf$</t>
  </si>
  <si>
    <t>89700    IF LEN(Trrinf$) THEN</t>
  </si>
  <si>
    <t>89710                       INPUT "DIGITARE ALTEZZA TRATTO di RINFORZO  -- HSV --",Hsv</t>
  </si>
  <si>
    <t>89720                       INPUT "DIGITARE ANGOLO TRATTO di RINFORZO -- AHSV --",Ahsv</t>
  </si>
  <si>
    <t>89730    END IF</t>
  </si>
  <si>
    <t xml:space="preserve">89740                  !               </t>
  </si>
  <si>
    <t>89750    LINPUT "CI SONO le FRESATURE sul GAMBO ?     NO/CONTINUE",Fresvar$</t>
  </si>
  <si>
    <t>89770    IF LEN(Fresvar$) THEN</t>
  </si>
  <si>
    <t>89780                        INPUT "DIGITARE ALTEZZA MIN DELLE FRESATURE -- FRH --",Frh</t>
  </si>
  <si>
    <t>89790                        INPUT "DIGITARE DIAMETRO INT. DELL FRESATURE -- DFRH --",Dfrh</t>
  </si>
  <si>
    <t>89800    END IF</t>
  </si>
  <si>
    <t>89820    Sxf0=((Da0-Df0)/2)</t>
  </si>
  <si>
    <t>89830    IF Dd2&gt;(Df0-(Sxf0-.2)) THEN</t>
  </si>
  <si>
    <t>89840                         BEEP</t>
  </si>
  <si>
    <t>89850                         DISP "ATTENZIONE QUOTA FRA IL DIAM. DI SCARICO E IL DIAM. INTERNO è PIU' PICCOLA di 1 mm !!!"</t>
  </si>
  <si>
    <t>89860                         LINPUT "SE è POSSIBILE VARIARE QUOTA Dd2  SVINCOLO (CONSIGLIATO) NO/CONTINUE",Var$</t>
  </si>
  <si>
    <t>89880    IF LEN(Var$) THEN GOTO Quote_geo</t>
  </si>
  <si>
    <t>89900    END IF</t>
  </si>
  <si>
    <t>89910 ELSE</t>
  </si>
  <si>
    <t>89920    Var$=""</t>
  </si>
  <si>
    <t>89930    PRINT</t>
  </si>
  <si>
    <t>89940    PRINT</t>
  </si>
  <si>
    <t>89950    PRINT</t>
  </si>
  <si>
    <t>89960    PRINT</t>
  </si>
  <si>
    <t>89970    PRINT</t>
  </si>
  <si>
    <t>89980    PRINT "INSERIMENTO QUOTE GEOMETRICHE UTENSILE"</t>
  </si>
  <si>
    <t>89990    PRINT</t>
  </si>
  <si>
    <t>90000    INPUT "DIGITARE ALTEZZA TOTALE DEL DENTE -- b2 --",B2</t>
  </si>
  <si>
    <t>90010    INPUT "DIGITARE ALTEZZA DENTE UTILE DOPO SMUSSO E ANGOLO SMUSSO -- b3 - ANG CHAMF --",B3,Angb3</t>
  </si>
  <si>
    <t>90020    INPUT "DIGITARE DIAMETRO DI BATTUTA SUPERIORE -- d1 --",D1</t>
  </si>
  <si>
    <t>90030    INPUT "DIGITARE ANGOLO SULLA BATTUTA SUPERIORE -- ang.d1 --",Angd1</t>
  </si>
  <si>
    <t>90040    INPUT "DIGITARE SPESSORE CARTELLA -- b4 -- ",B4</t>
  </si>
  <si>
    <t>90050    INPUT "DIGITARE DIAMETRO DI APPOGGIO ''di CHIUSURA''INTERNO -- d2 --",D2</t>
  </si>
  <si>
    <t>90060    INPUT "DIGITARE DIAMETRO INTERNO -- d2 bis -- E RELATIVO ANGOLO di SVINCOLO -- Ad2bis --",D2bis,Ad2bis</t>
  </si>
  <si>
    <t>90080    Ad2biss=Ad2bis*PI/180</t>
  </si>
  <si>
    <t>90090    Sdd2=H_l-(B4-1)</t>
  </si>
  <si>
    <t>90100    Dd2=D2bis-((Sdd2*TAN(Ad2biss))*2)</t>
  </si>
  <si>
    <t>90120    Htooth=B2*TAN(Teta)                !</t>
  </si>
  <si>
    <t>90130    Dfch=Df0-(2*Htooth)</t>
  </si>
  <si>
    <t>90140    Hd1=H_l-B2</t>
  </si>
  <si>
    <t>90150    D1ch=D1+(2*(Hd1*TAN(Angd1)))</t>
  </si>
  <si>
    <t>90170    IF Dfch&lt;D1ch THEN</t>
  </si>
  <si>
    <t>90180                     BEEP</t>
  </si>
  <si>
    <t>90190                     BEEP</t>
  </si>
  <si>
    <t>90200                     PRINT</t>
  </si>
  <si>
    <t>90210                     PRINT</t>
  </si>
  <si>
    <t>90220                     PRINT</t>
  </si>
  <si>
    <t>90230                     PRINT</t>
  </si>
  <si>
    <t>90240                     PRINT</t>
  </si>
  <si>
    <t>90250                     PRINT "ATTENZIONE IL DIAM. DI FONDO INTACCA IL DIAMETRO DI BATTUTA SUPERIORE !!!!!"</t>
  </si>
  <si>
    <t>90260                     LINPUT "SE è POSSIBILE VARIARE QUOTA d1 &amp; ANGOLO sulla BATTUTA SUPERIORE (CONSIGLIATO) NO/CONTINUE",Var$</t>
  </si>
  <si>
    <t>90280                     IF LEN(Var$) THEN GOTO Quote_geo</t>
  </si>
  <si>
    <t>90290     END IF</t>
  </si>
  <si>
    <t>90310   IF Dd2&lt;(D2+2) THEN</t>
  </si>
  <si>
    <t>90330                     BEEP</t>
  </si>
  <si>
    <t>90340                     PRINT</t>
  </si>
  <si>
    <t>90350                     PRINT</t>
  </si>
  <si>
    <t>90360                     PRINT</t>
  </si>
  <si>
    <t>90370                     PRINT</t>
  </si>
  <si>
    <t>90380                     PRINT</t>
  </si>
  <si>
    <t>90390                     PRINT "ATTENZIONE LA GOLA sul DIAM. INTERNO è PIU' PICCOLA di 1 mm !!!"</t>
  </si>
  <si>
    <t>90400                     LINPUT "SE è POSSIBILE VARIARE QUOTA d2 bis &amp; ANGOLO di SVINCOLO (CONSIGLIATO) NO/CONTINUE",Var$</t>
  </si>
  <si>
    <t>90410    IF LEN(Var$) THEN GOTO Quote_geo</t>
  </si>
  <si>
    <t>90420    END IF</t>
  </si>
  <si>
    <t>90430 END IF</t>
  </si>
  <si>
    <t>90450     GOTO Niente</t>
  </si>
  <si>
    <t xml:space="preserve">90520 Niente:  !            </t>
  </si>
  <si>
    <t>90530    Liebherr=1</t>
  </si>
  <si>
    <t>90550    LINPUT "VUOI STAMPARE IL DISEGNO del CLIENTE ?  [NO/CONTINUE]",Liebherr$</t>
  </si>
  <si>
    <t>90570    IF LEN(Liebherr$) THEN</t>
  </si>
  <si>
    <t>90580                         Liebherr=1</t>
  </si>
  <si>
    <t>90590    ELSE</t>
  </si>
  <si>
    <t>90600                         Liebherr=0</t>
  </si>
  <si>
    <t>90610    END IF</t>
  </si>
  <si>
    <t>90640          OFF KEY</t>
  </si>
  <si>
    <t>90650           DIM Toll_ze(7,3,3,7)</t>
  </si>
  <si>
    <t>90670           DIM Classe$[2]</t>
  </si>
  <si>
    <t>90690           DISP "premere la SOFTKEY relativa alla qualita di esecuzione del coltello"</t>
  </si>
  <si>
    <t>90710           ON KEY 1 LABEL "CLASSE AA" GOTO Classe_aa</t>
  </si>
  <si>
    <t>90720           ON KEY 2 LABEL "CLASSE A" GOTO Classe_a</t>
  </si>
  <si>
    <t>90730           ON KEY 3 LABEL "CLASSE B" GOTO Classe_b</t>
  </si>
  <si>
    <t>90740           ON KEY 4 LABEL "  ALTRE" GOTO Altre</t>
  </si>
  <si>
    <t>90780           Classe$="AA"</t>
  </si>
  <si>
    <t>90790           GOTO Sel_mod</t>
  </si>
  <si>
    <t>90810           Classe$="A"</t>
  </si>
  <si>
    <t>90820           GOTO Sel_mod</t>
  </si>
  <si>
    <t>90840           Classe$="B"</t>
  </si>
  <si>
    <t>90850           GOTO Sel_mod</t>
  </si>
  <si>
    <t>90880           No_toll=1</t>
  </si>
  <si>
    <t>90890           GOTO Plotter</t>
  </si>
  <si>
    <t>90920         OFF KEY</t>
  </si>
  <si>
    <t>90930         SELECT Mn</t>
  </si>
  <si>
    <t>90940         CASE &lt;1</t>
  </si>
  <si>
    <t>90950             Modulo=1</t>
  </si>
  <si>
    <t>90960                     SELECT Mt*Z0</t>
  </si>
  <si>
    <t>90970                     CASE &lt;50.0009</t>
  </si>
  <si>
    <t>90980                              Diam=1</t>
  </si>
  <si>
    <t>90990                     CASE 50.001 TO 124.999</t>
  </si>
  <si>
    <t>91000                              Diam=2</t>
  </si>
  <si>
    <t>91010                     CASE 125 TO 280</t>
  </si>
  <si>
    <t>91020                              Diam=3</t>
  </si>
  <si>
    <t>91030                     END SELECT</t>
  </si>
  <si>
    <t>91040         CASE 1 TO 2</t>
  </si>
  <si>
    <t>91050             Modulo=2</t>
  </si>
  <si>
    <t>91060                     SELECT Mt*Z0</t>
  </si>
  <si>
    <t>91070                     CASE &lt;50.0009</t>
  </si>
  <si>
    <t>91080                              Diam=1</t>
  </si>
  <si>
    <t>91090                     CASE 50.001 TO 124.999</t>
  </si>
  <si>
    <t>91100                              Diam=2</t>
  </si>
  <si>
    <t>91110                     CASE 125 TO 280</t>
  </si>
  <si>
    <t>91120                              Diam=3</t>
  </si>
  <si>
    <t>91130                     END SELECT</t>
  </si>
  <si>
    <t>91140         CASE 2.001 TO 3.55</t>
  </si>
  <si>
    <t>91150             Modulo=3</t>
  </si>
  <si>
    <t>91160                     SELECT Mt*Z0</t>
  </si>
  <si>
    <t>91170                     CASE &lt;50.0009</t>
  </si>
  <si>
    <t>91180                              Diam=1</t>
  </si>
  <si>
    <t>91190                     CASE 50.001 TO 124.999</t>
  </si>
  <si>
    <t>91200                              Diam=2</t>
  </si>
  <si>
    <t>91210                     CASE 125 TO 280</t>
  </si>
  <si>
    <t>91220                              Diam=3</t>
  </si>
  <si>
    <t>91230                     END SELECT</t>
  </si>
  <si>
    <t>91240         CASE 3.551 TO 6</t>
  </si>
  <si>
    <t>91250             Modulo=4</t>
  </si>
  <si>
    <t>91260                     SELECT Mt*Z0</t>
  </si>
  <si>
    <t>91270                     CASE &lt;50.0009</t>
  </si>
  <si>
    <t>91280                              Diam=1</t>
  </si>
  <si>
    <t>91290                     CASE 50.001 TO 124.999</t>
  </si>
  <si>
    <t>91300                              Diam=2</t>
  </si>
  <si>
    <t>91310                     CASE 125 TO 280</t>
  </si>
  <si>
    <t>91320                              Diam=3</t>
  </si>
  <si>
    <t>91330                     END SELECT</t>
  </si>
  <si>
    <t>91340         CASE 6.001 TO 10</t>
  </si>
  <si>
    <t>91350             Modulo=5</t>
  </si>
  <si>
    <t>91360                     SELECT Mt*Z0</t>
  </si>
  <si>
    <t>91370                     CASE 50.001 TO 124.999</t>
  </si>
  <si>
    <t>91380                              Diam=1</t>
  </si>
  <si>
    <t>91390                     CASE 125 TO 280</t>
  </si>
  <si>
    <t>91400                              Diam=2</t>
  </si>
  <si>
    <t>91410                     CASE 280.001 TO 560</t>
  </si>
  <si>
    <t>91420                              Diam=3</t>
  </si>
  <si>
    <t>91430                     END SELECT</t>
  </si>
  <si>
    <t>91440         CASE 10.001 TO 16</t>
  </si>
  <si>
    <t>91450             Modulo=6</t>
  </si>
  <si>
    <t>91460                     SELECT Mt*Z0</t>
  </si>
  <si>
    <t>91470                     CASE 50.001 TO 124.999</t>
  </si>
  <si>
    <t>91480                              Diam=1</t>
  </si>
  <si>
    <t>91490                     CASE 125 TO 280</t>
  </si>
  <si>
    <t>91500                              Diam=2</t>
  </si>
  <si>
    <t>91510                     CASE 280.001 TO 560</t>
  </si>
  <si>
    <t>91520                              Diam=3</t>
  </si>
  <si>
    <t>91530                     END SELECT</t>
  </si>
  <si>
    <t>91540         CASE 16.001 TO 25</t>
  </si>
  <si>
    <t>91550             Modulo=7</t>
  </si>
  <si>
    <t>91560                     SELECT Mt*Z0</t>
  </si>
  <si>
    <t>91570                     CASE 125 TO 280</t>
  </si>
  <si>
    <t>91580                              Diam=1</t>
  </si>
  <si>
    <t>91590                     CASE 280.001 TO 560</t>
  </si>
  <si>
    <t>91600                              Diam=2</t>
  </si>
  <si>
    <t>91610                     END SELECT</t>
  </si>
  <si>
    <t>91620         END SELECT</t>
  </si>
  <si>
    <t>91640      READ Toll_ze(*)</t>
  </si>
  <si>
    <t>91660      DATA 2,2,2.5,2.5,3,6.5,6,2.5,2.5,3.5,3.5,4.5,9,9,3.5,3.5,5,5,6,13,11</t>
  </si>
  <si>
    <t>91670      DATA 2,2,2.5,2.5,3.5,9,7,2.5,2.5,3.5,3.5,4.5,12,10,3.5,3.5,5,5,6.5,16,12</t>
  </si>
  <si>
    <t>91680      DATA 2,2,2.5,3,3.5,10,8,2.5,2.5,3.5,4,5,14,10,3.5,3.5,5,5.5,7,19,14</t>
  </si>
  <si>
    <t>91700      DATA 2,2,3,3.5,3,7,7,3,3,4,3.5,4.5,10,10,4.5,4,6,5,6,14,12</t>
  </si>
  <si>
    <t>91710      DATA 2,2,3,2.5,3,9,8,3,3,4,4,5,14,10,4.5,4,6,5,6,18,14</t>
  </si>
  <si>
    <t>91720      DATA 2,2,3,3,3.5,11,9,3,3,4,4,5,16,11,4.5,4,6,5.5,7,20,16</t>
  </si>
  <si>
    <t>91740      DATA 3,2,4,2.5,3,8,8,4,3,5,3.5,4.5,11,10,6,4.5,7,5,6,16,14</t>
  </si>
  <si>
    <t>91750      DATA 3,2,4,2.5,3,10,9,4,3,5,3.5,4.5,14,11,6,4.5,7,5,6,20,16</t>
  </si>
  <si>
    <t>91760      DATA 3,2,4,3,3.5,12,10,4,3,5,4,5,16,12,6,4.5,7,6,8,22,17</t>
  </si>
  <si>
    <t>91780      DATA 4,3,5,3,4,8,9,5,4,7,4,5,12,11,7,5.5,9,6,8,16,16</t>
  </si>
  <si>
    <t>91790      DATA 4,3,5,3,4,10,10,5,4,7,4,5,16,12,7,5.5,9,6,8,20,17</t>
  </si>
  <si>
    <t>91800      DATA 4,3,5,3.5,4,12,10,5,4,7,4.5,5.5,18,14,7,5.5,9,7,9,25,19</t>
  </si>
  <si>
    <t>91820      DATA 5,3.5,6,3.5,4.5,11,11,7,5,8,5,6,16,15,10,7,12,7,9,22,19</t>
  </si>
  <si>
    <t>91830      DATA 5,3.5,6,4,5,14,12,7,5,8,5.5,6.5,20,17,10,7,12,8,10,25,22</t>
  </si>
  <si>
    <t>91840      DATA 5,3.5,6,4,5,16,14,7,5,8,6,8,22,19,10,7,12,8,10,28,25</t>
  </si>
  <si>
    <t>91860      DATA 6,4,8,4.5,5.5,12,12,9,6,11,6,8,18,17,12,8,16,9,11,25,22</t>
  </si>
  <si>
    <t>91870      DATA 6,4,8,4.5,5.5,14,14,9,6,11,9,8,20,19,12,8,16,9,11,28,28</t>
  </si>
  <si>
    <t>91880      DATA 6,4,8,5,6,16,15,9,6,11,7,9,22,22,12,8,16,10,12,32,31</t>
  </si>
  <si>
    <t>91900      DATA 8,5.5,10,6,16,15,8,12,8,14,8,10,22,22,16,11,20,11,14,32,31</t>
  </si>
  <si>
    <t>91910      DATA 8,5.5,10,6,8,18,17,12,8,14,8,10,25,25,16,11,20,12,16,36,35</t>
  </si>
  <si>
    <t>91930      DATA 0,0,0,0,0,0,0,0,0,0,0,0,0,0,0,0,0,0,0,0,0,0,0,0,0,0</t>
  </si>
  <si>
    <t>92010          GINIT</t>
  </si>
  <si>
    <t>92020          GCLEAR</t>
  </si>
  <si>
    <t>92030         DISP "STAMPA DELL'ESECUTIVO IN CORSO DI ESECUZIONE SUL PLOTTER"</t>
  </si>
  <si>
    <t>92070          PLOTTER IS "c:\Programmi\HTBwin83\NEWPROG\newdxf","HPGL;HPGL2",0,406,0,276</t>
  </si>
  <si>
    <t>92080          SHOW 0,406,0,276              !SHOW -8,289,-12,408!SHOW 0,401.6,0,274.5!</t>
  </si>
  <si>
    <t>92100       FOR Sp=-.12 TO .12 STEP .02</t>
  </si>
  <si>
    <t>92110          PEN 2</t>
  </si>
  <si>
    <t>92120          CSIZE 1.77,.65</t>
  </si>
  <si>
    <t>92150          LORG 1</t>
  </si>
  <si>
    <t>92160          FRAME</t>
  </si>
  <si>
    <t>92170          LDIR 0</t>
  </si>
  <si>
    <t>92190                           IF LEN(Part$) THEN</t>
  </si>
  <si>
    <t>92200                                             MOVE 210+Sp,260+Sp</t>
  </si>
  <si>
    <t>92220                                             LABEL Part$</t>
  </si>
  <si>
    <t>92230                           END IF</t>
  </si>
  <si>
    <t>92250          IF LEN(Risp$) THEN</t>
  </si>
  <si>
    <t>92260                                            MOVE 263+Sp,252+Sp</t>
  </si>
  <si>
    <t>92270                           LABEL Z1</t>
  </si>
  <si>
    <t>92290                                             MOVE 263+Sp,246+Sp</t>
  </si>
  <si>
    <t>92310                           LABEL "hap =";X_hap</t>
  </si>
  <si>
    <t>92330                            MOVE 263+Sp,240+Sp</t>
  </si>
  <si>
    <t>92340                           LABEL "hfp =";X_hfp</t>
  </si>
  <si>
    <t>92360                            MOVE 263+Sp,234+Sp</t>
  </si>
  <si>
    <t>92370                           LABEL "X0mn =";X1mn</t>
  </si>
  <si>
    <t>92390                           P=350</t>
  </si>
  <si>
    <t>92400                           GOSUB Spes_amp</t>
  </si>
  <si>
    <t>92410      END IF</t>
  </si>
  <si>
    <t>92430             IF LEN(Risp$) THEN GOTO Stampa_utens</t>
  </si>
  <si>
    <t>92440             MOVE 268+Sp,260+Sp</t>
  </si>
  <si>
    <t>92450                 IF Int THEN</t>
  </si>
  <si>
    <t>92460                            SELECT Lingua$</t>
  </si>
  <si>
    <t>92470                                         CASE "ITALIANO"</t>
  </si>
  <si>
    <t>92480                                      LABEL "INTERNO"</t>
  </si>
  <si>
    <t>92490                                         CASE "INGLESE"</t>
  </si>
  <si>
    <t>92510                                         LABEL "INTERNAL"</t>
  </si>
  <si>
    <t>92520                                         CASE "TEDESCO"</t>
  </si>
  <si>
    <t>92530                                      LABEL "INNEN"</t>
  </si>
  <si>
    <t>92540                            END SELECT</t>
  </si>
  <si>
    <t>92550                 ELSE</t>
  </si>
  <si>
    <t>92560                            SELECT Lingua$</t>
  </si>
  <si>
    <t>92570                                         CASE "ITALIANO"</t>
  </si>
  <si>
    <t>92580                                                       LABEL "ESTERNO"</t>
  </si>
  <si>
    <t>92590                                         CASE "TEDESCO"</t>
  </si>
  <si>
    <t>92600                                                       LABEL "AUSSEN"</t>
  </si>
  <si>
    <t>92610                                         CASE "INGLESE"</t>
  </si>
  <si>
    <t>92620                                                       LABEL "EXTERNAL"</t>
  </si>
  <si>
    <t>92630                            END SELECT</t>
  </si>
  <si>
    <t>92640                 END IF</t>
  </si>
  <si>
    <t>92670             P=253+Sp</t>
  </si>
  <si>
    <t>92690             MOVE P,252+Sp</t>
  </si>
  <si>
    <t>92700             LABEL USING "8D";Z1</t>
  </si>
  <si>
    <t>92710             MOVE P,246+Sp</t>
  </si>
  <si>
    <t>92730             LABEL USING "8D.3D";Da1</t>
  </si>
  <si>
    <t>92740             MOVE P,240+Sp</t>
  </si>
  <si>
    <t>92750             LABEL USING "8D.3D";Df1</t>
  </si>
  <si>
    <t>92760             MOVE P,234+Sp</t>
  </si>
  <si>
    <t>92770             LABEL USING "8D.3D";Mt*Z1</t>
  </si>
  <si>
    <t>92790             MOVE P,228+Sp</t>
  </si>
  <si>
    <t>92800             LABEL USING "8D.3D";Db1</t>
  </si>
  <si>
    <t>92830             P=353+Sp</t>
  </si>
  <si>
    <t>92840                  IF Dnf1 THEN</t>
  </si>
  <si>
    <t>92850                  MOVE P,264+Sp</t>
  </si>
  <si>
    <t>92860                  LABEL USING "5D.2D";Dnf1</t>
  </si>
  <si>
    <t>92870                  END IF</t>
  </si>
  <si>
    <t>92880                           IF Dk1 THEN</t>
  </si>
  <si>
    <t>92890                           MOVE P-10,258+Sp</t>
  </si>
  <si>
    <t>92900                           LABEL USING "8D.2D,K,K";Dk1,"/",Apkn$</t>
  </si>
  <si>
    <t>92910                           END IF</t>
  </si>
  <si>
    <t>92930                           IF W1 THEN</t>
  </si>
  <si>
    <t>92940                           MOVE 310+Sp,252.5+Sp</t>
  </si>
  <si>
    <t>92950                                      SELECT Lingua$</t>
  </si>
  <si>
    <t>92960                                                   CASE "ITALIANO"</t>
  </si>
  <si>
    <t>92970                                                                 K1_st$=K1$</t>
  </si>
  <si>
    <t>92980                                                   CASE "TEDESCO"</t>
  </si>
  <si>
    <t>93000                                           IF Int THEN</t>
  </si>
  <si>
    <t>93010                                                  K1_st$="Zahnlueck."</t>
  </si>
  <si>
    <t>93020                                           ELSE</t>
  </si>
  <si>
    <t>93030                                                  K1_st$="Zaehne "</t>
  </si>
  <si>
    <t>93040                                           END IF</t>
  </si>
  <si>
    <t>93060                                                   CASE "INGLESE"</t>
  </si>
  <si>
    <t>93080                                           IF Int THEN</t>
  </si>
  <si>
    <t>93090                                                  K1_st$="On Space "</t>
  </si>
  <si>
    <t>93100                                           ELSE</t>
  </si>
  <si>
    <t>93110                                                  K1_st$="On Teeth "</t>
  </si>
  <si>
    <t>93120                                           END IF</t>
  </si>
  <si>
    <t>93140                                      END SELECT</t>
  </si>
  <si>
    <t>93160                                 LABEL USING "K,K";K1_st$,K1</t>
  </si>
  <si>
    <t>93170                                 MOVE P-10,252+Sp</t>
  </si>
  <si>
    <t>93180                                 LABEL USING "9D.3D";W1</t>
  </si>
  <si>
    <t>93190                           END IF</t>
  </si>
  <si>
    <t>93200                                      IF Mdk THEN</t>
  </si>
  <si>
    <t>93210                                      MOVE 322-5+Sp,246.0</t>
  </si>
  <si>
    <t>93220                                      LABEL USING "5D.3D";ABS(Dm)</t>
  </si>
  <si>
    <t>93230                                      MOVE P-10,246+Sp</t>
  </si>
  <si>
    <t>93240                                      LABEL USING "9D.3D";Mdk</t>
  </si>
  <si>
    <t>93250                                      END IF</t>
  </si>
  <si>
    <t>93270         IF Int THEN</t>
  </si>
  <si>
    <t>93280         MOVE 298+Sp,240+Sp</t>
  </si>
  <si>
    <t>93290         LABEL "#######"</t>
  </si>
  <si>
    <t>93300         MOVE P,240+Sp</t>
  </si>
  <si>
    <t>93310         LABEL USING "4D.3D";En1</t>
  </si>
  <si>
    <t>93320         ELSE</t>
  </si>
  <si>
    <t>93330         MOVE 321+Sp,240+Sp</t>
  </si>
  <si>
    <t>93340         LABEL "#######"</t>
  </si>
  <si>
    <t>93350         MOVE P,240+Sp</t>
  </si>
  <si>
    <t>93360         LABEL USING "4D.3D";Sn1</t>
  </si>
  <si>
    <t>93370         END IF</t>
  </si>
  <si>
    <t>93390        IF LEN(Risp$) THEN RETURN</t>
  </si>
  <si>
    <t>93400               MOVE P+5,234+Sp</t>
  </si>
  <si>
    <t>93410               IF Elic THEN</t>
  </si>
  <si>
    <t>93420                           SELECT Lingua$</t>
  </si>
  <si>
    <t>93430                                         CASE "ITALIANO"</t>
  </si>
  <si>
    <t>93440                                                       LABEL Sen_el$</t>
  </si>
  <si>
    <t>93450                                         CASE "INGLESE"</t>
  </si>
  <si>
    <t>93460                                              IF Sen_el$="DESTRO" THEN</t>
  </si>
  <si>
    <t>93470                                                       LABEL "RIGHT"</t>
  </si>
  <si>
    <t>93480                                              ELSE</t>
  </si>
  <si>
    <t>93490                                                       LABEL "LEFT"</t>
  </si>
  <si>
    <t>93500                                              END IF</t>
  </si>
  <si>
    <t>93510                                         CASE "TEDESCO"</t>
  </si>
  <si>
    <t>93520                                              IF Sen_el$="DESTRO" THEN</t>
  </si>
  <si>
    <t>93530                                                       LABEL "RECHTS"</t>
  </si>
  <si>
    <t>93540                                              ELSE</t>
  </si>
  <si>
    <t>93550                                                       LABEL "LINKS"</t>
  </si>
  <si>
    <t>93560                                              END IF</t>
  </si>
  <si>
    <t>93570                         END SELECT</t>
  </si>
  <si>
    <t>93580               ELSE</t>
  </si>
  <si>
    <t>93590                         SELECT Lingua$</t>
  </si>
  <si>
    <t>93600                                       CASE "ITALIANO"</t>
  </si>
  <si>
    <t>93610                                                      LABEL "DIRITTO"</t>
  </si>
  <si>
    <t>93620                                       CASE "TEDESCO"</t>
  </si>
  <si>
    <t>93630                                                      LABEL "GERADE"</t>
  </si>
  <si>
    <t>93640                                       CASE "INGLESE"</t>
  </si>
  <si>
    <t>93650                                                      LABEL "STRAIGHT"</t>
  </si>
  <si>
    <t>93660                         END SELECT</t>
  </si>
  <si>
    <t>93670               END IF</t>
  </si>
  <si>
    <t>93690        IF LEN(Comment_part$) THEN</t>
  </si>
  <si>
    <t>93700                                  MOVE 299+Sp,228+Sp</t>
  </si>
  <si>
    <t>93710                                  LABEL Comment_part$</t>
  </si>
  <si>
    <t>93720        END IF</t>
  </si>
  <si>
    <t>93750             MOVE 280+Sp,98+Sp</t>
  </si>
  <si>
    <t>93760            LABEL Lavor$;Work$;Work_b$;Work_c$</t>
  </si>
  <si>
    <t>93780             P=265+Sp</t>
  </si>
  <si>
    <t>93790                  IF LEN(Dp$)&gt;0 THEN</t>
  </si>
  <si>
    <t>93800                  MOVE P,90+Sp</t>
  </si>
  <si>
    <t>93810                  LABEL Dp$</t>
  </si>
  <si>
    <t>93820                  END IF</t>
  </si>
  <si>
    <t>93830             MOVE P,84+Sp</t>
  </si>
  <si>
    <t>93840             LABEL Mn$</t>
  </si>
  <si>
    <t>93850                  IF Elic THEN</t>
  </si>
  <si>
    <t>93860                  MOVE P,78+Sp</t>
  </si>
  <si>
    <t>93870                  LABEL Mt$</t>
  </si>
  <si>
    <t>93880                  END IF</t>
  </si>
  <si>
    <t>93890             MOVE P,72+Sp</t>
  </si>
  <si>
    <t>93900             LABEL Z0</t>
  </si>
  <si>
    <t>93910             MOVE P,66+Sp</t>
  </si>
  <si>
    <t>93920             LABEL Apn$</t>
  </si>
  <si>
    <t>93940               IF Elic THEN</t>
  </si>
  <si>
    <t>93950                  MOVE P,60+Sp</t>
  </si>
  <si>
    <t>93960                  LABEL Apt$</t>
  </si>
  <si>
    <t>93970                  MOVE P,54+Sp</t>
  </si>
  <si>
    <t>93980                  LABEL Ael$</t>
  </si>
  <si>
    <t>93990                  MOVE P,48+Sp</t>
  </si>
  <si>
    <t>94000                           SELECT Lingua$</t>
  </si>
  <si>
    <t>94010                                         CASE "ITALIANO"</t>
  </si>
  <si>
    <t>94020                                                       LABEL Senso$</t>
  </si>
  <si>
    <t>94030                                         CASE "INGLESE"</t>
  </si>
  <si>
    <t>94040                                              IF Senso$="DESTRO" THEN</t>
  </si>
  <si>
    <t>94050                                                       LABEL "RIGHT"</t>
  </si>
  <si>
    <t>94060                                              ELSE</t>
  </si>
  <si>
    <t>94070                                                       LABEL "LEFT"</t>
  </si>
  <si>
    <t>94080                                              END IF</t>
  </si>
  <si>
    <t>94090                                         CASE "TEDESCO"</t>
  </si>
  <si>
    <t>94100                                              IF Senso$="DESTRO" THEN</t>
  </si>
  <si>
    <t>94110                                                       LABEL "RECHTS"</t>
  </si>
  <si>
    <t>94120                                              ELSE</t>
  </si>
  <si>
    <t>94130                                                       LABEL "LINKS"</t>
  </si>
  <si>
    <t>94140                                              END IF</t>
  </si>
  <si>
    <t>94150                         END SELECT</t>
  </si>
  <si>
    <t>94160                  MOVE P-15,42+Sp</t>
  </si>
  <si>
    <t>94170                  LABEL USING "9D.3D";Pz0</t>
  </si>
  <si>
    <t>94180                ELSE</t>
  </si>
  <si>
    <t>94190                      MOVE P,48+Sp</t>
  </si>
  <si>
    <t>94200                         SELECT Lingua$</t>
  </si>
  <si>
    <t>94210                                       CASE "ITALIANO"</t>
  </si>
  <si>
    <t>94220                                                      LABEL "DIRITTO"</t>
  </si>
  <si>
    <t>94230                                       CASE "TEDESCO"</t>
  </si>
  <si>
    <t>94240                                                      LABEL "GERADE"</t>
  </si>
  <si>
    <t>94250                                       CASE "INGLESE"</t>
  </si>
  <si>
    <t>94260                                                      LABEL "STRAIGHT"</t>
  </si>
  <si>
    <t>94270                         END SELECT</t>
  </si>
  <si>
    <t>94280                END IF</t>
  </si>
  <si>
    <t>94320                CSIZE 2,.6</t>
  </si>
  <si>
    <t>94330                FOR I=-.1 TO .5 STEP .14</t>
  </si>
  <si>
    <t>94340                MOVE P+I-1,29+I</t>
  </si>
  <si>
    <t>94350                LABEL "- ";Classe$;" -"</t>
  </si>
  <si>
    <t>94360                NEXT I</t>
  </si>
  <si>
    <t>94370                CSIZE 1.75,.65</t>
  </si>
  <si>
    <t>94400             P=356+Sp</t>
  </si>
  <si>
    <t>94410             MOVE P,90+Sp</t>
  </si>
  <si>
    <t>94420             LABEL USING "4D.3D";Mt*Z0</t>
  </si>
  <si>
    <t>94430             MOVE P,84+Sp</t>
  </si>
  <si>
    <t>94440             LABEL USING "4D.3D";Db0h</t>
  </si>
  <si>
    <t>94450             MOVE P,78+Sp</t>
  </si>
  <si>
    <t>94460                  IF Elic THEN</t>
  </si>
  <si>
    <t>94470                  LABEL USING "4D.3D";Db0t</t>
  </si>
  <si>
    <t>94480                  ELSE</t>
  </si>
  <si>
    <t>94490                  LABEL "'    ' "</t>
  </si>
  <si>
    <t>94500                  END IF</t>
  </si>
  <si>
    <t>94510              MOVE P,72+Sp</t>
  </si>
  <si>
    <t>94520              LABEL USING "3D.2D";X0*Mn</t>
  </si>
  <si>
    <t>94530              MOVE P,66+Sp</t>
  </si>
  <si>
    <t>94540              LABEL USING "3D.2D,K";X_hap0," Mn"</t>
  </si>
  <si>
    <t>94550              MOVE P,60+Sp</t>
  </si>
  <si>
    <t>94560              LABEL Zeta_h$</t>
  </si>
  <si>
    <t>94570              MOVE P,54+Sp</t>
  </si>
  <si>
    <t>94580                  IF Elic THEN</t>
  </si>
  <si>
    <t>94590                  LABEL Zeta_t$</t>
  </si>
  <si>
    <t>94600                  ELSE</t>
  </si>
  <si>
    <t>94610                  LABEL "'  '"</t>
  </si>
  <si>
    <t>94620                  END IF</t>
  </si>
  <si>
    <t>94640                  IF NOT Elic THEN</t>
  </si>
  <si>
    <t>94650                  MOVE P,48+Sp</t>
  </si>
  <si>
    <t>94660                  LABEL USING "5D.3D";Pbt</t>
  </si>
  <si>
    <t>94670                  MOVE P,42+Sp</t>
  </si>
  <si>
    <t>94680                  LABEL USING "5D.3D";W0</t>
  </si>
  <si>
    <t>94690                  MOVE P,36+Sp</t>
  </si>
  <si>
    <t>94700                  LABEL USING "DDDD";K</t>
  </si>
  <si>
    <t>94710                  END IF</t>
  </si>
  <si>
    <t>94730        IF LEN(Comment_ut$) THEN</t>
  </si>
  <si>
    <t>94740                                MOVE 300+Sp,30+Sp</t>
  </si>
  <si>
    <t>94750                                LABEL Comment_ut$</t>
  </si>
  <si>
    <t>94760        END IF</t>
  </si>
  <si>
    <t>94780                  MOVE 336+Sp,15+Sp</t>
  </si>
  <si>
    <t>94790                  LABEL Peso</t>
  </si>
  <si>
    <t>94830         CSIZE 2,.45</t>
  </si>
  <si>
    <t>94840              MOVE 229+Sp,3.5+Sp</t>
  </si>
  <si>
    <t>94850              LABEL Tip_colt$</t>
  </si>
  <si>
    <t>94860              MOVE 272+Sp,3.5+Sp</t>
  </si>
  <si>
    <t>94870         IF LEN(Mn$)&gt;5 THEN</t>
  </si>
  <si>
    <t>94880                           CSIZE 1.6,.5</t>
  </si>
  <si>
    <t>94890                           LABEL Mn$</t>
  </si>
  <si>
    <t>94900                           CSIZE 2.2,.47</t>
  </si>
  <si>
    <t>94910         ELSE</t>
  </si>
  <si>
    <t>94920              LABEL Mn$</t>
  </si>
  <si>
    <t>94930         END IF</t>
  </si>
  <si>
    <t>94940              MOVE 300.8+Sp,3.5+Sp</t>
  </si>
  <si>
    <t>94950              LABEL Z0</t>
  </si>
  <si>
    <t>94960              MOVE 327+Sp,3.5+Sp</t>
  </si>
  <si>
    <t>94970              LABEL Apn$</t>
  </si>
  <si>
    <t>94980              LORG 4</t>
  </si>
  <si>
    <t>94990              FOR W=-.15 TO .2 STEP .06</t>
  </si>
  <si>
    <t>95000              MOVE 379+W,1.6+W</t>
  </si>
  <si>
    <t>95010              LABEL Dis$</t>
  </si>
  <si>
    <t>95020              MOVE 379+W,14+W</t>
  </si>
  <si>
    <t>95030              LABEL Cliente$</t>
  </si>
  <si>
    <t>95040              NEXT W</t>
  </si>
  <si>
    <t>95050              LORG 1</t>
  </si>
  <si>
    <t>95070              CSIZE 1.50,.38</t>
  </si>
  <si>
    <t>95080              LDIR PI/2</t>
  </si>
  <si>
    <t>95090              MOVE 404.85+Sp,29.8+Sp</t>
  </si>
  <si>
    <t>95100              LABEL DATE$(TIMEDATE)</t>
  </si>
  <si>
    <t>95120              IF Progettista$="S.Chiamberlando" THEN CSIZE 1.25,.35</t>
  </si>
  <si>
    <t>95130              MOVE 404.85+Sp,50.4+Sp</t>
  </si>
  <si>
    <t>95140              LABEL Progettista$</t>
  </si>
  <si>
    <t>95160              CSIZE 1.50,.38</t>
  </si>
  <si>
    <t>95170              MOVE 404.85+Sp,70.4+Sp</t>
  </si>
  <si>
    <t>95180              LABEL "L.Gambino"</t>
  </si>
  <si>
    <t>95290              LDIR 0</t>
  </si>
  <si>
    <t>95330         CSIZE 1.5,.5</t>
  </si>
  <si>
    <t>95350             MOVE 372.5+Sp,139.5+Sp</t>
  </si>
  <si>
    <t>95360             LABEL USING "3D.3D";S_vn0</t>
  </si>
  <si>
    <t>95370             LDIR PI/2</t>
  </si>
  <si>
    <t>95380             MOVE 383.5+Sp,147+Sp</t>
  </si>
  <si>
    <t>95390             LABEL USING "3D.3D";H_vn0</t>
  </si>
  <si>
    <t>95410             LDIR 0</t>
  </si>
  <si>
    <t>95420             MOVE 363+Sp,122+Sp</t>
  </si>
  <si>
    <t>95430             LABEL USING "K,6D.3D";"Dv0=";Dv0</t>
  </si>
  <si>
    <t>95450  IF Prtz THEN</t>
  </si>
  <si>
    <t>95460             LDIR 0</t>
  </si>
  <si>
    <t>95470             MOVE 338+Sp,176.5+Sp</t>
  </si>
  <si>
    <t>95480             LABEL USING "K,D.3D";"Protub.",Prtz</t>
  </si>
  <si>
    <t>95490             LDIR 1.780</t>
  </si>
  <si>
    <t>95500             MOVE 357+Sp,150.5+Sp</t>
  </si>
  <si>
    <t>95510             LABEL USING "D.2D";H_ra0</t>
  </si>
  <si>
    <t>95520    END IF</t>
  </si>
  <si>
    <t>95530            IF LEN(Topping$) OR LEN(T$) THEN</t>
  </si>
  <si>
    <t>95540                                LDIR .4887</t>
  </si>
  <si>
    <t>95550                                MOVE 333+Sp,135+Sp</t>
  </si>
  <si>
    <t>95560                                LABEL USING "3D.DD";(Da0-D_topp)/2</t>
  </si>
  <si>
    <t>95570                                MOVE 332+Sp,130+Sp</t>
  </si>
  <si>
    <t>95580                                LABEL "Topping"</t>
  </si>
  <si>
    <t>95590            END IF</t>
  </si>
  <si>
    <t>95600             IF Dk1 THEN</t>
  </si>
  <si>
    <t>95610                    LDIR .34907</t>
  </si>
  <si>
    <t>95620                    MOVE 345+Sp,138+Sp</t>
  </si>
  <si>
    <t>95630                    LABEL USING "3D.2D";Hk0</t>
  </si>
  <si>
    <t>95640                    CSIZE 1.3,.5</t>
  </si>
  <si>
    <t>95650                    MOVE 346+Sp,134+Sp</t>
  </si>
  <si>
    <t>95660                    LABEL Toll_hk0$</t>
  </si>
  <si>
    <t>95670                    CSIZE 1.5,.5</t>
  </si>
  <si>
    <t>95680             ELSE</t>
  </si>
  <si>
    <t>95690                IF LEN(Topping$) THEN GOTO 95730</t>
  </si>
  <si>
    <t>95700                    LDIR .4887</t>
  </si>
  <si>
    <t>95710                    MOVE 336+Sp,134+Sp</t>
  </si>
  <si>
    <t>95720                                 LABEL USING "4D.D";(Da0-Df0)/2</t>
  </si>
  <si>
    <t>95730             END IF</t>
  </si>
  <si>
    <t>95740                         LDIR 0</t>
  </si>
  <si>
    <t>95750                         MOVE 338+Sp,170+Sp</t>
  </si>
  <si>
    <t>95760              IF Ra0 THEN</t>
  </si>
  <si>
    <t>95770                         SELECT Lingua$</t>
  </si>
  <si>
    <t>95780                                      CASE "ITALIANO"</t>
  </si>
  <si>
    <t>95790                                          LABEL USING "K,D.2D";"Raggio",Ra0</t>
  </si>
  <si>
    <t>95800                                      CASE "TEDESCO"</t>
  </si>
  <si>
    <t>95810                                          LABEL USING "K,D.2D";"Radius",Ra0</t>
  </si>
  <si>
    <t>95820                                      CASE "INGLESE"</t>
  </si>
  <si>
    <t>95830                                          LABEL USING "K,D.2D";"Radius",Ra0</t>
  </si>
  <si>
    <t>95840                         END SELECT</t>
  </si>
  <si>
    <t>95850              ELSE</t>
  </si>
  <si>
    <t>95860                        SELECT Lingua$</t>
  </si>
  <si>
    <t>95870                                     CASE "ITALIANO"</t>
  </si>
  <si>
    <t>95880                                          LABEL USING "K,D.2D";"Smusso",Hab</t>
  </si>
  <si>
    <t>95890                                     CASE "TEDESCO"</t>
  </si>
  <si>
    <t>95900                                          LABEL USING "K,D.2D";"Fase",Hab</t>
  </si>
  <si>
    <t>95910                                     CASE "INGLESE"</t>
  </si>
  <si>
    <t>95920                                         LABEL USING "K,D.2D";"Chamfer",Hab</t>
  </si>
  <si>
    <t>95930                        END SELECT</t>
  </si>
  <si>
    <t>95940              END IF</t>
  </si>
  <si>
    <t>95960              CSIZE 1.75,.65</t>
  </si>
  <si>
    <t>95970              LDIR PI/2</t>
  </si>
  <si>
    <t>95980            IF Printcodolo=1 THEN</t>
  </si>
  <si>
    <t>95990                                          MOVE 318+Sp,174+Sp              !</t>
  </si>
  <si>
    <t>96010                      ELSE</t>
  </si>
  <si>
    <t>96020                                         MOVE 307+Sp,174+Sp               !</t>
  </si>
  <si>
    <t>96030                      END IF</t>
  </si>
  <si>
    <t>96050              LABEL H_l</t>
  </si>
  <si>
    <t>96060              LDIR 0</t>
  </si>
  <si>
    <t>96090 IF Cono$="" THEN</t>
  </si>
  <si>
    <t>96100               MOVE 221+Sp,205+Sp</t>
  </si>
  <si>
    <t>96110               LABEL Foro$</t>
  </si>
  <si>
    <t>96120 ELSE</t>
  </si>
  <si>
    <t>96130               MOVE 227+Sp,212+Sp</t>
  </si>
  <si>
    <t>96140               LABEL Cono$</t>
  </si>
  <si>
    <t>96170            MOVE 227+Sp,219+Sp</t>
  </si>
  <si>
    <t>96180            LABEL Fill_cono$</t>
  </si>
  <si>
    <t>96200            LDIR PI/2</t>
  </si>
  <si>
    <t>96210            MOVE 299+Sp,208+Sp</t>
  </si>
  <si>
    <t>96220            LABEL L_fill</t>
  </si>
  <si>
    <t>96240            MOVE 307+Sp,197+Sp</t>
  </si>
  <si>
    <t>96250            LABEL L_cono</t>
  </si>
  <si>
    <t>96270    IF Cono$="MORSE Kegel 4" THEN</t>
  </si>
  <si>
    <t>96280                                CSIZE 1.5,.45</t>
  </si>
  <si>
    <t>96290                                LDIR 0</t>
  </si>
  <si>
    <t>96300                                MOVE 222+Sp,197+Sp</t>
  </si>
  <si>
    <t>96310                                LABEL "Chiave SW 20"</t>
  </si>
  <si>
    <t>96320                                MOVE 222+Sp,193+Sp</t>
  </si>
  <si>
    <t>96330                                LABEL "Salvacono 27x3"</t>
  </si>
  <si>
    <t>96340                                CSIZE 1.80,.60                       !1.75,.5</t>
  </si>
  <si>
    <t>96350                                MOVE 317+Sp,14+Sp</t>
  </si>
  <si>
    <t>96360                                LABEL Fgtorn$</t>
  </si>
  <si>
    <t>96370                                CSIZE 1.75,.5</t>
  </si>
  <si>
    <t>96380    END IF</t>
  </si>
  <si>
    <t>96400    IF D_cono=31.06 THEN</t>
  </si>
  <si>
    <t>96410                        LDIR 0</t>
  </si>
  <si>
    <t>96420                        MOVE 283+Sp,193+Sp</t>
  </si>
  <si>
    <t>96430                        LABEL D_batt</t>
  </si>
  <si>
    <t>96450                        LDIR PI/2</t>
  </si>
  <si>
    <t>96460                        MOVE 298+Sp,179+Sp</t>
  </si>
  <si>
    <t>96470                        LABEL "8"</t>
  </si>
  <si>
    <t>96490                        MOVE 298+Sp,185+Sp</t>
  </si>
  <si>
    <t>96500                        LABEL "4"</t>
  </si>
  <si>
    <t>96510    END IF</t>
  </si>
  <si>
    <t>96530            LDIR 0</t>
  </si>
  <si>
    <t>96540            MOVE 228+Sp,204+Sp</t>
  </si>
  <si>
    <t>96550            LABEL D_cono</t>
  </si>
  <si>
    <t>96570 END IF</t>
  </si>
  <si>
    <t>96600          CSIZE 1.75,.5</t>
  </si>
  <si>
    <t>96610                IF NOT D_cono THEN</t>
  </si>
  <si>
    <t>96620                       IF LEN(Collarino$) THEN</t>
  </si>
  <si>
    <t>96630                                              MOVE 275+Sp,202+Sp</t>
  </si>
  <si>
    <t>96640                                              LABEL Collarino$</t>
  </si>
  <si>
    <t>96650                       END IF</t>
  </si>
  <si>
    <t>96670                       IF LEN(Caratt_ut$) THEN</t>
  </si>
  <si>
    <t>96680                                              MOVE 211+Sp,222+Sp</t>
  </si>
  <si>
    <t>96690        LABEL USING "K,K,K,K,K";Amp_ch$," x ",Prof_ch$,Caratt_ut$,Coass_ch$," ( Controllo R_fondo = 0.4 +/-0.1 ) "</t>
  </si>
  <si>
    <t>96700                       END IF</t>
  </si>
  <si>
    <t>96710                ELSE</t>
  </si>
  <si>
    <t>96720                       IF LEN(Collarino$) THEN</t>
  </si>
  <si>
    <t>96730                                              CSIZE 1.75,.5                   !CSIZE 2.75,.75</t>
  </si>
  <si>
    <t>96740                                              MOVE 320+Sp,190+Sp</t>
  </si>
  <si>
    <t>96750                                              LABEL Collarino$</t>
  </si>
  <si>
    <t>96760                                              CSIZE 1.75,.5</t>
  </si>
  <si>
    <t>96770                       END IF</t>
  </si>
  <si>
    <t>96780                       IF LEN(Caratt_ut$) THEN</t>
  </si>
  <si>
    <t>96790                                              CSIZE 1.75,.5               !CSIZE 2,.60</t>
  </si>
  <si>
    <t>96800                                         FOR O=-.1 TO .15 STEP .08</t>
  </si>
  <si>
    <t>96810                                              MOVE 255+O,221+O</t>
  </si>
  <si>
    <t>96820                                              LABEL Caratt_ut$</t>
  </si>
  <si>
    <t>96830                                         NEXT O</t>
  </si>
  <si>
    <t>96840                                              CSIZE 1.75,.5</t>
  </si>
  <si>
    <t>96850                       END IF</t>
  </si>
  <si>
    <t>96860                END IF</t>
  </si>
  <si>
    <t>96900       IF Sykes=1 THEN</t>
  </si>
  <si>
    <t>96910                     CSIZE 4,.6</t>
  </si>
  <si>
    <t>96920                     FOR I=-1 TO .5 STEP .3</t>
  </si>
  <si>
    <t>96930                     MOVE 340+I,190+I</t>
  </si>
  <si>
    <t>96940                     LABEL "SYKES"</t>
  </si>
  <si>
    <t>96950                     NEXT I</t>
  </si>
  <si>
    <t>96960              CSIZE 1.75,.5</t>
  </si>
  <si>
    <t>96970        END IF</t>
  </si>
  <si>
    <t>97030  IF Elic THEN</t>
  </si>
  <si>
    <t>97040          IF NOT Tau=0 THEN</t>
  </si>
  <si>
    <t>97050                       Ay=221</t>
  </si>
  <si>
    <t>97060                       Ay1=207</t>
  </si>
  <si>
    <t>97070                       Ay2=212</t>
  </si>
  <si>
    <t>97080                       Ay3=221</t>
  </si>
  <si>
    <t>97090                                IF Senso$="SINISTRO" THEN</t>
  </si>
  <si>
    <t>97100                                                     Ax=353</t>
  </si>
  <si>
    <t>97110                                                     Ax1=359</t>
  </si>
  <si>
    <t>97120                                                     Ax2=367</t>
  </si>
  <si>
    <t>97130                                                     Ax3=360</t>
  </si>
  <si>
    <t>97140                                 ELSE</t>
  </si>
  <si>
    <t>97150                                                     Ax=382</t>
  </si>
  <si>
    <t>97160                                                     Ax1=376</t>
  </si>
  <si>
    <t>97170                                                     Ax2=368</t>
  </si>
  <si>
    <t>97180                                                     Ax3=375</t>
  </si>
  <si>
    <t>97190                                  END IF</t>
  </si>
  <si>
    <t>97200          ELSE</t>
  </si>
  <si>
    <t>97210                       Ay=221</t>
  </si>
  <si>
    <t>97220                       Ay1=207</t>
  </si>
  <si>
    <t>97230                       Ay2=207</t>
  </si>
  <si>
    <t>97240                       Ay3=221</t>
  </si>
  <si>
    <t>97250                  IF Senso$="SINISTRO" THEN</t>
  </si>
  <si>
    <t>97260                                       Ax=356</t>
  </si>
  <si>
    <t>97270                                       Ax1=359</t>
  </si>
  <si>
    <t>97280                                       Ax2=369</t>
  </si>
  <si>
    <t>97290                                       Ax3=361</t>
  </si>
  <si>
    <t>97300                   ELSE</t>
  </si>
  <si>
    <t>97310                                       Ax=379</t>
  </si>
  <si>
    <t>97320                                       Ax1=376</t>
  </si>
  <si>
    <t>97330                                       Ax2=367</t>
  </si>
  <si>
    <t>97340                                       Ax3=374</t>
  </si>
  <si>
    <t>97350                   END IF</t>
  </si>
  <si>
    <t>97360        END IF</t>
  </si>
  <si>
    <t>97390        MOVE Ax+Sp,Ay+Sp</t>
  </si>
  <si>
    <t>97400        DRAW Ax1+Sp,Ay1+Sp</t>
  </si>
  <si>
    <t>97410        DRAW Ax2+Sp,Ay2+Sp</t>
  </si>
  <si>
    <t>97420        DRAW Ax3+Sp,Ay3+Sp</t>
  </si>
  <si>
    <t>97450                         IF Senso$="SINISTRO" THEN</t>
  </si>
  <si>
    <t>97460                                              MOVE 372+Sp,206+Sp</t>
  </si>
  <si>
    <t>97470                                  ELSE</t>
  </si>
  <si>
    <t>97480                                              MOVE 354+Sp,206+Sp</t>
  </si>
  <si>
    <t>97490                                  END IF</t>
  </si>
  <si>
    <t>97500                                              LABEL Tau$</t>
  </si>
  <si>
    <t>97520                                  CSIZE 1.2,.5</t>
  </si>
  <si>
    <t>97540                         IF Senso$="SINISTRO" THEN</t>
  </si>
  <si>
    <t>97550                                              MOVE 374+Sp,214+Sp</t>
  </si>
  <si>
    <t>97560                                    SELECT Lingua$</t>
  </si>
  <si>
    <t>97570                                           CASE "ITALIANO"</t>
  </si>
  <si>
    <t>97580                                              LABEL "T.F."</t>
  </si>
  <si>
    <t>97590                                              MOVE 351+Sp,202+Sp</t>
  </si>
  <si>
    <t>97600                                              LABEL "H.F."</t>
  </si>
  <si>
    <t>97610                                           CASE "TEDESCO"</t>
  </si>
  <si>
    <t>97620                                              LABEL "T.F."</t>
  </si>
  <si>
    <t>97630                                              MOVE 351+Sp,202+Sp</t>
  </si>
  <si>
    <t>97640                                              LABEL "H.F."</t>
  </si>
  <si>
    <t>97650                                           CASE "INGLESE"</t>
  </si>
  <si>
    <t>97660                                              LABEL "D.H."</t>
  </si>
  <si>
    <t>97670                                              MOVE 351+Sp,202+Sp</t>
  </si>
  <si>
    <t>97680                                              LABEL "U.H."</t>
  </si>
  <si>
    <t>97690                                    END SELECT</t>
  </si>
  <si>
    <t>97700                         ELSE</t>
  </si>
  <si>
    <t>97710                                              MOVE 358+Sp,214+Sp</t>
  </si>
  <si>
    <t>97720                                    SELECT Lingua$</t>
  </si>
  <si>
    <t>97730                                           CASE "ITALIANO"</t>
  </si>
  <si>
    <t>97740                                              LABEL "T.F."</t>
  </si>
  <si>
    <t>97750                                              MOVE 380+Sp,202+Sp</t>
  </si>
  <si>
    <t>97760                                              LABEL "H.F."</t>
  </si>
  <si>
    <t>97770                                           CASE "TEDESCO"</t>
  </si>
  <si>
    <t>97780                                              LABEL "T.F."</t>
  </si>
  <si>
    <t>97790                                              MOVE 380+Sp,202+Sp</t>
  </si>
  <si>
    <t>97800                                              LABEL "H.F."</t>
  </si>
  <si>
    <t>97810                                           CASE "TEDESCO"</t>
  </si>
  <si>
    <t>97820                                              LABEL "T.F."</t>
  </si>
  <si>
    <t>97830                                              MOVE 380+Sp,202+Sp</t>
  </si>
  <si>
    <t>97840                                              LABEL "H.F."</t>
  </si>
  <si>
    <t>97850                                           CASE "INGLESE"</t>
  </si>
  <si>
    <t>97860                                              LABEL "D.H."</t>
  </si>
  <si>
    <t>97870                                              MOVE 380+Sp,202+Sp</t>
  </si>
  <si>
    <t>97880                                              LABEL " U.H."</t>
  </si>
  <si>
    <t>97890                                    END SELECT</t>
  </si>
  <si>
    <t>97900                         END IF</t>
  </si>
  <si>
    <t>97920                               CSIZE 1.75,.5</t>
  </si>
  <si>
    <t>97940 END IF</t>
  </si>
  <si>
    <t>97960             IF Lingua$="ITALIANO" THEN</t>
  </si>
  <si>
    <t>98000                 MOVE 269+Sp,108+Sp</t>
  </si>
  <si>
    <t>98010                 LABEL USING "K";N_ingr$</t>
  </si>
  <si>
    <t>98020                 MOVE 309+Sp,108+Sp</t>
  </si>
  <si>
    <t>98030                 LABEL USING "K";N_sag$</t>
  </si>
  <si>
    <t>98050             END IF</t>
  </si>
  <si>
    <t>98090       IF D_cono OR Tip_colt$="MOZZO" THEN</t>
  </si>
  <si>
    <t>98110                         MOVE 256+Sp,150+Sp</t>
  </si>
  <si>
    <t>98120                         LABEL Eta$;</t>
  </si>
  <si>
    <t>98130       ELSE</t>
  </si>
  <si>
    <t>98140                         MOVE 242+Sp,162+Sp</t>
  </si>
  <si>
    <t>98150                         LABEL Eta$</t>
  </si>
  <si>
    <t>98160       END IF</t>
  </si>
  <si>
    <t>98190              MOVE 236+Sp,136+Sp</t>
  </si>
  <si>
    <t>98200                         IF LEN(Topping$) THEN</t>
  </si>
  <si>
    <t>98210                                         SELECT Lingua$</t>
  </si>
  <si>
    <t>98220                                                   CASE "ITALIANO"</t>
  </si>
  <si>
    <t>98230                                                        LABEL "D.Topping"</t>
  </si>
  <si>
    <t>98240                                                   CASE "TEDESCO"</t>
  </si>
  <si>
    <t>98250                                                        LABEL "   "</t>
  </si>
  <si>
    <t>98260                                                   CASE "INGLESE"</t>
  </si>
  <si>
    <t>98270                                                        LABEL "Topping Dia."</t>
  </si>
  <si>
    <t>98280                                         END SELECT</t>
  </si>
  <si>
    <t>98300                                         Df0=D_topp</t>
  </si>
  <si>
    <t>98310                                         CSIZE 1.3,.5</t>
  </si>
  <si>
    <t>98320                                         MOVE 306+Sp,136+Sp</t>
  </si>
  <si>
    <t>98330                                         LABEL Toll_topp$</t>
  </si>
  <si>
    <t>98340                                         CSIZE 1.75,.5</t>
  </si>
  <si>
    <t>98350                            ELSE</t>
  </si>
  <si>
    <t>98380                      IF Printcodolo=1 THEN</t>
  </si>
  <si>
    <t>98390                                           MOVE 262+Sp,135.5+Sp</t>
  </si>
  <si>
    <t>98400                      ELSE</t>
  </si>
  <si>
    <t>98410                                           MOVE 235+Sp,135.5+Sp</t>
  </si>
  <si>
    <t>98430                      END IF</t>
  </si>
  <si>
    <t>98460                           IF Dk1 THEN</t>
  </si>
  <si>
    <t>98470                                  SELECT Lingua$</t>
  </si>
  <si>
    <t>98480                                               CASE "ITALIANO"</t>
  </si>
  <si>
    <t>98490                                                         LABEL "D.cusp."</t>
  </si>
  <si>
    <t>98500                                               CASE "TEDESCO"</t>
  </si>
  <si>
    <t>98510                                                         LABEL "Fusskreis."</t>
  </si>
  <si>
    <t>98520                                               CASE "INGLESE"</t>
  </si>
  <si>
    <t>98530                                                         LABEL "Root D."</t>
  </si>
  <si>
    <t>98540                                  END SELECT</t>
  </si>
  <si>
    <t>98550                            ELSE</t>
  </si>
  <si>
    <t>98560                                  SELECT Lingua$</t>
  </si>
  <si>
    <t>98570                                               CASE "ITALIANO"</t>
  </si>
  <si>
    <t>98580                                                             LABEL "D.Int."</t>
  </si>
  <si>
    <t>98590                                               CASE "TEDESCO"</t>
  </si>
  <si>
    <t>98600                                                         LABEL "Fusskreis."</t>
  </si>
  <si>
    <t>98610                                               CASE "INGLESE"</t>
  </si>
  <si>
    <t>98620                                                         LABEL "Root D."</t>
  </si>
  <si>
    <t>98630                                  END SELECT</t>
  </si>
  <si>
    <t>98650                                  END IF</t>
  </si>
  <si>
    <t>98660                            END IF</t>
  </si>
  <si>
    <t>98680                      IF Printcodolo=1 THEN</t>
  </si>
  <si>
    <t>98690                                           MOVE 296+Sp,135.5+Sp</t>
  </si>
  <si>
    <t>98700                                                  LABEL USING "4D.2D";Df0</t>
  </si>
  <si>
    <t>98710                                           MOVE 303+Sp,142.5+Sp</t>
  </si>
  <si>
    <t>98720                                                  LABEL Teta$</t>
  </si>
  <si>
    <t>98730                                           MOVE 296+Sp,129.5+Sp</t>
  </si>
  <si>
    <t>98740                                                  LABEL USING "4D.2D";Da0</t>
  </si>
  <si>
    <t>98750                                           MOVE 296+Sp,123.5+Sp</t>
  </si>
  <si>
    <t>98760                                                  LABEL USING "4D.2D";Da0t</t>
  </si>
  <si>
    <t>98770                      CSIZE 1.3,.5</t>
  </si>
  <si>
    <t>98780                                           MOVE 315+Sp,130.5+Sp</t>
  </si>
  <si>
    <t>98790                                                  LABEL Toll_diam$</t>
  </si>
  <si>
    <t>98800                      CSIZE 1.75,.5</t>
  </si>
  <si>
    <t>98840                      ELSE</t>
  </si>
  <si>
    <t>98860                                                  MOVE 288+Sp,136+Sp</t>
  </si>
  <si>
    <t>98870                                                  LABEL USING "6D.2D";Df0</t>
  </si>
  <si>
    <t>98890               MOVE 293+Sp,145.5+Sp</t>
  </si>
  <si>
    <t>98900               LABEL Teta$</t>
  </si>
  <si>
    <t>98910               MOVE 289+Sp,130+Sp</t>
  </si>
  <si>
    <t>98920               LABEL USING "6D.2D";Da0</t>
  </si>
  <si>
    <t>98930               MOVE 289+Sp,124+Sp</t>
  </si>
  <si>
    <t>98940               LABEL USING "6D.2D";Da0t</t>
  </si>
  <si>
    <t>98950               CSIZE 1.3,.5</t>
  </si>
  <si>
    <t>98960               MOVE 311+Sp,131+Sp</t>
  </si>
  <si>
    <t>98970               LABEL Toll_diam$</t>
  </si>
  <si>
    <t>98980               CSIZE 1.75,.5</t>
  </si>
  <si>
    <t>98990                      END IF</t>
  </si>
  <si>
    <t>99020   IF NOT LEN(Nienten$) THEN GOTO Stampa_collaudo</t>
  </si>
  <si>
    <t>99060               CSIZE 1.85,.55</t>
  </si>
  <si>
    <t>99080 IF Printcodolo=1 THEN</t>
  </si>
  <si>
    <t>99100               LDIR PI/2</t>
  </si>
  <si>
    <t>99110               MOVE 308+Sp,153.0+Sp</t>
  </si>
  <si>
    <t>99120               LABEL USING "K,K";B2                   !"3D.D";B2</t>
  </si>
  <si>
    <t>99130               MOVE 298+Sp,151.5+Sp</t>
  </si>
  <si>
    <t>99140               LABEL USING "K,K";B3                   !"3D.D";B3</t>
  </si>
  <si>
    <t>99150               MOVE 249+Sp,152+Sp</t>
  </si>
  <si>
    <t>99160               LABEL USING "K,K";Bd2                     !"3D.D";Bd2</t>
  </si>
  <si>
    <t>99170               LDIR 0</t>
  </si>
  <si>
    <t>99180               MOVE 258+Sp,141+Sp</t>
  </si>
  <si>
    <t>99190               LABEL USING "3D";Dd2</t>
  </si>
  <si>
    <t>99200               MOVE 261.0+Sp,175.5+Sp</t>
  </si>
  <si>
    <t>99210               LABEL USING "K,K";Dbg                      !"3D.D";Dbg</t>
  </si>
  <si>
    <t>99220               MOVE 280.5+Sp,177.5+Sp</t>
  </si>
  <si>
    <t>99230               LABEL USING "3D";R1c</t>
  </si>
  <si>
    <t>99240               MOVE 280.5+Sp,168.5+Sp</t>
  </si>
  <si>
    <t>99250               LABEL USING "3D";R2c</t>
  </si>
  <si>
    <t>99280               LDIR PI/2</t>
  </si>
  <si>
    <t>99290               MOVE 216+Sp,137.5+Sp</t>
  </si>
  <si>
    <t>99300               LABEL USING "K,K";Frh                        !"3D.D";Frh</t>
  </si>
  <si>
    <t>99310               MOVE 216+Sp,174.5+Sp</t>
  </si>
  <si>
    <t>99320               LABEL USING "K,K";Hsv                        !"3D.D";Hsv</t>
  </si>
  <si>
    <t>99330               LDIR 0</t>
  </si>
  <si>
    <t>99340               MOVE 225.0+Sp,175+Sp</t>
  </si>
  <si>
    <t>99350               LABEL USING "K,K";Ahsv,"°"</t>
  </si>
  <si>
    <t>99370               MOVE 214.5+Sp,122.5+Sp</t>
  </si>
  <si>
    <t>99380               LABEL USING "K,K";Dfrh                       !"3D.D";Dfrh</t>
  </si>
  <si>
    <t>99410 ELSE</t>
  </si>
  <si>
    <t>99430               MOVE 228+Sp,214+Sp</t>
  </si>
  <si>
    <t>99440               LABEL USING "K,K";D1                         !"3D.D";D1</t>
  </si>
  <si>
    <t>99450               MOVE 267+Sp,210+Sp</t>
  </si>
  <si>
    <t>99460               LABEL USING "K,K";Angd1,"°"</t>
  </si>
  <si>
    <t>99470               MOVE 225+Sp,177+Sp</t>
  </si>
  <si>
    <t>99480               LABEL USING "K,K";D2                         !"3D.D";D2</t>
  </si>
  <si>
    <t>99490               MOVE 225+Sp,170+Sp</t>
  </si>
  <si>
    <t>99500               LABEL USING "3D";Dd2                        !"3D.D";Dd2</t>
  </si>
  <si>
    <t>99510               MOVE 225+Sp,148+Sp</t>
  </si>
  <si>
    <t>99520               LABEL USING "K,K";D2bis                      !"3D.D";D2bis</t>
  </si>
  <si>
    <t>99530               MOVE 250+Sp,153+Sp</t>
  </si>
  <si>
    <t>99540               LABEL USING "K,K";Ad2bis,"°"                 !LABEL USING "3D";Ad2bis</t>
  </si>
  <si>
    <t>99560               LDIR PI/2</t>
  </si>
  <si>
    <t>99570               MOVE 298+Sp,170+Sp</t>
  </si>
  <si>
    <t>99580               LABEL USING "K,K";B2                         !"3D.D";B2</t>
  </si>
  <si>
    <t>99590               MOVE 288+Sp,169+Sp</t>
  </si>
  <si>
    <t>99600               LABEL USING "K,K";B3                         !"3D.D";B3</t>
  </si>
  <si>
    <t>99610               MOVE 212+Sp,186.5+Sp</t>
  </si>
  <si>
    <t>99620               LABEL USING "K,K";B4                         !"3D.D";B4</t>
  </si>
  <si>
    <t>99630               LDIR 0</t>
  </si>
  <si>
    <t>99650               CSIZE 1.75,.5</t>
  </si>
  <si>
    <t>99660               Ds=B2-B3</t>
  </si>
  <si>
    <t>99670               MOVE 282+Sp,190+Sp</t>
  </si>
  <si>
    <t>99680               LABEL USING "K,K,K,K";"Sm.",Ds,"x",Angb3,"°"                 !LABEL "Sm";Ds</t>
  </si>
  <si>
    <t>99730               IF LEN(Lingua$)=7 THEN GOTO Uscita</t>
  </si>
  <si>
    <t>99760           CSIZE 1.75,.5</t>
  </si>
  <si>
    <t>99800        Py=78               !Py=36</t>
  </si>
  <si>
    <t>99810        Py1=78              !Py1=36</t>
  </si>
  <si>
    <t>99820        Py2=60              !Py2=18         20 oct 2003</t>
  </si>
  <si>
    <t>99830        Py3=60              !Py3=18</t>
  </si>
  <si>
    <t>99840        Py4=78              !Py4=36</t>
  </si>
  <si>
    <t>99850                 IF Elic THEN</t>
  </si>
  <si>
    <t>99860                         IF Senso$="SINISTRO" THEN</t>
  </si>
  <si>
    <t>99870                                  Px=37</t>
  </si>
  <si>
    <t>99880                                  Px1=48</t>
  </si>
  <si>
    <t>99890                                  Px2=53</t>
  </si>
  <si>
    <t>99900                                  Px3=48</t>
  </si>
  <si>
    <t>99910                                  Px4=37</t>
  </si>
  <si>
    <t>99920                         ELSE</t>
  </si>
  <si>
    <t>99930                                  Px=53</t>
  </si>
  <si>
    <t>99940                                  Px1=42</t>
  </si>
  <si>
    <t>99950                                  Px2=37</t>
  </si>
  <si>
    <t>99960                                  Px3=42</t>
  </si>
  <si>
    <t>99970                                  Px4=53</t>
  </si>
  <si>
    <t>99980                          END IF</t>
  </si>
  <si>
    <t>99990                   ELSE</t>
  </si>
  <si>
    <t>100000                       Px=37</t>
  </si>
  <si>
    <t>100010                       Px1=49</t>
  </si>
  <si>
    <t>100020                       Px2=46</t>
  </si>
  <si>
    <t>100030                       Px3=40</t>
  </si>
  <si>
    <t>100040                       Px4=37</t>
  </si>
  <si>
    <t>100050                 END IF</t>
  </si>
  <si>
    <t>100054 Pxplus=0                 !  PARAMETRO SCELTO</t>
  </si>
  <si>
    <t>100060      MOVE Px+Pxplus+Sp,Py+Sp</t>
  </si>
  <si>
    <t>100070      DRAW Px1+Pxplus+Sp,Py1+Sp</t>
  </si>
  <si>
    <t>100080      DRAW Px2+Pxplus+Sp,Py2+Sp</t>
  </si>
  <si>
    <t>100090      DRAW Px3+Pxplus+Sp,Py3+Sp</t>
  </si>
  <si>
    <t>100100      DRAW Px4+Pxplus+Sp,Py4+Sp</t>
  </si>
  <si>
    <t>100127      MOVE 150+Sp,56+Sp</t>
  </si>
  <si>
    <t>100128      DRAW 160+Sp,50+Sp</t>
  </si>
  <si>
    <t>100129      DRAW 186+Sp,50+Sp</t>
  </si>
  <si>
    <t>100130      DRAW 186+Sp,43+Sp</t>
  </si>
  <si>
    <t>100131      MOVE 160,48</t>
  </si>
  <si>
    <t>100132      DRAW 160,43</t>
  </si>
  <si>
    <t>100133      MOVE 184,44</t>
  </si>
  <si>
    <t>100134      DRAW 174,44</t>
  </si>
  <si>
    <t>100135      MOVE 158,44</t>
  </si>
  <si>
    <t>100136      DRAW 148,44</t>
  </si>
  <si>
    <t>100140      CSIZE 1.2,.55</t>
  </si>
  <si>
    <t>100141      MOVE 150,28</t>
  </si>
  <si>
    <t>100142      DRAW 192,28</t>
  </si>
  <si>
    <t>100144      MOVE 130+Sp,29</t>
  </si>
  <si>
    <t>100145      LABEL USING "K,5D.2D,K,2D.1D";"Ø CONTROLLO= ";Da0ck_new," H_ut_p= ";H_ut_punti</t>
  </si>
  <si>
    <t>100149      CSIZE 1.2,.5</t>
  </si>
  <si>
    <t>100150      MOVE 172,45.5</t>
  </si>
  <si>
    <t>100151      LABEL "I"</t>
  </si>
  <si>
    <t>100152      MOVE 171.5,39.5</t>
  </si>
  <si>
    <t>100153      LABEL "IV"</t>
  </si>
  <si>
    <t>100155      CSIZE 1.6,.5</t>
  </si>
  <si>
    <t>100156      MOVE 160+Sp,51+Sp</t>
  </si>
  <si>
    <t>100157      LABEL "F"</t>
  </si>
  <si>
    <t>100158      MOVE 185+Sp,51+Sp</t>
  </si>
  <si>
    <t>100159      LABEL "K"</t>
  </si>
  <si>
    <t xml:space="preserve">100160                      !                 </t>
  </si>
  <si>
    <t>100162 CSIZE 1.2,.5                ! STAMPA H e T QUANDO C'è L'ELICA</t>
  </si>
  <si>
    <t>100163 MOVE 154,36</t>
  </si>
  <si>
    <t>100164 LABEL "H"</t>
  </si>
  <si>
    <t>100165 MOVE 166,36</t>
  </si>
  <si>
    <t>100166 LABEL "T"</t>
  </si>
  <si>
    <t>100167 MOVE 180,36</t>
  </si>
  <si>
    <t>100168 LABEL "H"</t>
  </si>
  <si>
    <t>100169 MOVE 190,36</t>
  </si>
  <si>
    <t>100170 LABEL "T"</t>
  </si>
  <si>
    <t>100172 CSIZE 1.6,.5</t>
  </si>
  <si>
    <t>100173 MOVE 187+Sp,44.5+Sp</t>
  </si>
  <si>
    <t>100174 LABEL USING "2D.1D";Lalpha_k_newt</t>
  </si>
  <si>
    <t>100176 MOVE 163+Sp,44.5+Sp</t>
  </si>
  <si>
    <t>100177 LABEL USING "2D.1D";Lalpha_f_newt</t>
  </si>
  <si>
    <t>100179 MOVE 187+Sp,39.5+Sp</t>
  </si>
  <si>
    <t>100180 LABEL USING "2D.1D";Lalpha_k_endt</t>
  </si>
  <si>
    <t>100182 MOVE 163+Sp,39.5+Sp</t>
  </si>
  <si>
    <t>100183 LABEL USING "2D.1D";Lalpha_f_endt</t>
  </si>
  <si>
    <t>100193    MOVE 177+Sp,44.5+Sp</t>
  </si>
  <si>
    <t>100194    LABEL USING "2D.1D";Lalpha_k_newh</t>
  </si>
  <si>
    <t>100196    MOVE 151+Sp,44.5+Sp</t>
  </si>
  <si>
    <t>100197    LABEL USING "2D.1D";Lalpha_f_newh</t>
  </si>
  <si>
    <t>100199    MOVE 177+Sp,39.5+Sp</t>
  </si>
  <si>
    <t>100200    LABEL USING "2D.1D";Lalpha_k_endh</t>
  </si>
  <si>
    <t>100202    MOVE 151+Sp,39.5+Sp</t>
  </si>
  <si>
    <t>100203    LABEL USING "2D.1D";Lalpha_f_endh</t>
  </si>
  <si>
    <t>100208                 IF NOT Elic THEN</t>
  </si>
  <si>
    <t>100209                                 P=14+Sp</t>
  </si>
  <si>
    <t>100210                                 GOSUB Alto</t>
  </si>
  <si>
    <t>100211                 ELSE</t>
  </si>
  <si>
    <t>100212                                 IF Senso$="DESTRO" THEN</t>
  </si>
  <si>
    <t>100213                                     P=14+Sp</t>
  </si>
  <si>
    <t>100214                                     GOSUB Alto</t>
  </si>
  <si>
    <t>100215                                     P=71+Sp</t>
  </si>
  <si>
    <t>100220                                     GOSUB Basso</t>
  </si>
  <si>
    <t>100230                                  ELSE</t>
  </si>
  <si>
    <t>100240                                     P=14+Sp</t>
  </si>
  <si>
    <t>100250                                     GOSUB Basso</t>
  </si>
  <si>
    <t>100260                                     P=71+Sp</t>
  </si>
  <si>
    <t>100270                                     GOSUB Alto</t>
  </si>
  <si>
    <t>100280                                  END IF</t>
  </si>
  <si>
    <t>100290                 END IF</t>
  </si>
  <si>
    <t>100300                          GOTO Errori</t>
  </si>
  <si>
    <t>100330    IF Inesistente=1 THEN GOTO Stampa</t>
  </si>
  <si>
    <t>100340    IF Dx_inesistente=1 THEN GOTO Stampa</t>
  </si>
  <si>
    <t>100350    IF Sx_inesistente=1 THEN GOTO Stampa</t>
  </si>
  <si>
    <t>100450    P=P-3</t>
  </si>
  <si>
    <t>100460    MOVE P+Sp,72+Sp                !MOVE P,30</t>
  </si>
  <si>
    <t>100470    LABEL USING "5D.3D";Db0h</t>
  </si>
  <si>
    <t>100500    P=P+3</t>
  </si>
  <si>
    <t>100510    MOVE P+Sp,65+Sp                !MOVE P,18</t>
  </si>
  <si>
    <t>100520    LABEL USING "2D.4D";Aelb0h</t>
  </si>
  <si>
    <t>100530    RETURN</t>
  </si>
  <si>
    <t>100560     IF Sx_inesistente=1 THEN GOTO Stampa_2</t>
  </si>
  <si>
    <t>100570     IF Dx_inesistente=1 THEN GOTO Stampa_2</t>
  </si>
  <si>
    <t>100650    P=P+3</t>
  </si>
  <si>
    <t>100660    MOVE P+Sp,72+Sp                !MOVE P,30</t>
  </si>
  <si>
    <t>100670    LABEL USING "5D.3D";Db0t</t>
  </si>
  <si>
    <t>100700    P=P-3</t>
  </si>
  <si>
    <t>100710    MOVE P+Sp,65+Sp                !MOVE P,18</t>
  </si>
  <si>
    <t>100720    LABEL USING "2D.4D";Aelb0t</t>
  </si>
  <si>
    <t>100730    RETURN</t>
  </si>
  <si>
    <t>100780     P=110+Sp</t>
  </si>
  <si>
    <t>100790     MOVE P+Sp,80+Sp                                   !MOVE P,72</t>
  </si>
  <si>
    <t>100800     Tip$="5D.2D"</t>
  </si>
  <si>
    <t>100810     LABEL USING Tip;H_ut</t>
  </si>
  <si>
    <t>100820     MOVE P+Sp,74+Sp                                   !MOVE P,66</t>
  </si>
  <si>
    <t>100830     LABEL USING Tip;H_err_max</t>
  </si>
  <si>
    <t>100840     MOVE P+Sp,68+Sp                                   !MOVE P,60</t>
  </si>
  <si>
    <t>100850     LABEL USING Tip;Err_max</t>
  </si>
  <si>
    <t>100860     MOVE P+Sp,62+Sp                                   !MOVE P,54</t>
  </si>
  <si>
    <t>100870     LABEL USING Tip;Err_max_dk</t>
  </si>
  <si>
    <t>100880     MOVE P+Sp,56+Sp                                   !MOVE P,48</t>
  </si>
  <si>
    <t>100890     LABEL USING Tip;L_ut</t>
  </si>
  <si>
    <t>100910     IF Int THEN</t>
  </si>
  <si>
    <t>100920     MOVE P+Sp,50+Sp                                   !MOVE P,42</t>
  </si>
  <si>
    <t>100930     LABEL USING Tip;Gioco</t>
  </si>
  <si>
    <t>100940     END IF</t>
  </si>
  <si>
    <t>100960                     IF Elic THEN</t>
  </si>
  <si>
    <t>100970                     MOVE P-7,35+Sp                !MOVE P,24</t>
  </si>
  <si>
    <t>100980                     LABEL USING "8D.3D";Pz0_h</t>
  </si>
  <si>
    <t>100990                     MOVE P-7,29+Sp                !MOVE P,18</t>
  </si>
  <si>
    <t>101000                     LABEL USING "8D.3D";Pz0_t</t>
  </si>
  <si>
    <t>101010                     END IF</t>
  </si>
  <si>
    <t>101060                        IF LEN(Risp$) THEN GOTO Check_point                 !GOTO Stampa_toller</t>
  </si>
  <si>
    <t>101070                        IF Part_ideal_c=1 THEN GOTO Check_point                !GOTO Stampa_toller</t>
  </si>
  <si>
    <t>101090                        IF Elic THEN</t>
  </si>
  <si>
    <t>101100                                   GOTO Check_point                !Incisioni1</t>
  </si>
  <si>
    <t>101120                                   ELSE</t>
  </si>
  <si>
    <t>101160                                   MOVE 91+Sp,102.5+Sp</t>
  </si>
  <si>
    <t>101170                                   LABEL "W./D.est."</t>
  </si>
  <si>
    <t>101180                                   M_rot=(Da0+Df1)/(Z1+Z0)</t>
  </si>
  <si>
    <t>101190                                   D_rot=M_rot*Z1</t>
  </si>
  <si>
    <t>101200                                   Alfa_rot=(ACS(Db1/D_rot))*180/PI</t>
  </si>
  <si>
    <t>101220                                   MOVE 112.0+Sp,102.5+Sp</t>
  </si>
  <si>
    <t>101230                                   LABEL USING "5D.3D";Alfa_rot</t>
  </si>
  <si>
    <t>101260                                   END IF</t>
  </si>
  <si>
    <t>101290 IF NOT LEN(Vuoi$) THEN GOTO Incisioni1</t>
  </si>
  <si>
    <t>101330     P=147+Sp</t>
  </si>
  <si>
    <t>101340     CSIZE 1.3,.5</t>
  </si>
  <si>
    <t>101350     MOVE P,112+Sp</t>
  </si>
  <si>
    <t>101360     LABEL "PUNTI CONTROLLO EVOLVENTE"</t>
  </si>
  <si>
    <t>101370     MOVE P,112+Sp</t>
  </si>
  <si>
    <t>101380     LABEL "_________________________"</t>
  </si>
  <si>
    <t>101400     P=147+Sp</t>
  </si>
  <si>
    <t>101410     CSIZE 1.2,.5</t>
  </si>
  <si>
    <t>101420     MOVE P-3.5,102+Sp</t>
  </si>
  <si>
    <t>101430     LABEL "Diam.CONTROLLO ="</t>
  </si>
  <si>
    <t>101440     CSIZE 2.2,.5</t>
  </si>
  <si>
    <t>101450     MOVE 174+Sp,102+Sp</t>
  </si>
  <si>
    <t>101460     LABEL USING "5D.2D";Da0w</t>
  </si>
  <si>
    <t>101480     CSIZE 1.2,.5</t>
  </si>
  <si>
    <t>101490     MOVE P,95+Sp</t>
  </si>
  <si>
    <t>101500     LABEL "INGRANAGGIO   ---   COLTELLO"</t>
  </si>
  <si>
    <t>101520     P=146+Sp</t>
  </si>
  <si>
    <t>101530     CSIZE 1.5,.5</t>
  </si>
  <si>
    <t>101540     MOVE P,88+Sp</t>
  </si>
  <si>
    <t>101550     LABEL USING "5D.2D";Dx1</t>
  </si>
  <si>
    <t>101560     MOVE P,80+Sp</t>
  </si>
  <si>
    <t>101570     LABEL USING "5D.2D";Dx2</t>
  </si>
  <si>
    <t>101580     MOVE P,72+Sp</t>
  </si>
  <si>
    <t>101590     LABEL USING "5D.2D";Dx3</t>
  </si>
  <si>
    <t>101610     P=177+Sp</t>
  </si>
  <si>
    <t>101620     CSIZE 2.2,.5</t>
  </si>
  <si>
    <t>101630     MOVE P,86+Sp</t>
  </si>
  <si>
    <t>101640     LABEL USING "3D.2D";Dy1w</t>
  </si>
  <si>
    <t>101650     MOVE P,78+Sp</t>
  </si>
  <si>
    <t>101660     LABEL USING "3D.2D";Dy2w</t>
  </si>
  <si>
    <t>101670     MOVE P,70+Sp</t>
  </si>
  <si>
    <t>101680     LABEL USING "3D.2D";Dy3w</t>
  </si>
  <si>
    <t>101720     P=86.5+Sp</t>
  </si>
  <si>
    <t>101730     CSIZE 1.77,.5</t>
  </si>
  <si>
    <t>101740     MOVE P,20+Sp</t>
  </si>
  <si>
    <t>101750     LABEL Incisioni1$</t>
  </si>
  <si>
    <t>101760     MOVE P,15+Sp</t>
  </si>
  <si>
    <t>101770     LABEL Incisioni2$</t>
  </si>
  <si>
    <t>101780     MOVE P,8+Sp</t>
  </si>
  <si>
    <t>101790     LABEL Incisioni3$</t>
  </si>
  <si>
    <t>101800     MOVE P,2+Sp</t>
  </si>
  <si>
    <t>101810     LABEL Incisioni4$</t>
  </si>
  <si>
    <t>101840     IF No_toll THEN GOTO Profilatura</t>
  </si>
  <si>
    <t>101860            MOVE 75+Sp,108+Sp</t>
  </si>
  <si>
    <t>101870            LABEL Classe$</t>
  </si>
  <si>
    <t>101890            P=91+Sp</t>
  </si>
  <si>
    <t>101900            MOVE 4+Sp,P</t>
  </si>
  <si>
    <t>101910            LABEL USING "K";Toll_ze(Modulo,Diam,Classe,1)</t>
  </si>
  <si>
    <t>101920            MOVE 16+Sp,P</t>
  </si>
  <si>
    <t>101930            LABEL USING "K";Toll_ze(Modulo,Diam,Classe,2)</t>
  </si>
  <si>
    <t>101940            MOVE 28+Sp,P</t>
  </si>
  <si>
    <t>101950            LABEL USING "K";Toll_ze(Modulo,Diam,Classe,3)</t>
  </si>
  <si>
    <t>101960            MOVE 40+Sp,P</t>
  </si>
  <si>
    <t>101970            LABEL USING "K";Toll_ze(Modulo,Diam,Classe,4)</t>
  </si>
  <si>
    <t>101980            MOVE 52+Sp,P</t>
  </si>
  <si>
    <t>101990            LABEL USING "K";Toll_ze(Modulo,Diam,Classe,5)</t>
  </si>
  <si>
    <t>102000            MOVE 64+Sp,P</t>
  </si>
  <si>
    <t>102010            LABEL USING "K";Toll_ze(Modulo,Diam,Classe,6)</t>
  </si>
  <si>
    <t>102020            MOVE 76+Sp,P</t>
  </si>
  <si>
    <t>102030            LABEL USING "K";Toll_ze(Modulo,Diam,Classe,7)</t>
  </si>
  <si>
    <t>102060           CSIZE 1.6,.5</t>
  </si>
  <si>
    <t>102070           IF NOT Dwm THEN Uscita</t>
  </si>
  <si>
    <t>102080       IF NOT Dwm_nil THEN</t>
  </si>
  <si>
    <t>102100                         MOVE 60+Sp,218.5+Sp</t>
  </si>
  <si>
    <t>102110                         LABEL USING "6D.2D";Dwm</t>
  </si>
  <si>
    <t>102120              IF M_ms THEN</t>
  </si>
  <si>
    <t>102130                         MOVE 10+Sp,208+Sp</t>
  </si>
  <si>
    <t>102140                         LABEL USING "D.DDDD";M_ms</t>
  </si>
  <si>
    <t>102150                         MOVE 10+Sp,202+Sp</t>
  </si>
  <si>
    <t>102160                         LABEL Z_ms</t>
  </si>
  <si>
    <t>102170                         MOVE 12+Sp,196+Sp</t>
  </si>
  <si>
    <t>102180                         LABEL USING "DD.DDDD";Corr</t>
  </si>
  <si>
    <t>102190              END IF</t>
  </si>
  <si>
    <t>102330       END IF</t>
  </si>
  <si>
    <t>102340                         MOVE 60+Sp,213+Sp</t>
  </si>
  <si>
    <t>102350                         LABEL Aelwm0$</t>
  </si>
  <si>
    <t>102360                         MOVE 60+Sp,205.6+Sp</t>
  </si>
  <si>
    <t>102370                         LABEL Mont$</t>
  </si>
  <si>
    <t>102380                         MOVE 60+Sp,191.5+Sp</t>
  </si>
  <si>
    <t>102390                         LABEL USING "K,K,K";Apwmnmh$,"- ",Apwmnmt$</t>
  </si>
  <si>
    <t>102400              IF Dk1 THEN</t>
  </si>
  <si>
    <t>102410                         MOVE 60+Sp,183.7+Sp</t>
  </si>
  <si>
    <t>102420                         LABEL USING "K,K,K";Apkwmnmh$,"- ",Apkwmnmt$</t>
  </si>
  <si>
    <t>102430              END IF</t>
  </si>
  <si>
    <t>102800 NEXT Sp</t>
  </si>
  <si>
    <t>102810 Printcodolo=0</t>
  </si>
  <si>
    <t>102820        PEN 0</t>
  </si>
  <si>
    <t>102830        OUTPUT 2;Clear$;</t>
  </si>
  <si>
    <t>102850   GOTO Liebherr_vai</t>
  </si>
  <si>
    <t>102870   GOTO Exit_liebherr</t>
  </si>
  <si>
    <t xml:space="preserve">102920         !   </t>
  </si>
  <si>
    <t>103060 DISP "SCEGLIERE LA LINGUA PER LA STAMPA DISEGNO CLIENTE "</t>
  </si>
  <si>
    <t>103080         ON KEY 5 LABEL "TEDESCO" GOTO Tedlvt</t>
  </si>
  <si>
    <t>103090         ON KEY 6 LABEL "INGLESE" GOTO Ingllvt</t>
  </si>
  <si>
    <t>103100         ON KEY 8 LABEL "ITALIANO" GOTO Itallvt</t>
  </si>
  <si>
    <t>103110         ON KEY 7 LABEL "FRANCESE" GOTO Franlvt</t>
  </si>
  <si>
    <t>103180         GOTO On_stplvt</t>
  </si>
  <si>
    <t>103210         GOTO On_stplvt</t>
  </si>
  <si>
    <t>103240         GOTO On_stplvt</t>
  </si>
  <si>
    <t>103420    LINPUT "INTRODURRE IL NOME DEL CLIENTE",Cliente$</t>
  </si>
  <si>
    <t>103430    LINPUT "INTRODURRE IL NUMERO DI DISEGNO DEL PARTICOLARE",Part$</t>
  </si>
  <si>
    <t>103440    LINPUT "INTRODURRE IL NUMERO DEL DISEGNO DELL'UTENSILE",Dis$</t>
  </si>
  <si>
    <t>103540                      ON KEY 7 LABEL "ASP 23" GOTO A_23</t>
  </si>
  <si>
    <t>103550                      ON KEY 1 LABEL "ASP 30" GOTO A_30</t>
  </si>
  <si>
    <t>103560                      ON KEY 2 LABEL "ASP 60" GOTO A_60</t>
  </si>
  <si>
    <t>103570                      ON KEY 4 LABEL "M 2" GOTO A_2</t>
  </si>
  <si>
    <t>103590                      ON KEY 6 LABEL "M 35" GOTO A_35</t>
  </si>
  <si>
    <t>103600                      ON KEY 2 LABEL "ASP 52" GOTO A_52</t>
  </si>
  <si>
    <t>103610                      ON KEY 8 LABEL "ALTRO" GOTO Altro</t>
  </si>
  <si>
    <t>103650           OFF KEY</t>
  </si>
  <si>
    <t>103660           Acciaio$="S 6-5-3"                !"ASP 23"</t>
  </si>
  <si>
    <t>103670           GOTO Controllo</t>
  </si>
  <si>
    <t>103690           OFF KEY</t>
  </si>
  <si>
    <t>103700           Acciaio$="S 6-5-3-8"                !"ASP 30"</t>
  </si>
  <si>
    <t>103720           GOTO Controllo</t>
  </si>
  <si>
    <t>103740           OFF KEY</t>
  </si>
  <si>
    <t>103750           Acciaio$="S 6-7-6-10"                !"ASP 60"</t>
  </si>
  <si>
    <t>103770           GOTO Controllo</t>
  </si>
  <si>
    <t>103790           OFF KEY</t>
  </si>
  <si>
    <t>103800           Acciaio$="S 6-5-2"                !"M 2"</t>
  </si>
  <si>
    <t>103820           GOTO Controllo</t>
  </si>
  <si>
    <t>103840           OFF KEY</t>
  </si>
  <si>
    <t>103850           Acciaio$="M 42"</t>
  </si>
  <si>
    <t>103870           GOTO Controllo</t>
  </si>
  <si>
    <t>103890           OFF KEY</t>
  </si>
  <si>
    <t>103900           Acciaio$="M 35"</t>
  </si>
  <si>
    <t>103920           GOTO Controllo</t>
  </si>
  <si>
    <t>103940           OFF KEY</t>
  </si>
  <si>
    <t>103950           Acciaio$="S 11-2-5-8"                !"ASP 52"</t>
  </si>
  <si>
    <t>103960           GOTO Controllo</t>
  </si>
  <si>
    <t>103980           OFF KEY</t>
  </si>
  <si>
    <t>103990           LINPUT "DIGITARE il TIPO di ACCIAIO IMPIEGATO",Acciaio$</t>
  </si>
  <si>
    <t xml:space="preserve">104010 Controllo: !                     </t>
  </si>
  <si>
    <t xml:space="preserve">104020 !           </t>
  </si>
  <si>
    <t>104040           ON KEY 1 LABEL "TIN" GOTO Tin</t>
  </si>
  <si>
    <t>104050           ON KEY 2 LABEL "TiCN" GOTO Ticn</t>
  </si>
  <si>
    <t>104060           ON KEY 3 LABEL "TiALN" GOTO Tialn</t>
  </si>
  <si>
    <t>104070           ON KEY 4 LABEL "FUTURA-NANO" GOTO Futura</t>
  </si>
  <si>
    <t>104080           ON KEY 5 LABEL "-----" GOTO A_35</t>
  </si>
  <si>
    <t>104090           ON KEY 6 LABEL "ALTRO" GOTO Diverso</t>
  </si>
  <si>
    <t>104130           LINPUT "DIGITARE il TIPO di RIVESTIMENTO UTILIZZATO",Rivestimento$</t>
  </si>
  <si>
    <t>104140           GOTO Hutile</t>
  </si>
  <si>
    <t>104150           OFF KEY</t>
  </si>
  <si>
    <t>104180           OFF KEY</t>
  </si>
  <si>
    <t>104190           Rivestimento$="TIN"</t>
  </si>
  <si>
    <t>104210           GOTO Hutile</t>
  </si>
  <si>
    <t>104230           OFF KEY</t>
  </si>
  <si>
    <t>104240           Rivestimento$="TiCN"</t>
  </si>
  <si>
    <t>104260           GOTO Hutile</t>
  </si>
  <si>
    <t>104280           OFF KEY</t>
  </si>
  <si>
    <t>104290           Rivestimento$="TiALN"</t>
  </si>
  <si>
    <t>104310           GOTO Hutile</t>
  </si>
  <si>
    <t>104330           Rivestimento$="FUTURA-NANO"</t>
  </si>
  <si>
    <t>104340           GOTO Hutile</t>
  </si>
  <si>
    <t>104390           OFF KEY</t>
  </si>
  <si>
    <t>104410           INPUT "DIGITARE L'ALTEZZA di UTILIZZO del COLTELLO (h4  - H UTILE)?",H_4</t>
  </si>
  <si>
    <t>104430           Occhei$=""</t>
  </si>
  <si>
    <t>104440           LINPUT "DIGITARE SE SI VUOLE INDICARE una CLASSE DIVERSA su Fr E Fp  [Risp. SI]  NO/CONTINUE",Occhei$</t>
  </si>
  <si>
    <t>104450           IF LEN(Occhei$) THEN</t>
  </si>
  <si>
    <t>104460                              LINPUT "DIGITARE la CLASSE da INDICARE per Fr E Fp ?",Classe1$</t>
  </si>
  <si>
    <t>104470           END IF</t>
  </si>
  <si>
    <t>104510 PLOTTER IS "c:\Programmi\HTBwin83\NEWPROG\DXFLVT","HPGL;HPGL2",0,210,0,297</t>
  </si>
  <si>
    <t>104520 SHOW 0,210,0,297                                 !SHOW -8,289,-12,408!SHOW 0,401.6,0,274.5</t>
  </si>
  <si>
    <t>104540            PEN 2                !SHOW 0,406,0,276!SHOW -8,289,-12,408!SHOW 0,401.6,0,274.5!</t>
  </si>
  <si>
    <t>104610 CSIZE 1.80,.85</t>
  </si>
  <si>
    <t>104620 LORG 1</t>
  </si>
  <si>
    <t>104630 RETURN</t>
  </si>
  <si>
    <t>104660 CSIZE 1.77,.85</t>
  </si>
  <si>
    <t>104670 LORG 1</t>
  </si>
  <si>
    <t>104680 RETURN</t>
  </si>
  <si>
    <t xml:space="preserve">104700 Size_writesm: !        </t>
  </si>
  <si>
    <t>104710 CSIZE 1.65,.85</t>
  </si>
  <si>
    <t>104720 LORG 1</t>
  </si>
  <si>
    <t>104730 RETURN</t>
  </si>
  <si>
    <t>104760 CSIZE 1.3,.65</t>
  </si>
  <si>
    <t>104770 LORG 1</t>
  </si>
  <si>
    <t>104780 RETURN</t>
  </si>
  <si>
    <t xml:space="preserve">104790 !           </t>
  </si>
  <si>
    <t>104820     FOR Sp=-.12 TO .12 STEP .015</t>
  </si>
  <si>
    <t>104830        PEN 2</t>
  </si>
  <si>
    <t>104840        GOSUB Size_write                    !   PRIMA STAMPA</t>
  </si>
  <si>
    <t>104860        LORG 1</t>
  </si>
  <si>
    <t>104870        FRAME</t>
  </si>
  <si>
    <t>104880        LDIR 0</t>
  </si>
  <si>
    <t xml:space="preserve">104910 !              </t>
  </si>
  <si>
    <t>104920        MOVE 55+Sp,273+Sp</t>
  </si>
  <si>
    <t>104930        IF Lingua$="ITALIANO" THEN</t>
  </si>
  <si>
    <t>104940                                 LABEL Cliente$</t>
  </si>
  <si>
    <t>104950                                 MOVE 99+Sp,273+Sp</t>
  </si>
  <si>
    <t>104960                                 LABEL Part$</t>
  </si>
  <si>
    <t>104980        END IF</t>
  </si>
  <si>
    <t>105020        IF Cliente$="LIEBHERR LVT" THEN</t>
  </si>
  <si>
    <t>105030                                      MOVE 55+Sp,273+Sp                !MOVE 99+Sp,273+Sp</t>
  </si>
  <si>
    <t>105040                                      LABEL Part$</t>
  </si>
  <si>
    <t>105050                                      GOTO Prosegui</t>
  </si>
  <si>
    <t>105060        END IF</t>
  </si>
  <si>
    <t>105090                                                              MOVE 55+Sp,273+Sp</t>
  </si>
  <si>
    <t>105100                                                              LABEL Cliente$</t>
  </si>
  <si>
    <t>105110                                                              MOVE 99+Sp,273+Sp</t>
  </si>
  <si>
    <t>105120                                                              LABEL Part$</t>
  </si>
  <si>
    <t xml:space="preserve">105170                        !                     </t>
  </si>
  <si>
    <t>105180        CSIZE 2.65,.85</t>
  </si>
  <si>
    <t>105200        MOVE 156+Sp,271+Sp</t>
  </si>
  <si>
    <t>105210        LABEL Dis$</t>
  </si>
  <si>
    <t>105220        GOSUB Size_write</t>
  </si>
  <si>
    <t>105240        MOVE 48+Sp,258.5+Sp</t>
  </si>
  <si>
    <t>105250        LABEL Z1</t>
  </si>
  <si>
    <t>105260        P=44+Sp</t>
  </si>
  <si>
    <t>105270        MOVE P,253.5+Sp</t>
  </si>
  <si>
    <t>105280        LABEL USING "5D.3D";Da1</t>
  </si>
  <si>
    <t>105290        MOVE P,238.5+Sp</t>
  </si>
  <si>
    <t>105300        LABEL USING "5D.3D";Df1</t>
  </si>
  <si>
    <t>105310        IF Dnf1 THEN                                       ! STAMPA DIAM. INIZIO EVOLVENTE</t>
  </si>
  <si>
    <t>105320                   MOVE P,243.5+Sp</t>
  </si>
  <si>
    <t>105330                   LABEL USING "5D.2D";Dnf1</t>
  </si>
  <si>
    <t>105340        ELSE</t>
  </si>
  <si>
    <t>105350                   MOVE P,243.5+Sp</t>
  </si>
  <si>
    <t>105360                   LABEL USING "5D.2D";Dnf1_pr</t>
  </si>
  <si>
    <t>105370        END IF</t>
  </si>
  <si>
    <t>105390        IF Dk1 THEN</t>
  </si>
  <si>
    <t>105400                   MOVE P,248.5+Sp</t>
  </si>
  <si>
    <t>105410                   LABEL USING "5D.2D";Dk1</t>
  </si>
  <si>
    <t>105420        END IF</t>
  </si>
  <si>
    <t>105430        IF W1 THEN</t>
  </si>
  <si>
    <t>105440                   MOVE P,218.5+Sp</t>
  </si>
  <si>
    <t>105450                   LABEL USING "3D";K1</t>
  </si>
  <si>
    <t>105460                   MOVE P,223.5+Sp</t>
  </si>
  <si>
    <t>105470                   LABEL USING "5D.3D";W1</t>
  </si>
  <si>
    <t>105480        END IF</t>
  </si>
  <si>
    <t>105490        IF Mdk THEN</t>
  </si>
  <si>
    <t>105500                   MOVE P,228.5+Sp</t>
  </si>
  <si>
    <t>105510                   LABEL USING "3D.3D";ABS(Dm)</t>
  </si>
  <si>
    <t>105520                   MOVE P,233.5+Sp</t>
  </si>
  <si>
    <t>105530                   LABEL USING "5D.3D";Mdk</t>
  </si>
  <si>
    <t>105540        END IF</t>
  </si>
  <si>
    <t>105590        P=104+Sp</t>
  </si>
  <si>
    <t>105600        MOVE P,258.5+Sp</t>
  </si>
  <si>
    <t>105610        LABEL Mn$</t>
  </si>
  <si>
    <t>105620        P=103+Sp</t>
  </si>
  <si>
    <t>105630        IF LEN(Dp$)&gt;0 THEN</t>
  </si>
  <si>
    <t>105640                         MOVE P,253.5+Sp</t>
  </si>
  <si>
    <t>105650                         LABEL Dp$</t>
  </si>
  <si>
    <t>105660        ELSE</t>
  </si>
  <si>
    <t>105670                         Dplvt=25.4/Mn</t>
  </si>
  <si>
    <t>105680                         MOVE P,253.5+Sp</t>
  </si>
  <si>
    <t>105690                         LABEL USING "3D.4D";Dplvt</t>
  </si>
  <si>
    <t>105700        END IF</t>
  </si>
  <si>
    <t>105710        MOVE P,248.5+Sp</t>
  </si>
  <si>
    <t>105720        LABEL Apn$</t>
  </si>
  <si>
    <t>105730        MOVE P,243.5+Sp</t>
  </si>
  <si>
    <t>105740        LABEL Z0</t>
  </si>
  <si>
    <t>105750        IF Elic THEN</t>
  </si>
  <si>
    <t>105760                   MOVE P,238.5+Sp</t>
  </si>
  <si>
    <t>105770                   LABEL Ael$</t>
  </si>
  <si>
    <t>105780                   MOVE P,233.5+Sp</t>
  </si>
  <si>
    <t>105790         SELECT Lingua$</t>
  </si>
  <si>
    <t>105800                   CASE "ITALIANO"</t>
  </si>
  <si>
    <t>105810                   LABEL Senso$</t>
  </si>
  <si>
    <t>105820                   CASE "INGLESE"</t>
  </si>
  <si>
    <t>105830        IF Senso$="DESTRO" THEN</t>
  </si>
  <si>
    <t>105840                   LABEL "RIGHT"</t>
  </si>
  <si>
    <t>105850        ELSE</t>
  </si>
  <si>
    <t>105860                   LABEL "LEFT"</t>
  </si>
  <si>
    <t>105870        END IF</t>
  </si>
  <si>
    <t>105880                   CASE "TEDESCO"</t>
  </si>
  <si>
    <t>105890        IF Senso$="DESTRO" THEN</t>
  </si>
  <si>
    <t>105900                   LABEL "RECHTS"</t>
  </si>
  <si>
    <t>105910        ELSE</t>
  </si>
  <si>
    <t>105920                   LABEL "LINKS"</t>
  </si>
  <si>
    <t>105930        END IF</t>
  </si>
  <si>
    <t>105950                   CASE "FRANCESE"</t>
  </si>
  <si>
    <t>105960        IF Senso$="DESTRO" THEN</t>
  </si>
  <si>
    <t>105970                   LABEL "DROITE"</t>
  </si>
  <si>
    <t>105980        ELSE</t>
  </si>
  <si>
    <t>105990                   LABEL "GAUCHE"</t>
  </si>
  <si>
    <t>106000        END IF</t>
  </si>
  <si>
    <t>106020        END SELECT</t>
  </si>
  <si>
    <t>106040        MOVE P,228.5+Sp</t>
  </si>
  <si>
    <t>106050        LABEL USING "4D.3D";Pz0</t>
  </si>
  <si>
    <t>106060        END IF</t>
  </si>
  <si>
    <t>106070        MOVE P,223.5+Sp</t>
  </si>
  <si>
    <t>106080        LABEL USING "3D.3D";Mt*Z0</t>
  </si>
  <si>
    <t>106100        GOSUB Size_writesm                !CSIZE 1.65,.55</t>
  </si>
  <si>
    <t>106120        MOVE P-3,218.5+Sp</t>
  </si>
  <si>
    <t>106130        LABEL USING "3D.3D";(Db0h/2)</t>
  </si>
  <si>
    <t>106140        MOVE P+13,218.5+Sp</t>
  </si>
  <si>
    <t>106150        IF Elic THEN LABEL USING "3D.3D";(Db0t/2)</t>
  </si>
  <si>
    <t>106180        GOSUB Size_write                    !CSIZE 1.77,.65</t>
  </si>
  <si>
    <t>106200        P=170+Sp</t>
  </si>
  <si>
    <t>106230        IF Zeta_h$=Zeta_t$ THEN</t>
  </si>
  <si>
    <t>106240                              MOVE P,258.50+Sp</t>
  </si>
  <si>
    <t>106250                              LABEL Zeta_h$</t>
  </si>
  <si>
    <t>106260        ELSE</t>
  </si>
  <si>
    <t>106270                              GOSUB Size_writesm                 !CSIZE 1.65,.55</t>
  </si>
  <si>
    <t>106290                              MOVE P-3,258.5+Sp</t>
  </si>
  <si>
    <t>106300                              LABEL Zeta_h$</t>
  </si>
  <si>
    <t xml:space="preserve">106310                        !                  </t>
  </si>
  <si>
    <t>106320                              MOVE P+13,258.5+Sp</t>
  </si>
  <si>
    <t>106330                              LABEL Zeta_t$</t>
  </si>
  <si>
    <t>106340        END IF</t>
  </si>
  <si>
    <t>106360        GOSUB Size_write                 !CSIZE 1.77,.65</t>
  </si>
  <si>
    <t>106380        MOVE P,253.5+Sp</t>
  </si>
  <si>
    <t>106390        LABEL Eta$</t>
  </si>
  <si>
    <t>106400        IF Elic THEN</t>
  </si>
  <si>
    <t>106410                   MOVE P,248.5+Sp</t>
  </si>
  <si>
    <t>106420                   LABEL Tau$</t>
  </si>
  <si>
    <t>106430        END IF</t>
  </si>
  <si>
    <t>106440        MOVE P,243.5+Sp</t>
  </si>
  <si>
    <t>106450        LABEL Teta$</t>
  </si>
  <si>
    <t>106460        MOVE P,238.5+Sp</t>
  </si>
  <si>
    <t>106470        LABEL USING "3D.2D";X0*Mn</t>
  </si>
  <si>
    <t>106490        MOVE P,233.5+Sp</t>
  </si>
  <si>
    <t>106500       IF H_4 THEN</t>
  </si>
  <si>
    <t>106501       LABEL USING "2D.D";H_4</t>
  </si>
  <si>
    <t>106502       END IF</t>
  </si>
  <si>
    <t>106540        MOVE P-3,228.5+Sp</t>
  </si>
  <si>
    <t>106550        LABEL Classe$</t>
  </si>
  <si>
    <t>106560        IF LEN(Occhei$) THEN</t>
  </si>
  <si>
    <t>106570                           MOVE P+18,228.5+Sp</t>
  </si>
  <si>
    <t>106580                           LABEL Classe1$</t>
  </si>
  <si>
    <t>106590        ELSE</t>
  </si>
  <si>
    <t>106600                           MOVE P+18,228.5+Sp</t>
  </si>
  <si>
    <t>106620        END IF</t>
  </si>
  <si>
    <t>106640        MOVE P+3,223.5+Sp</t>
  </si>
  <si>
    <t>106650        LABEL Acciaio$</t>
  </si>
  <si>
    <t>106670        MOVE P,218.5+Sp</t>
  </si>
  <si>
    <t>106680        LABEL Rivestimento$</t>
  </si>
  <si>
    <t>106750       IF Cod_colt$="COD" THEN                 !Printcodolo=1 THEN</t>
  </si>
  <si>
    <t>106790                             MOVE 135+Sp,106+Sp</t>
  </si>
  <si>
    <t>106800                             LABEL Teta$</t>
  </si>
  <si>
    <t>106820                             MOVE 158+Sp,146+Sp</t>
  </si>
  <si>
    <t>106830                             LABEL H_l</t>
  </si>
  <si>
    <t>106850                             MOVE 95+Sp,117</t>
  </si>
  <si>
    <t>106860                             LABEL Eta$</t>
  </si>
  <si>
    <t>106871                             MOVE 150+Sp,118+Sp</t>
  </si>
  <si>
    <t>106872                             LABEL B2</t>
  </si>
  <si>
    <t>106880                             MOVE 140+Sp,118+Sp</t>
  </si>
  <si>
    <t>106890                             LABEL B3</t>
  </si>
  <si>
    <t>106900                             MOVE 142+Sp,132+Sp</t>
  </si>
  <si>
    <t>106910                             Hx2=ABS(H_l-L_cono)</t>
  </si>
  <si>
    <t>106920                             LABEL Hx2</t>
  </si>
  <si>
    <t>106940                             MOVE 100+Sp,141+Sp</t>
  </si>
  <si>
    <t>106950                             LABEL Dbg</t>
  </si>
  <si>
    <t>106970                             MOVE 75+Sp,170+Sp</t>
  </si>
  <si>
    <t>106980                             LABEL D_cono</t>
  </si>
  <si>
    <t>106981                             MOVE 150+Sp,160+Sp</t>
  </si>
  <si>
    <t>106982                             LABEL L_cono</t>
  </si>
  <si>
    <t>107000                             MOVE 75+Sp,186+Sp</t>
  </si>
  <si>
    <t>107010                             LABEL Fill_cono$</t>
  </si>
  <si>
    <t>107030                             MOVE 100+Sp,108+Sp</t>
  </si>
  <si>
    <t>107040                             LABEL Dd2</t>
  </si>
  <si>
    <t>107060                             MOVE 84+Sp,118+Sp</t>
  </si>
  <si>
    <t>107070                             LABEL Bd2</t>
  </si>
  <si>
    <t>107110                             MOVE 29+Sp,107+Sp</t>
  </si>
  <si>
    <t>107120                             LABEL Dfrh</t>
  </si>
  <si>
    <t>107140                             MOVE 25+Sp,126+Sp</t>
  </si>
  <si>
    <t>107150                             LABEL Frh</t>
  </si>
  <si>
    <t>107170                             MOVE 25+Sp,160+Sp</t>
  </si>
  <si>
    <t>107180                             LABEL Hsv</t>
  </si>
  <si>
    <t>107200                             MOVE 41+Sp,160+Sp</t>
  </si>
  <si>
    <t>107210                             LABEL Ahsv</t>
  </si>
  <si>
    <t>107240   SELECT Lingua$</t>
  </si>
  <si>
    <t>107250          CASE "ITALIANO"</t>
  </si>
  <si>
    <t>107251                       SELECT Cono$</t>
  </si>
  <si>
    <t>107253                       CASE "MORSE N.2"</t>
  </si>
  <si>
    <t>107254                                      Tipocono$="MK 2 x 40"</t>
  </si>
  <si>
    <t>107255                       CASE "MORSE N.3"</t>
  </si>
  <si>
    <t>107256                                      Tipocono$="MK 3 x 40"</t>
  </si>
  <si>
    <t>107257                       CASE "MORSE N.1"</t>
  </si>
  <si>
    <t>107258                                      Tipocono$="MK 1 x 40"</t>
  </si>
  <si>
    <t>107259                       CASE "MORSE Kegel 4"</t>
  </si>
  <si>
    <t>107260                                      Tipocono$="MK 4 x 71"</t>
  </si>
  <si>
    <t>107261                       END SELECT</t>
  </si>
  <si>
    <t>107264          CASE "TEDESCO"</t>
  </si>
  <si>
    <t>107270                       SELECT Cono$</t>
  </si>
  <si>
    <t>107290                       CASE "MORSE N.2"</t>
  </si>
  <si>
    <t>107300                                      Tipocono$="MK 2 x 40"</t>
  </si>
  <si>
    <t>107310                       CASE "MORSE N.3"</t>
  </si>
  <si>
    <t>107320                                      Tipocono$="MK 3 x 40"</t>
  </si>
  <si>
    <t>107330                       CASE "MORSE N.1"</t>
  </si>
  <si>
    <t>107340                                      Tipocono$="MK 1 x 40"</t>
  </si>
  <si>
    <t>107350                       CASE "MORSE Kegel 4"</t>
  </si>
  <si>
    <t>107360                                      Tipocono$="MK 4 x 71"</t>
  </si>
  <si>
    <t>107370                       END SELECT</t>
  </si>
  <si>
    <t>107400          CASE "INGLESE"</t>
  </si>
  <si>
    <t>107420                       SELECT Cono$</t>
  </si>
  <si>
    <t>107440                       CASE "MORSE N.2"</t>
  </si>
  <si>
    <t>107450                                      Tipocono$="MK 2 x 40"</t>
  </si>
  <si>
    <t>107460                       CASE "MORSE N.3"</t>
  </si>
  <si>
    <t>107470                                      Tipocono$="MK 3 x 40"</t>
  </si>
  <si>
    <t>107480                       CASE "MORSE N.1"</t>
  </si>
  <si>
    <t>107490                                      Tipocono$="MK 1 x 40"</t>
  </si>
  <si>
    <t>107500                       CASE "MORSE Kegel 4"</t>
  </si>
  <si>
    <t>107510                                      Tipocono$="MK 4 x 71"</t>
  </si>
  <si>
    <t>107520                       END SELECT</t>
  </si>
  <si>
    <t>107540          CASE "FRANCESE"</t>
  </si>
  <si>
    <t>107560                       SELECT Cono$</t>
  </si>
  <si>
    <t>107580                       CASE "MORSE N.1"</t>
  </si>
  <si>
    <t>107590                                      Tipocono$="MK 1 x 30"</t>
  </si>
  <si>
    <t>107600                       CASE "MORSE N.2"</t>
  </si>
  <si>
    <t>107610                                      Tipocono$="MK 2 x 40"</t>
  </si>
  <si>
    <t>107620                       CASE "MORSE N.3"</t>
  </si>
  <si>
    <t>107630                                      Tipocono$="MK 3 x 40"</t>
  </si>
  <si>
    <t>107640                       CASE "MORSE N.4"</t>
  </si>
  <si>
    <t>107650                                      Tipocono$="MK 4 x 40"</t>
  </si>
  <si>
    <t>107670                       CASE "MORSE Kegel 4"</t>
  </si>
  <si>
    <t>107680                                      Tipocono$="MK 4 x 71"</t>
  </si>
  <si>
    <t>107690                       END SELECT</t>
  </si>
  <si>
    <t>107700          END SELECT</t>
  </si>
  <si>
    <t>107720                       MOVE 72+Sp,178+Sp</t>
  </si>
  <si>
    <t>107730                       LABEL Tipocono$</t>
  </si>
  <si>
    <t>107760        ELSE</t>
  </si>
  <si>
    <t>107770                             P=60+Sp</t>
  </si>
  <si>
    <t>107790                             MOVE P,189.5+Sp</t>
  </si>
  <si>
    <t>107800                             LABEL USING "3D.2D";D1                  !d battuta superiore</t>
  </si>
  <si>
    <t>107810                             MOVE P,180.0+Sp</t>
  </si>
  <si>
    <t>107820                             LABEL Foro$</t>
  </si>
  <si>
    <t>107830                             MOVE P,153+Sp</t>
  </si>
  <si>
    <t>107840                             LABEL USING "3D.2D";D2                  ! D APPOGGIO INTERNO</t>
  </si>
  <si>
    <t>107850                             MOVE P,123.5+Sp</t>
  </si>
  <si>
    <t>107860                             LABEL USING "3D.2D";D2bis                 ! D INTERNO RELATIVO ANG. SVINCOLO</t>
  </si>
  <si>
    <t>107870                             MOVE P+28,129.5+Sp</t>
  </si>
  <si>
    <t>107880                             LABEL USING "K,K";Ad2bis,"°"</t>
  </si>
  <si>
    <t>107890                             MOVE P,116.5+Sp</t>
  </si>
  <si>
    <t>107891                             IF Cliente$="ACEDES" THEN</t>
  </si>
  <si>
    <t>107892                             LABEL USING "3D.2D";Da0</t>
  </si>
  <si>
    <t>107902                             END IF</t>
  </si>
  <si>
    <t>107920                             GOSUB Size_write                 !GOSUB Size_writetol  !CSIZE 1.3,.5</t>
  </si>
  <si>
    <t>107930                             MOVE P+15+Sp,117+Sp</t>
  </si>
  <si>
    <t>107960                             GOSUB Size_write                !CSIZE 1.77,.65</t>
  </si>
  <si>
    <t>107990                             CSIZE 1.72,.65                !CSIZE 1.77,.65</t>
  </si>
  <si>
    <t>108010                             MOVE 39+Sp,164.9+Sp</t>
  </si>
  <si>
    <t>108020                             LABEL USING "2D.DD";B4</t>
  </si>
  <si>
    <t>108060                             MOVE 124.5+Sp,149+Sp</t>
  </si>
  <si>
    <t>108070                             LABEL USING "2D.D";B3</t>
  </si>
  <si>
    <t>108080                             MOVE 134.5+Sp,149+Sp</t>
  </si>
  <si>
    <t>108090                             LABEL USING "2D.D";B2</t>
  </si>
  <si>
    <t>108100                             MOVE 143.5+Sp,153+Sp</t>
  </si>
  <si>
    <t>108110                             LABEL USING "3D.D";H_l</t>
  </si>
  <si>
    <t>108130        END IF</t>
  </si>
  <si>
    <t>108170     GOSUB Size_write90</t>
  </si>
  <si>
    <t>108190        MOVE 59+Sp,210+Sp</t>
  </si>
  <si>
    <t>108200        IF Cliente$="LIEBHERR LVT" THEN</t>
  </si>
  <si>
    <t>108210                                     LABEL Incisioni2$," ";Incisioni3$," ";Incisioni4$</t>
  </si>
  <si>
    <t>108220        ELSE</t>
  </si>
  <si>
    <t>108230                                     LABEL Incisioni1$," ";Incisioni2$," ";Incisioni3$," ";Incisioni4$</t>
  </si>
  <si>
    <t>108240        END IF</t>
  </si>
  <si>
    <t xml:space="preserve">108260                        !        </t>
  </si>
  <si>
    <t>108270        LDIR 0</t>
  </si>
  <si>
    <t>108280        CSIZE 1.78,.75</t>
  </si>
  <si>
    <t>108330 IF Collarino$="Collarino rettificato" THEN</t>
  </si>
  <si>
    <t>108350          SELECT Lingua$</t>
  </si>
  <si>
    <t>108370          CASE "TEDESCO"</t>
  </si>
  <si>
    <t>108380                       Collarino$="Prüfbund"</t>
  </si>
  <si>
    <t>108390          CASE "INGLESE"</t>
  </si>
  <si>
    <t>108400                       Collarino$="Indicating band"</t>
  </si>
  <si>
    <t>108410          CASE "FRANCESE"</t>
  </si>
  <si>
    <t>108420                       Collarino$="Collerette de contrôle"</t>
  </si>
  <si>
    <t>108430          END SELECT</t>
  </si>
  <si>
    <t>108440 END IF</t>
  </si>
  <si>
    <t>108510        IF LEN(Collarino$) THEN</t>
  </si>
  <si>
    <t>108520                                            MOVE 120+Sp,136+Sp</t>
  </si>
  <si>
    <t>108530                                            LABEL Collarino$</t>
  </si>
  <si>
    <t>108540                                            GOTO Afterkey</t>
  </si>
  <si>
    <t>108550        END IF</t>
  </si>
  <si>
    <t xml:space="preserve">108560                        !         </t>
  </si>
  <si>
    <t>108590        IF LEN(Collarino$) THEN</t>
  </si>
  <si>
    <t>108600                                            MOVE 113+Sp,183+Sp</t>
  </si>
  <si>
    <t>108610                                            LABEL Collarino$</t>
  </si>
  <si>
    <t>108620        END IF</t>
  </si>
  <si>
    <t>108660 IF Caratt_ut$=" Chiavetta nel foro non allineata" THEN</t>
  </si>
  <si>
    <t>108680        SELECT Lingua$</t>
  </si>
  <si>
    <t>108700        CASE "TEDESCO"</t>
  </si>
  <si>
    <t>108710                Caratt_ut$=" LaengsNUT"</t>
  </si>
  <si>
    <t>108720        CASE "INGLESE"</t>
  </si>
  <si>
    <t>108730                Caratt_ut$=" KEYWAY unaligned"</t>
  </si>
  <si>
    <t>108740        END SELECT</t>
  </si>
  <si>
    <t>108750 END IF</t>
  </si>
  <si>
    <t>108770 IF Caratt_ut$=" Chiavetta nel foro allineata al dente entro " THEN</t>
  </si>
  <si>
    <t>108780        SELECT Lingua$</t>
  </si>
  <si>
    <t>108800        CASE "TEDESCO"</t>
  </si>
  <si>
    <t>108810               Caratt_ut$=" LaengsNUT"</t>
  </si>
  <si>
    <t>108820               Carkey$=" Mittigkeit zum Zahn"</t>
  </si>
  <si>
    <t>108830               Tolkey$="= 0.02"</t>
  </si>
  <si>
    <t>108850        CASE "INGLESE"</t>
  </si>
  <si>
    <t>108860               Caratt_ut$=" KEYWAY"</t>
  </si>
  <si>
    <t>108870               Carkey$=" aligned on Tooth"</t>
  </si>
  <si>
    <t>108880               Tolkey$="= 0.02"</t>
  </si>
  <si>
    <t>108890        END SELECT</t>
  </si>
  <si>
    <t>108900 END IF</t>
  </si>
  <si>
    <t>108920 IF Caratt_ut$=" Chiavetta nel foro allineata al vano entro " THEN</t>
  </si>
  <si>
    <t>108940        SELECT Lingua$</t>
  </si>
  <si>
    <t>108960        CASE "TEDESCO"</t>
  </si>
  <si>
    <t>108970               Carkey$=" Mittigkeit zur Lücke"</t>
  </si>
  <si>
    <t>108980               Tolkey$="= 0.02"</t>
  </si>
  <si>
    <t>108990               Caratt_ut$=" LaengsNUT"                     ! Mittigkeit zur Luecke "</t>
  </si>
  <si>
    <t>109010        CASE "INGLESE "</t>
  </si>
  <si>
    <t>109020               Carkey$=" aligned on space"</t>
  </si>
  <si>
    <t>109030               Tolkey$="= 0.02"</t>
  </si>
  <si>
    <t>109040               Caratt_ut$=" KEYWAY"</t>
  </si>
  <si>
    <t>109050        END SELECT</t>
  </si>
  <si>
    <t>109060 END IF</t>
  </si>
  <si>
    <t xml:space="preserve">109070                 !         </t>
  </si>
  <si>
    <t>109080 IF Caratt_ut$=" Chiavetta dorsale non allineata" THEN</t>
  </si>
  <si>
    <t>109100        SELECT Lingua$</t>
  </si>
  <si>
    <t>109120        CASE "TEDESCO"</t>
  </si>
  <si>
    <t>109130                 Caratt_ut$=" Nut"</t>
  </si>
  <si>
    <t>109140        CASE "INGLESE"</t>
  </si>
  <si>
    <t>109150               Carkey$=" unaligned"</t>
  </si>
  <si>
    <t>109160               Tolkey$=""</t>
  </si>
  <si>
    <t>109170                 Caratt_ut$=" KEYWAY"</t>
  </si>
  <si>
    <t>109180        CASE "FRANCESE"</t>
  </si>
  <si>
    <t>109190                 Caratt_ut$=" Rainure transversale"</t>
  </si>
  <si>
    <t>109200     END SELECT</t>
  </si>
  <si>
    <t>109210 END IF</t>
  </si>
  <si>
    <t>109230 IF Caratt_ut$=" Chiavetta dorsale allineata al dente entro " THEN</t>
  </si>
  <si>
    <t>109250        SELECT Lingua$</t>
  </si>
  <si>
    <t>109270        CASE "TEDESCO"</t>
  </si>
  <si>
    <t>109280                Caratt_ut$="Nut"</t>
  </si>
  <si>
    <t>109290                Carkey$=" Mittigkeit zum Zahn"</t>
  </si>
  <si>
    <t>109300                Tolkey$="= 0.02"</t>
  </si>
  <si>
    <t>109320        CASE "INGLESE"</t>
  </si>
  <si>
    <t>109330                Caratt_ut$=" KEYWAY"</t>
  </si>
  <si>
    <t>109340                Carkey$="aligned on Tooth"</t>
  </si>
  <si>
    <t>109350                Tolkey$="= 0.02"</t>
  </si>
  <si>
    <t>109370        END SELECT</t>
  </si>
  <si>
    <t>109380 END IF</t>
  </si>
  <si>
    <t>109400 IF Caratt_ut$=" Chiavetta dorsale allineata al vano entro " THEN</t>
  </si>
  <si>
    <t>109420        SELECT Lingua$</t>
  </si>
  <si>
    <t>109440        CASE "TEDESCO"</t>
  </si>
  <si>
    <t>109450                 Carkey$=" Mittigkeit zur Lücke"</t>
  </si>
  <si>
    <t>109460                 Tolkey$="= 0.02"</t>
  </si>
  <si>
    <t>109470                 Caratt_ut$="Nut"</t>
  </si>
  <si>
    <t>109500        CASE "INGLESE"</t>
  </si>
  <si>
    <t>109510                 Carkey$="aligned on space"</t>
  </si>
  <si>
    <t>109520                 Tolkey$="= 0.02"</t>
  </si>
  <si>
    <t>109530                 Caratt_ut$=" KEYWAY"</t>
  </si>
  <si>
    <t>109550        END SELECT</t>
  </si>
  <si>
    <t>109560 END IF</t>
  </si>
  <si>
    <t>109600                      IF LEN(Caratt_ut$) THEN</t>
  </si>
  <si>
    <t>109610                                            MOVE 95+Sp,198+Sp</t>
  </si>
  <si>
    <t>109640      LABEL USING "K,K,K,K,K";Caratt_ut$,Amp_ch$," x ",Prof_ch$,Carkey$,Tolkey$</t>
  </si>
  <si>
    <t>109680                     END IF</t>
  </si>
  <si>
    <t xml:space="preserve">109700 Afterkey: !                                </t>
  </si>
  <si>
    <t>109720            MOVE 184+Sp,18+Sp</t>
  </si>
  <si>
    <t>109730            LABEL DATE$(TIMEDATE)</t>
  </si>
  <si>
    <t>109780        GOSUB Size_write                !CSIZE 1.55,.5 !GOSUB Size_write</t>
  </si>
  <si>
    <t>109800        MOVE 160.5+Sp,47.5+Sp</t>
  </si>
  <si>
    <t>109810        LABEL USING "2D.2D";S_vn0</t>
  </si>
  <si>
    <t>109840        MOVE 185+Sp,59+Sp</t>
  </si>
  <si>
    <t>109850        LABEL USING "2D.2D";H_vn0</t>
  </si>
  <si>
    <t>109870        LDIR 0</t>
  </si>
  <si>
    <t>109890        GOSUB Size_write</t>
  </si>
  <si>
    <t>109910        IF Prtz THEN</t>
  </si>
  <si>
    <t>109920                   LDIR 0</t>
  </si>
  <si>
    <t>109930                   MOVE 148+Sp,82+Sp</t>
  </si>
  <si>
    <t>109940                   LABEL USING "3D.3D";Prtz</t>
  </si>
  <si>
    <t>109990        END IF</t>
  </si>
  <si>
    <t>110010        IF LEN(Topping$) OR LEN(T$) THEN</t>
  </si>
  <si>
    <t>110030                                       D_topp=Da0-(Da1-Df1)</t>
  </si>
  <si>
    <t>110040                                       MOVE 121+Sp,23.0+Sp</t>
  </si>
  <si>
    <t>110060                                       LABEL USING "3D.DD";D_topp                !(Da0-D_topp)/2</t>
  </si>
  <si>
    <t>110100          END IF</t>
  </si>
  <si>
    <t>110120          MOVE 130+Sp,56+Sp</t>
  </si>
  <si>
    <t>110130          LABEL USING "3D.2D";Da0                     ! STAMPA DIAMETRO ESTERNO</t>
  </si>
  <si>
    <t>110150          IF Dk1 THEN</t>
  </si>
  <si>
    <t>110170                    MOVE 140+Sp,25+Sp</t>
  </si>
  <si>
    <t>110180                    LABEL USING "3D.2D";Dk0</t>
  </si>
  <si>
    <t>110220                    MOVE 122+Sp,24+Sp</t>
  </si>
  <si>
    <t>110230                    LABEL USING "3D.2D";Df0                  ! STAMPA DEL DF2 ANCHE CON IL DK1</t>
  </si>
  <si>
    <t>110250                    GOSUB Size_write                !CSIZE 1.5,.5</t>
  </si>
  <si>
    <t>110260           ELSE</t>
  </si>
  <si>
    <t>110280           IF LEN(Topping$) THEN GOTO 110320</t>
  </si>
  <si>
    <t>110300                    MOVE 122+Sp,24+Sp</t>
  </si>
  <si>
    <t>110310                    LABEL USING "3D.2D";Df0                !(Da0-Df0)/2</t>
  </si>
  <si>
    <t>110320           END IF</t>
  </si>
  <si>
    <t>110340           LDIR 0</t>
  </si>
  <si>
    <t>110350           GOSUB Size_write</t>
  </si>
  <si>
    <t>110370           MOVE 138+Sp,75+Sp</t>
  </si>
  <si>
    <t>110390           IF Ra0 THEN</t>
  </si>
  <si>
    <t>110400                     SELECT Lingua$</t>
  </si>
  <si>
    <t>110410                                  CASE "ITALIANO"</t>
  </si>
  <si>
    <t>110420                                  LABEL USING "K,D.2D";"R";Ra0</t>
  </si>
  <si>
    <t>110430                                  CASE "TEDESCO"</t>
  </si>
  <si>
    <t>110440                                  LABEL USING "K,D.2D";"R";Ra0</t>
  </si>
  <si>
    <t>110450                                  CASE "INGLESE"</t>
  </si>
  <si>
    <t>110460                                  LABEL USING "K,D.2D";"R";Ra0</t>
  </si>
  <si>
    <t>110470                                  CASE "FRANCESE"</t>
  </si>
  <si>
    <t>110480                                  LABEL USING "K,D.2D";"R";Ra0</t>
  </si>
  <si>
    <t>110490            END SELECT</t>
  </si>
  <si>
    <t>110500            ELSE</t>
  </si>
  <si>
    <t>110510            MOVE 176+Sp,78+Sp</t>
  </si>
  <si>
    <t>110530                      SELECT Lingua$</t>
  </si>
  <si>
    <t>110540                                   CASE "ITALIANO"</t>
  </si>
  <si>
    <t>110550                                        LABEL USING "K,D.2D";Hab                !"Smusso ",Hab</t>
  </si>
  <si>
    <t>110560                                   CASE "TEDESCO"</t>
  </si>
  <si>
    <t>110570                                        LABEL USING "K,D.2D";Hab                !"Fase ",Hab</t>
  </si>
  <si>
    <t>110580                                   CASE "INGLESE"</t>
  </si>
  <si>
    <t>110590                                       LABEL USING "K,D.2D";Hab                !"Chamfer ",Hab</t>
  </si>
  <si>
    <t>110600                                   CASE "FRANCESE"</t>
  </si>
  <si>
    <t>110610                                       LABEL USING "K,D.2D"</t>
  </si>
  <si>
    <t>110620                      END SELECT</t>
  </si>
  <si>
    <t>110630            END IF</t>
  </si>
  <si>
    <t>110670                 SELECT Lingua$</t>
  </si>
  <si>
    <t>110680                        CASE "ITALIANO"</t>
  </si>
  <si>
    <t>110700                                GOTO Prt_tip</t>
  </si>
  <si>
    <t>110720                        CASE "TEDESCO"</t>
  </si>
  <si>
    <t>110770                                IF Tip_colt$="DISCO" THEN</t>
  </si>
  <si>
    <t>110780                                            Tip_colt1$="Scheibenschneidrad"</t>
  </si>
  <si>
    <t>110790                                END IF</t>
  </si>
  <si>
    <t>110810                                IF Tip_colt$="CAMPANA" THEN</t>
  </si>
  <si>
    <t>110820                                            Tip_colt1$="Glockenschneidrad"</t>
  </si>
  <si>
    <t>110830                                END IF</t>
  </si>
  <si>
    <t>110850                                IF Tip_colt$="semiCAMPANA" THEN</t>
  </si>
  <si>
    <t>110860                                            Tip_colt1$="Glockenschneidrad"</t>
  </si>
  <si>
    <t>110870                                END IF</t>
  </si>
  <si>
    <t xml:space="preserve">110880                                                !        </t>
  </si>
  <si>
    <t>110890                                IF Tip_colt$="CODOLO" THEN</t>
  </si>
  <si>
    <t>110900                                            Tip_colt1$="Schaftschneidrad"</t>
  </si>
  <si>
    <t>110910                                END IF</t>
  </si>
  <si>
    <t xml:space="preserve">110920                                                !       </t>
  </si>
  <si>
    <t>110930                        CASE "INGLESE"</t>
  </si>
  <si>
    <t>110940                                IF Tip_colt$="DISCO" THEN</t>
  </si>
  <si>
    <t>110950                                           Tip_colt1$="Disc-type shaper cutter"</t>
  </si>
  <si>
    <t>110960                                END IF</t>
  </si>
  <si>
    <t>110980                                IF Tip_colt$="CAMPANA" THEN</t>
  </si>
  <si>
    <t>110990                                            Tip_colt1$="Hub-type shaper cutter"</t>
  </si>
  <si>
    <t>111000                                END IF</t>
  </si>
  <si>
    <t>111020                                IF Tip_colt$="semiCAMPANA" THEN</t>
  </si>
  <si>
    <t>111030                                            Tip_colt1$="Hub-type shaper cutter"</t>
  </si>
  <si>
    <t>111040                                END IF</t>
  </si>
  <si>
    <t>111060                                IF Tip_colt$="CODOLO" THEN</t>
  </si>
  <si>
    <t>111070                                            Tip_colt1$="Shank-type shaper cutter"</t>
  </si>
  <si>
    <t>111080                                END IF</t>
  </si>
  <si>
    <t>111100                       CASE "FRANCESE"</t>
  </si>
  <si>
    <t>111110                                IF Tip_colt$="DISCO" THEN</t>
  </si>
  <si>
    <t>111120                                           Tip_colt1$="Couteau Disque"</t>
  </si>
  <si>
    <t>111130                                END IF</t>
  </si>
  <si>
    <t>111150                                IF Tip_colt$="CAMPANA" THEN</t>
  </si>
  <si>
    <t>111160                                            Tip_colt1$="Couteau a Cloche"</t>
  </si>
  <si>
    <t>111170                                END IF</t>
  </si>
  <si>
    <t>111190                                IF Tip_colt$="semiCAMPANA" THEN</t>
  </si>
  <si>
    <t>111200                                            Tip_colt1$="Couteau a demi-Cloche"</t>
  </si>
  <si>
    <t>111210                                END IF</t>
  </si>
  <si>
    <t>111230                                IF Tip_colt$="CODOLO" THEN</t>
  </si>
  <si>
    <t>111240                                            Tip_colt1$="Couteau a Queue"</t>
  </si>
  <si>
    <t>111250                                END IF</t>
  </si>
  <si>
    <t>111270                       END SELECT</t>
  </si>
  <si>
    <t>111290                 LORG 6</t>
  </si>
  <si>
    <t>111300                 CSIZE 2.5,.60</t>
  </si>
  <si>
    <t>111310                 MOVE 100+Sp,272+Sp                    !MOVE 68+Sp,273+Sp</t>
  </si>
  <si>
    <t>111320                 IF Lingua$="ITALIANO" THEN</t>
  </si>
  <si>
    <t>111330                                          LABEL Tip_colt$,Lavor$;Work$;Work_b$;Work_c$</t>
  </si>
  <si>
    <t>111350                 ELSE</t>
  </si>
  <si>
    <t>111360                                          LABEL Tip_colt1$</t>
  </si>
  <si>
    <t>111370                 END IF</t>
  </si>
  <si>
    <t xml:space="preserve">111450              !            </t>
  </si>
  <si>
    <t>111480 IF Elic THEN</t>
  </si>
  <si>
    <t>111500        IF NOT Tau=0 THEN</t>
  </si>
  <si>
    <t>111510                     Ay=221</t>
  </si>
  <si>
    <t>111520                     Ay1=207</t>
  </si>
  <si>
    <t>111530                     Ay2=212</t>
  </si>
  <si>
    <t>111540                     Ay3=221</t>
  </si>
  <si>
    <t>111550                              IF Senso$="SINISTRO" THEN</t>
  </si>
  <si>
    <t>111560                                                   Ax=353</t>
  </si>
  <si>
    <t>111570                                                   Ax1=359</t>
  </si>
  <si>
    <t>111580                                                   Ax2=367</t>
  </si>
  <si>
    <t>111590                                                   Ax3=360</t>
  </si>
  <si>
    <t>111600                               ELSE</t>
  </si>
  <si>
    <t>111610                                                   Ax=382</t>
  </si>
  <si>
    <t>111620                                                   Ax1=376</t>
  </si>
  <si>
    <t>111630                                                   Ax2=368</t>
  </si>
  <si>
    <t>111640                                                   Ax3=375</t>
  </si>
  <si>
    <t>111650                                END IF</t>
  </si>
  <si>
    <t>111660        ELSE</t>
  </si>
  <si>
    <t>111670                     Ay=221</t>
  </si>
  <si>
    <t>111680                     Ay1=207</t>
  </si>
  <si>
    <t>111690                     Ay2=207</t>
  </si>
  <si>
    <t>111700                     Ay3=221</t>
  </si>
  <si>
    <t xml:space="preserve">111710                                     !                  </t>
  </si>
  <si>
    <t>111720             IF Senso$="SINISTRO" THEN</t>
  </si>
  <si>
    <t>111730                                     Ax=356</t>
  </si>
  <si>
    <t>111740                                     Ax1=359</t>
  </si>
  <si>
    <t>111750                                     Ax2=369</t>
  </si>
  <si>
    <t>111760                                     Ax3=361</t>
  </si>
  <si>
    <t>111770                 ELSE</t>
  </si>
  <si>
    <t>111780                                     Ax=379</t>
  </si>
  <si>
    <t>111790                                     Ax1=376</t>
  </si>
  <si>
    <t>111800                                     Ax2=367</t>
  </si>
  <si>
    <t>111810                                     Ax3=374</t>
  </si>
  <si>
    <t>111820                 END IF</t>
  </si>
  <si>
    <t>111830      END IF</t>
  </si>
  <si>
    <t>111860      MOVE Ax+Sp,Ay+Sp</t>
  </si>
  <si>
    <t>111870      DRAW Ax1+Sp,Ay1+Sp</t>
  </si>
  <si>
    <t>111880      DRAW Ax2+Sp,Ay2+Sp</t>
  </si>
  <si>
    <t>111890      DRAW Ax3+Sp,Ay3+Sp</t>
  </si>
  <si>
    <t>111920                       IF Senso$="SINISTRO" THEN</t>
  </si>
  <si>
    <t>111930                                            MOVE 372+Sp,206+Sp</t>
  </si>
  <si>
    <t>111940                                ELSE</t>
  </si>
  <si>
    <t>111950                                            MOVE 354+Sp,206+Sp</t>
  </si>
  <si>
    <t>111960                                END IF</t>
  </si>
  <si>
    <t>111970                                            LABEL Tau$</t>
  </si>
  <si>
    <t>111990                                CSIZE 1.2,.5</t>
  </si>
  <si>
    <t>112010                       IF Senso$="SINISTRO" THEN</t>
  </si>
  <si>
    <t>112020                                            MOVE 374+Sp,214+Sp</t>
  </si>
  <si>
    <t>112030                                  SELECT Lingua$</t>
  </si>
  <si>
    <t>112040                                         CASE "ITALIANO"</t>
  </si>
  <si>
    <t>112050                                            LABEL "T.F."</t>
  </si>
  <si>
    <t>112060                                            MOVE 351+Sp,202+Sp</t>
  </si>
  <si>
    <t>112070                                            LABEL "H.F."</t>
  </si>
  <si>
    <t>112080                                         CASE "TEDESCO"</t>
  </si>
  <si>
    <t>112090                                            LABEL "T.F."</t>
  </si>
  <si>
    <t>112100                                            MOVE 351+Sp,202+Sp</t>
  </si>
  <si>
    <t>112110                                            LABEL "H.F."</t>
  </si>
  <si>
    <t>112120                                         CASE "INGLESE"</t>
  </si>
  <si>
    <t>112130                                            LABEL "D.H."</t>
  </si>
  <si>
    <t>112140                                            MOVE 351+Sp,202+Sp</t>
  </si>
  <si>
    <t>112150                                            LABEL "U.H."</t>
  </si>
  <si>
    <t>112160                                  END SELECT</t>
  </si>
  <si>
    <t>112170                       ELSE</t>
  </si>
  <si>
    <t>112180                                            MOVE 358+Sp,214+Sp</t>
  </si>
  <si>
    <t>112190                                  SELECT Lingua$</t>
  </si>
  <si>
    <t>112200                                         CASE "ITALIANO"</t>
  </si>
  <si>
    <t>112210                                            LABEL "T.F."</t>
  </si>
  <si>
    <t>112220                                            MOVE 380+Sp,202+Sp</t>
  </si>
  <si>
    <t>112230                                            LABEL "H.F."</t>
  </si>
  <si>
    <t>112240                                         CASE "TEDESCO"</t>
  </si>
  <si>
    <t>112250                                            LABEL "T.F."</t>
  </si>
  <si>
    <t>112260                                            MOVE 380+Sp,202+Sp</t>
  </si>
  <si>
    <t>112270                                            LABEL "H.F."</t>
  </si>
  <si>
    <t>112280                                         CASE "TEDESCO"</t>
  </si>
  <si>
    <t>112290                                            LABEL "T.F."</t>
  </si>
  <si>
    <t>112300                                            MOVE 380+Sp,202+Sp</t>
  </si>
  <si>
    <t>112310                                            LABEL "H.F."</t>
  </si>
  <si>
    <t>112320                                         CASE "INGLESE"</t>
  </si>
  <si>
    <t>112330                                            LABEL "D.H."</t>
  </si>
  <si>
    <t>112340                                            MOVE 380+Sp,202+Sp</t>
  </si>
  <si>
    <t>112350                                            LABEL " U.H."</t>
  </si>
  <si>
    <t>112360                                  END SELECT</t>
  </si>
  <si>
    <t>112370                       END IF</t>
  </si>
  <si>
    <t>112390                             CSIZE 1.75,.5</t>
  </si>
  <si>
    <t>112410 END IF</t>
  </si>
  <si>
    <t xml:space="preserve">112420 !                                  </t>
  </si>
  <si>
    <t>112470 NEXT Sp</t>
  </si>
  <si>
    <t>112510 OFF KEY</t>
  </si>
  <si>
    <t xml:space="preserve">112522 !    </t>
  </si>
  <si>
    <t>112525 DISP " TUTTO ANCORA DA FARE "</t>
  </si>
  <si>
    <t>112527       GINIT</t>
  </si>
  <si>
    <t>112528       GCLEAR</t>
  </si>
  <si>
    <t>112530       DISP "STAMPA DEL DISEGNO UTENSILE IN SCALA"</t>
  </si>
  <si>
    <t>112534        PLOTTER IS "c:\Programmi\HTBwin83\NEWPROG\Geoform","HPGL;HPGL2",0,406,0,276</t>
  </si>
  <si>
    <t>112535        SHOW 0,406,0,276                !SHOW -8,289,-12,408!SHOW 0,401.6,0,274.5!</t>
  </si>
  <si>
    <t>112537       Foro=VAL(Foro$)</t>
  </si>
  <si>
    <t>112539       Yoffset=140</t>
  </si>
  <si>
    <t>112540       Xoffset=290</t>
  </si>
  <si>
    <t>112544       LINE TYPE 7</t>
  </si>
  <si>
    <t>112545       Xaxes=Xoffset-(Da0/2)</t>
  </si>
  <si>
    <t>112546       Yaxes=Yoffset</t>
  </si>
  <si>
    <t>112547       Yaxesx=Yoffset-8</t>
  </si>
  <si>
    <t>112548       MOVE Xaxes,Yaxesx</t>
  </si>
  <si>
    <t>112549       DRAW Xaxes,Yaxesx+H_l</t>
  </si>
  <si>
    <t>112551       LINE TYPE 1</t>
  </si>
  <si>
    <t>112553       MOVE Xoffset,Yoffset                 !  OFF SET</t>
  </si>
  <si>
    <t>112558       P1x=Xoffset-Da0</t>
  </si>
  <si>
    <t>112559       P1y=Yoffset</t>
  </si>
  <si>
    <t>112561       P2x=P1x-(B3*TAN(Teta))</t>
  </si>
  <si>
    <t>112562       P2y=P1y+B3</t>
  </si>
  <si>
    <t>112564       Ysmdente=B2-B3</t>
  </si>
  <si>
    <t>112565       Angsm=(90-Angb3)*180/PI</t>
  </si>
  <si>
    <t>112566       Angb3p3=Angb3/180*PI</t>
  </si>
  <si>
    <t>112567       P3x=P2x-(Ysmdente*TAN(Angb3p3))</t>
  </si>
  <si>
    <t>112568       P3y=P2y+(B2-B3)</t>
  </si>
  <si>
    <t>112572       P5x=Xaxes-(D1/2)</t>
  </si>
  <si>
    <t>112573       P5y=Yoffset+H_l</t>
  </si>
  <si>
    <t>112575       Angd1p4=Angd1/180*PI</t>
  </si>
  <si>
    <t>112576       P4x=P5x-((H_l-B2)*TAN(Angd1p4))</t>
  </si>
  <si>
    <t>112577       P4y=P3y</t>
  </si>
  <si>
    <t>112581       P6x=P5x+D1</t>
  </si>
  <si>
    <t>112582       P6y=P5y</t>
  </si>
  <si>
    <t>112584       P7x=P6x+((H_l-B2)*TAN((Angd1p4*PI/180)))</t>
  </si>
  <si>
    <t>112585       P7y=P4y</t>
  </si>
  <si>
    <t>112587       P8x=Xaxes+(P3x-Xaxes)</t>
  </si>
  <si>
    <t>112588       P8y=P3y</t>
  </si>
  <si>
    <t>112590       P9x=Xaxes+(P2x-Xaxes)</t>
  </si>
  <si>
    <t>112591       P9y=P2y</t>
  </si>
  <si>
    <t>112593       P10x=Xoffset</t>
  </si>
  <si>
    <t>112594       P10y=Yoffset</t>
  </si>
  <si>
    <t>112596       P11x=Xaxes+(D2/2)</t>
  </si>
  <si>
    <t>112597       P11y=P10y+(H_l-B4)</t>
  </si>
  <si>
    <t>112599       P12x=P11x-D2</t>
  </si>
  <si>
    <t>112600       P12y=P11y</t>
  </si>
  <si>
    <t>112602       P16x=P10x-(Xaxes+(D2bis/2))</t>
  </si>
  <si>
    <t>112603       P16y=P10y+(P16x*TAN((Eta*PI/180)))</t>
  </si>
  <si>
    <t>112605       P15x=P16x-D2bis2</t>
  </si>
  <si>
    <t>112606       P15y=P16y</t>
  </si>
  <si>
    <t>112608       P13x=P15x+((P13y-P15y)*TAN((Ad2bis*PI/180)))</t>
  </si>
  <si>
    <t>112609       P13y=P1y+(H_l-(B4-1))</t>
  </si>
  <si>
    <t>112611       P13bx=P12x</t>
  </si>
  <si>
    <t>112612       P13by=P13y</t>
  </si>
  <si>
    <t>112614       P14x=P13x+((Xaxes-P13x)*2)</t>
  </si>
  <si>
    <t>112615       P14y=P13y</t>
  </si>
  <si>
    <t>112617       P14bx=P13bx+((Xaxes-P13bx)*2)</t>
  </si>
  <si>
    <t>112618       P14by=P13by</t>
  </si>
  <si>
    <t>112626       DRAW P1x,P1y</t>
  </si>
  <si>
    <t>112627       DRAW P2x,P1y</t>
  </si>
  <si>
    <t>112628       DRAW P3x,P3y</t>
  </si>
  <si>
    <t>112629       DRAW P4x,P4y</t>
  </si>
  <si>
    <t>112630       DRAW P5x,P5y</t>
  </si>
  <si>
    <t>112631       DRAW P6x,P6y</t>
  </si>
  <si>
    <t>112632       DRAW P7x,P7y</t>
  </si>
  <si>
    <t>112633       DRAW P8x,P8y</t>
  </si>
  <si>
    <t>112634       DRAW P9x,P9y</t>
  </si>
  <si>
    <t>112635       DRAW P10x,P10y</t>
  </si>
  <si>
    <t>112636       DRAW P16x,P16y</t>
  </si>
  <si>
    <t>112637       DRAW P14x,P14y</t>
  </si>
  <si>
    <t>112638       DRAW P14bx,P14by</t>
  </si>
  <si>
    <t>112639       DRAW P11x,P11y</t>
  </si>
  <si>
    <t>112640       DRAW P12x,P12y</t>
  </si>
  <si>
    <t>112641       DRAW P13bx,P13by</t>
  </si>
  <si>
    <t>112642       DRAW P13x,P13y</t>
  </si>
  <si>
    <t>112643       DRAW P15x,P15y</t>
  </si>
  <si>
    <t>112644       DRAW P1x,P1y</t>
  </si>
  <si>
    <t>112657 SUB Cartellino</t>
  </si>
  <si>
    <t>112659 OUTPUT 2;Clear$;</t>
  </si>
  <si>
    <t>112660 COM Progettista$,Clear$,Home$,Cliente$,Dis$,K1$,Dp$,Mn$,Mt$,Apn$,Apt$,Apkn$,Ael$,Sen_el$,Senso$,N_ingr$,N_sag$,Topping$,Lavor$,Work$,Tip_colt$,Work_b$,Work_c$,Fgtorn$,Tip_colt1$,Carkey$,Rf1p$,Rasap$,Dk1_f$,Apktprt$,Tetaprt$</t>
  </si>
  <si>
    <t>112661 COM REAL Sp,Mn,Mt,Ael,Apn,Apt,Db1,Da1,Df1,Dnf1,Dnf1_pr,Dk1,Apkn,Apkt,Sn1,St1,St1_f,En1,Et1,Skt1,Skn1,Psbt1,X1,W1,Dm,Mdk,Sykes,D_topp,X_hap,X_hfp,X1mn,Dk1_f,Rf1p,Prtmdk,Prtw,Prtsps,Dk1_f1</t>
  </si>
  <si>
    <t>112662 COM REAL Mwt,Da0,Dna0,Da0t,Pskbt1,Db0h,Db0t,Dkb0,D_stc_f,D_stc_i,Ra0,X_max,Swmt0,San0,Skwmt0,Dwm0,Apkwtm,Inv_apt,Gm,Zeta_h,Zeta_t,Zeta_kb_f,Dv0</t>
  </si>
  <si>
    <t>112663 COM INTEGER Z1,Z0,K1,Int,Elic,Std,Centro,Protuberanzap</t>
  </si>
  <si>
    <t>112664 COM /Dati_ep/ REAL Dkb0h,Dkb0t,Psep_kb0h,Psep_kb0t,Psep_b0h,Psep_b0t,Da0_ep,Da0_ept,Da0_eph,H_pzepm_t,H_pzepm_h</t>
  </si>
  <si>
    <t>112665 COM /Mola/ REAL Swmnm_h,Swmnm_t,Skwmnm_h,Skwmnm_t,Apwmnmh,Apwmnmt,Apkwmnmh,Apkwmnmt,Xep0h_max,Xep0t_max,Gm_eph,Gm_ept,Aelwm0,Df0,Teta,Tau</t>
  </si>
  <si>
    <t>112666 COM /Str_dati_ut/Tau$,Zeta_h$,Zeta_t$,Aelwm0$,Teta$,Apwmnmt$,Apwmnmh$,Apkwmnmt$,Apkwmnmh$,Aelb0h_m$,Aelb0t_m$,Part$</t>
  </si>
  <si>
    <t>112670 COM /Dati_ut_dis/ REAL Prtz,Hab,H_ra0,H_vn0,Hk0,S_vn0,Dk0,X0,X_hap0,W0,K,H_ut,H_err_max,Err_max,Err_max_dk,L_ut,Pz0,Pz0_h,Pz0_t,Pbt,Eta</t>
  </si>
  <si>
    <t>112680 COM /Collaudo/ REAL Db0h_m,Db0t_m,Fha_h,Fha_t,Alfa_e_h,Alfa_e_t,Aelb0h,Aelb0t,Gioco,Inesistente,Dx_inesistente,Sx_inesistente,Dna1_2</t>
  </si>
  <si>
    <t>112710    OUTPUT 2;Clear$;</t>
  </si>
  <si>
    <t>112720    OFF KEY</t>
  </si>
  <si>
    <t>112740    IF LEN(Mn$) THEN GOTO Fellows</t>
  </si>
  <si>
    <t>112750    Pettini=0</t>
  </si>
  <si>
    <t>112760    DISP " Digitare la  SOFTKEY desiserata"</t>
  </si>
  <si>
    <t>112780    ON KEY 0 LABEL "FELLOWS" GOTO Fellows</t>
  </si>
  <si>
    <t>112790    ON KEY 2 LABEL "DIVISORI" GOTO Divisori</t>
  </si>
  <si>
    <t>112800    ON KEY 4 LABEL "LAPPATORI" GOTO Lappatori</t>
  </si>
  <si>
    <t>112810    ON KEY 7 LABEL "PETTINI" GOTO Pettini</t>
  </si>
  <si>
    <t>112870          OFF KEY</t>
  </si>
  <si>
    <t>112880          DISP "DIGIT. la SOFTKEY desiderata"</t>
  </si>
  <si>
    <t>112900          ON KEY 0 LABEL "FRONTALI" GOTO Frontali</t>
  </si>
  <si>
    <t>112910          ON KEY 4 LABEL "RADIALI" GOTO Radiali</t>
  </si>
  <si>
    <t>112950          Codice$="DV - DVF"</t>
  </si>
  <si>
    <t>112960          GOSUB Intr_dati</t>
  </si>
  <si>
    <t>112970          GOTO Stampa</t>
  </si>
  <si>
    <t>113000          Codice$="DV - DVR"</t>
  </si>
  <si>
    <t>113010          GOSUB Intr_dati</t>
  </si>
  <si>
    <t>113020          GOTO Stampa</t>
  </si>
  <si>
    <t>113070          Codice$="LP - LAPP"</t>
  </si>
  <si>
    <t>113080          LINPUT "DIGIT. il MODULO - Mn",Mn$</t>
  </si>
  <si>
    <t>113090          INPUT "DIGIT. il N. di DENTI",Z0</t>
  </si>
  <si>
    <t>113100          LINPUT "DIGIT. L' ANGOLO di PRESSIONE [GG.MM.SS]",Apni$</t>
  </si>
  <si>
    <t>113110          GOSUB Select</t>
  </si>
  <si>
    <t>113120          GOSUB Intr_dati</t>
  </si>
  <si>
    <t>113130          GOTO Stampa</t>
  </si>
  <si>
    <t>113180          INTEGER G,Mi,S</t>
  </si>
  <si>
    <t>113190          INTEGER Gr,Min,Sec</t>
  </si>
  <si>
    <t>113200          Gms=1</t>
  </si>
  <si>
    <t>113210          Ang$=Apni$</t>
  </si>
  <si>
    <t>113220          CALL Gms_rad(Ang$,Ang,Gr,Min,Sec)</t>
  </si>
  <si>
    <t>113230          Apn=Ang</t>
  </si>
  <si>
    <t>113240          CALL Rad_gms(Ang,G,Mi,S)</t>
  </si>
  <si>
    <t>113250          Apn$=VAL$(G)&amp;"."&amp;VAL$(Mi)&amp;"'"&amp;VAL$(S)&amp;"''"</t>
  </si>
  <si>
    <t>113260          GOTO 113350</t>
  </si>
  <si>
    <t>113280          Gms=1</t>
  </si>
  <si>
    <t>113290          Ang$=Aeli$</t>
  </si>
  <si>
    <t>113300          CALL Gms_rad(Ang$,Ang,Gr,Min,Sec)</t>
  </si>
  <si>
    <t>113310          Ael=Ang</t>
  </si>
  <si>
    <t>113320          CALL Rad_gms(Ang,G,Mi,S)</t>
  </si>
  <si>
    <t>113330          Ael$=VAL$(G)&amp;"."&amp;VAL$(Mi)&amp;"'"&amp;VAL$(S)&amp;"''"</t>
  </si>
  <si>
    <t>113360          RETURN</t>
  </si>
  <si>
    <t>113410          Fellows=1</t>
  </si>
  <si>
    <t>113430     IF NOT LEN(Mn$) THEN</t>
  </si>
  <si>
    <t>113440                        Lor=1</t>
  </si>
  <si>
    <t>113450                        OFF KEY</t>
  </si>
  <si>
    <t>113460                        ON KEY 0 LABEL "DIRITTO" GOTO F_dir</t>
  </si>
  <si>
    <t>113470                        ON KEY 4 LABEL "ELICOIDALE" GOTO F_elic</t>
  </si>
  <si>
    <t>113480 K: GOTO K</t>
  </si>
  <si>
    <t>113510          Elic=0</t>
  </si>
  <si>
    <t>113520          OFF KEY</t>
  </si>
  <si>
    <t>113530          GOTO Avanti</t>
  </si>
  <si>
    <t>113550          Elic=1</t>
  </si>
  <si>
    <t>113560          OFF KEY</t>
  </si>
  <si>
    <t>113590          INPUT "DIGIT. il N. di DENTI",Z0</t>
  </si>
  <si>
    <t>113600          LINPUT "DIGIT. L'Angolo di PRESSIONE  [GG.MM'SS'']",Apni$</t>
  </si>
  <si>
    <t>113610          GOSUB Select</t>
  </si>
  <si>
    <t>113630   IF Elic THEN</t>
  </si>
  <si>
    <t>113640              LINPUT "DIGIT. L'ANGOLO ELICA  [GG.MM'SS'']",Aeli$</t>
  </si>
  <si>
    <t>113650              GOSUB Select_e</t>
  </si>
  <si>
    <t>113670              ON KEY 0 LABEL "DESTRO" GOTO Dfx</t>
  </si>
  <si>
    <t>113680              ON KEY 4 LABEL "SINISTRO" GOTO Sfx</t>
  </si>
  <si>
    <t>113720              GOTO 113740</t>
  </si>
  <si>
    <t>113740              OFF KEY</t>
  </si>
  <si>
    <t>113750   END IF</t>
  </si>
  <si>
    <t>113760   END IF</t>
  </si>
  <si>
    <t>113780   IF NOT LEN(Tip_colt$) THEN                 !                SCELTA DEL TIPO DI FELLOWS</t>
  </si>
  <si>
    <t>113800       OFF KEY</t>
  </si>
  <si>
    <t>113830 DISP "Premere la SOFTKEY relativa al tipo di utensile"</t>
  </si>
  <si>
    <t>113850     ON KEY O LABEL "DISCO" GOTO Disco</t>
  </si>
  <si>
    <t>113860     ON KEY 1 LABEL "CAMPANA" GOTO Campana</t>
  </si>
  <si>
    <t>113870     ON KEY 2 LABEL "CODOLO" GOTO Codolo</t>
  </si>
  <si>
    <t>113880     ON KEY 3 LABEL "MOZZO" GOTO Mozzo</t>
  </si>
  <si>
    <t>113890     ON KEY 4 LABEL "SEMICAMPANA" GOTO S_campana</t>
  </si>
  <si>
    <t>113930        GOTO Poi</t>
  </si>
  <si>
    <t>113950     OFF KEY</t>
  </si>
  <si>
    <t>113960                  T$="D"</t>
  </si>
  <si>
    <t>113970                  C$="DI"</t>
  </si>
  <si>
    <t>113980                                Tip_colt$="DISCO"</t>
  </si>
  <si>
    <t>113990    GOTO Poi</t>
  </si>
  <si>
    <t>114010       OFF KEY</t>
  </si>
  <si>
    <t>114020                   T$="M"</t>
  </si>
  <si>
    <t>114030                   C$="CA"</t>
  </si>
  <si>
    <t>114040                                 Tip_colt$="CAMPANA"</t>
  </si>
  <si>
    <t>114050      GOTO Poi</t>
  </si>
  <si>
    <t>114070         OFF KEY</t>
  </si>
  <si>
    <t>114080                   T$="M"</t>
  </si>
  <si>
    <t>114090                   C$="CA"</t>
  </si>
  <si>
    <t>114100                                 Tip_colt$="semiCAMPANA"</t>
  </si>
  <si>
    <t>114110       GOTO Poi</t>
  </si>
  <si>
    <t>114130      OFF KEY</t>
  </si>
  <si>
    <t>114140                    T$="C"</t>
  </si>
  <si>
    <t>114150                    C$="CD"</t>
  </si>
  <si>
    <t>114160                                 Tip_colt$="CODOLO"</t>
  </si>
  <si>
    <t>114170     GOTO Poi</t>
  </si>
  <si>
    <t>114190     OFF KEY</t>
  </si>
  <si>
    <t>114200                    T$="Z"</t>
  </si>
  <si>
    <t>114210                    C$="MO"</t>
  </si>
  <si>
    <t>114220                                 Tip_colt$="MOZZO"</t>
  </si>
  <si>
    <t>114240          ELSE</t>
  </si>
  <si>
    <t>114260               IF Tip_colt$="DISCO" THEN</t>
  </si>
  <si>
    <t>114270                                       T$="D"</t>
  </si>
  <si>
    <t>114280                                       C$="DI"</t>
  </si>
  <si>
    <t>114290               END IF</t>
  </si>
  <si>
    <t>114310               IF Tip_colt$="CAMPANA" THEN</t>
  </si>
  <si>
    <t>114320                                       T$="M"</t>
  </si>
  <si>
    <t>114330                                       C$="CA"</t>
  </si>
  <si>
    <t>114340               END IF</t>
  </si>
  <si>
    <t>114360               IF Tip_colt$="SemiCAMPANA" THEN</t>
  </si>
  <si>
    <t>114370                                       T$="M"</t>
  </si>
  <si>
    <t>114380                                       C$="CA"</t>
  </si>
  <si>
    <t>114390                   END IF</t>
  </si>
  <si>
    <t>114410               IF Tip_colt$="CODOLO" THEN</t>
  </si>
  <si>
    <t>114420                                       T$="C"</t>
  </si>
  <si>
    <t>114430                                       C$="CD"</t>
  </si>
  <si>
    <t>114440               END IF</t>
  </si>
  <si>
    <t>114460               IF Tip_colt$="MOZZO" THEN</t>
  </si>
  <si>
    <t>114470                                       T$="Z"</t>
  </si>
  <si>
    <t>114480                                       C$="MO"</t>
  </si>
  <si>
    <t>114490               END IF</t>
  </si>
  <si>
    <t>114510          END IF</t>
  </si>
  <si>
    <t>114530          GOSUB Intr_dati</t>
  </si>
  <si>
    <t>114540          GOTO Stampa</t>
  </si>
  <si>
    <t>114590          OFF KEY</t>
  </si>
  <si>
    <t>114600          Pettini=1</t>
  </si>
  <si>
    <t>114610          ON KEY 0 LABEL "MAAG" GOTO C_maag</t>
  </si>
  <si>
    <t>114620          ON KEY 4 LABEL "SUNDERLAND" GOTO C_sund</t>
  </si>
  <si>
    <t>114660          OFF KEY</t>
  </si>
  <si>
    <t>114670          ON KEY 0 LABEL "DIRITTO" GOTO S_dir</t>
  </si>
  <si>
    <t>114680          ON KEY 4 LABEL "ELICOIDALE" GOTO S_elic</t>
  </si>
  <si>
    <t>114720          OFF KEY</t>
  </si>
  <si>
    <t>114730          Tip_colt$="PETTINE SUNDERLAND ELICOIDALE"</t>
  </si>
  <si>
    <t>114740          T$="S"</t>
  </si>
  <si>
    <t>114750          Q$="E"</t>
  </si>
  <si>
    <t>114760          C$="PE"</t>
  </si>
  <si>
    <t>114770          GOSUB Date_pett</t>
  </si>
  <si>
    <t>114780          GOSUB Intr_dati</t>
  </si>
  <si>
    <t>114790          GOTO Stampa</t>
  </si>
  <si>
    <t>114820          OFF KEY</t>
  </si>
  <si>
    <t>114830          Tip_colt$="PETTINE SUNDERLAND DIRITTO"</t>
  </si>
  <si>
    <t>114840          T$="S"</t>
  </si>
  <si>
    <t>114850          Q$="D"</t>
  </si>
  <si>
    <t>114860          C$="PE"</t>
  </si>
  <si>
    <t>114870          Elic=0</t>
  </si>
  <si>
    <t>114880          GOSUB Date_pett</t>
  </si>
  <si>
    <t>114890          GOSUB Intr_dati</t>
  </si>
  <si>
    <t>114900          GOTO Stampa</t>
  </si>
  <si>
    <t>114930          OFF KEY</t>
  </si>
  <si>
    <t>114940          ON KEY 0 LABEL "DIRITTO" GOTO M_dir</t>
  </si>
  <si>
    <t>114950          ON KEY 4 LABEL "ELICOIDALE" GOTO M_elic</t>
  </si>
  <si>
    <t>114990          OFF KEY</t>
  </si>
  <si>
    <t>115000          Tip_colt$="PETTINE MAAG ELICOIDALE"</t>
  </si>
  <si>
    <t>115010          Elic=1</t>
  </si>
  <si>
    <t>115020          T$="M"</t>
  </si>
  <si>
    <t>115030          Q$="E"</t>
  </si>
  <si>
    <t>115040          C$="PE"</t>
  </si>
  <si>
    <t>115050          GOSUB Date_pett</t>
  </si>
  <si>
    <t>115060          GOSUB Intr_dati</t>
  </si>
  <si>
    <t>115070          GOTO Stampa</t>
  </si>
  <si>
    <t>115100          OFF KEY</t>
  </si>
  <si>
    <t>115110          Tip_colt$="PETTINE MAAG DIRITTO"</t>
  </si>
  <si>
    <t>115120          T$="M"</t>
  </si>
  <si>
    <t>115130          Q$="D"</t>
  </si>
  <si>
    <t>115140          C$="PE"</t>
  </si>
  <si>
    <t>115150          Elic=0</t>
  </si>
  <si>
    <t>115160          GOSUB Date_pett</t>
  </si>
  <si>
    <t>115170          GOSUB Intr_dati</t>
  </si>
  <si>
    <t>115180          GOTO Stampa</t>
  </si>
  <si>
    <t>115210          LINPUT "DIGIT. il MODULO",Mn$</t>
  </si>
  <si>
    <t>115220           INPUT "DIGIT. il N. di DENTI",Z0</t>
  </si>
  <si>
    <t>115230          LINPUT "DIGIT. L'Angolo di PRESSIONE  [GG.MM'SS'']",Apni$</t>
  </si>
  <si>
    <t>115240          GOSUB Select</t>
  </si>
  <si>
    <t>115260   IF Elic THEN</t>
  </si>
  <si>
    <t>115270              LINPUT "DIGIT. L'ANGOLO ELICA  [GG.MM'SS'']",Aeli$</t>
  </si>
  <si>
    <t>115280              GOSUB Select_e</t>
  </si>
  <si>
    <t>115300              ON KEY 0 LABEL "DESTRO" GOTO Dx</t>
  </si>
  <si>
    <t>115310              ON KEY 4 LABEL "SINISTRO" GOTO Sx</t>
  </si>
  <si>
    <t>115350              GOTO 115380</t>
  </si>
  <si>
    <t>115380              OFF KEY</t>
  </si>
  <si>
    <t>115390   END IF</t>
  </si>
  <si>
    <t>115400          RETURN</t>
  </si>
  <si>
    <t>115440          LINPUT "DIGITARE la DATA ODIERNA  [GG/MM/AA]",Data$</t>
  </si>
  <si>
    <t>115450          LINPUT "DIGITARE la MATRICOLA di LAVORAZIONE ",Matricola$</t>
  </si>
  <si>
    <t>115460          LINPUT "DIGITARE il N. D'ORDINE",Ordine$</t>
  </si>
  <si>
    <t>115470          LINPUT "DIGITARE la DATA di CONSEGNA",Consegna$</t>
  </si>
  <si>
    <t>115480           INPUT "DIGITARE il N. di PEZZI",N_pezzi</t>
  </si>
  <si>
    <t>115490          LINPUT "DIGITARE la DATA di MESSA al TAGLIO",Taglio$</t>
  </si>
  <si>
    <t>115510    IF NOT LEN(Taglio$) THEN Taglio$=Data$</t>
  </si>
  <si>
    <t>115530    IF NOT LEN(Cliente$) THEN LINPUT "DIGIT. il CLIENTE",Cliente$</t>
  </si>
  <si>
    <t>115550    IF NOT LEN(Dis$) THEN LINPUT "DIGIT. il N. DISEGNO",Dis$</t>
  </si>
  <si>
    <t>115580    IF NOT LEN(Lavor$) THEN                 !              SCELTA DELLA LAVORAZIONE</t>
  </si>
  <si>
    <t>115620   DISP "Premere la SOFTKEY relativa al tipo di lavorazione"</t>
  </si>
  <si>
    <t>115630   ON KEY 0 LABEL "FINITORE" GOTO Finitore</t>
  </si>
  <si>
    <t>115640   ON KEY 1 LABEL "PRERASATORE" GOTO Preras</t>
  </si>
  <si>
    <t>115650   ON KEY 2 LABEL "PRERETTIFICA" GOTO Preret</t>
  </si>
  <si>
    <t>115660   ON KEY 3 LABEL "SGROSSATORE" GOTO Sgros</t>
  </si>
  <si>
    <t>115670   ON KEY 4 LABEL "PELATORE" GOTO Pelat</t>
  </si>
  <si>
    <t>115680   ON KEY 5 LABEL "SEMITOPPING" GOTO Semit</t>
  </si>
  <si>
    <t>115690   ON KEY 6 LABEL "TOPPING" GOTO Topp</t>
  </si>
  <si>
    <t>115700   ON KEY 7 LABEL "PROTUBERANZA" GOTO Prot</t>
  </si>
  <si>
    <t>115710   ON KEY 8 LABEL " RAGGIO " GOTO Raggio</t>
  </si>
  <si>
    <t>115720   ON KEY 9 LABEL "PROSEGUI" GOTO Note</t>
  </si>
  <si>
    <t>115770       OFF KEY</t>
  </si>
  <si>
    <t>115780                                  Lavor$="FINITORE"</t>
  </si>
  <si>
    <t>115790       GOTO Tip_lav</t>
  </si>
  <si>
    <t>115810       OFF KEY</t>
  </si>
  <si>
    <t>115820                                   Lavor$="PRERASATORE"</t>
  </si>
  <si>
    <t>115830     GOTO Tip_lav</t>
  </si>
  <si>
    <t>115850       OFF KEY</t>
  </si>
  <si>
    <t>115860                                   Lavor$="PRERETTIFICA"</t>
  </si>
  <si>
    <t>115870     GOTO Tipo_lav</t>
  </si>
  <si>
    <t>115890       OFF KEY</t>
  </si>
  <si>
    <t>115900                                   Lavor$="SGROSSATORE"</t>
  </si>
  <si>
    <t>115910      GOTO Tip_lav</t>
  </si>
  <si>
    <t>115930       OFF KEY</t>
  </si>
  <si>
    <t>115940                                    Lavor$="PELATORE"</t>
  </si>
  <si>
    <t>115950      GOTO Tip_lav</t>
  </si>
  <si>
    <t>115970       OFF KEY</t>
  </si>
  <si>
    <t>115980                                   Work$="-Semitopping"</t>
  </si>
  <si>
    <t>115990                      GOSUB Ric_cod</t>
  </si>
  <si>
    <t>116000      GOTO Tip_lav</t>
  </si>
  <si>
    <t>116020       OFF KEY</t>
  </si>
  <si>
    <t>116030                                   Work_b$="-Topping"</t>
  </si>
  <si>
    <t>116040                       GOSUB Ric_cod</t>
  </si>
  <si>
    <t>116050      GOTO Tip_lav</t>
  </si>
  <si>
    <t>116080      OFF KEY</t>
  </si>
  <si>
    <t>116090                                  Work_c$="-Protuberanza"</t>
  </si>
  <si>
    <t>116100                        GOSUB Ric_cod</t>
  </si>
  <si>
    <t>116110      GOTO Tip_lav</t>
  </si>
  <si>
    <t>116140      OFF KEY</t>
  </si>
  <si>
    <t>116150                                 Ra0=1</t>
  </si>
  <si>
    <t>116160                               W_raggio$="-Raggio"</t>
  </si>
  <si>
    <t>116170                        GOSUB Ric_cod</t>
  </si>
  <si>
    <t>116180      GOTO Tip_lav</t>
  </si>
  <si>
    <t>116210      IF Elic THEN</t>
  </si>
  <si>
    <t>116220                 IF Ra0 OR LEN(Work$) OR LEN(Work_b$) OR LEN(Work_c$) THEN</t>
  </si>
  <si>
    <t>116240          IF NOT Pettini THEN Q$="Z"</t>
  </si>
  <si>
    <t>116250                              L$="ESP"</t>
  </si>
  <si>
    <t>116260                 ELSE</t>
  </si>
  <si>
    <t>116270          IF NOT Pettini THEN Q$="W"</t>
  </si>
  <si>
    <t>116280                              L$="ENM"</t>
  </si>
  <si>
    <t>116290                 END IF</t>
  </si>
  <si>
    <t>116300     ELSE</t>
  </si>
  <si>
    <t>116310                 IF Ra0 OR LEN(Work$) OR LEN(Work_b$) OR LEN(Work_c$) THEN</t>
  </si>
  <si>
    <t>116330          IF NOT Pettini THEN Q$="Y"</t>
  </si>
  <si>
    <t>116340                              L$="DSP"</t>
  </si>
  <si>
    <t>116350                 ELSE</t>
  </si>
  <si>
    <t>116360          IF NOT Pettini THEN Q$="X"</t>
  </si>
  <si>
    <t>116370                              L$="DNM"</t>
  </si>
  <si>
    <t>116380                 END IF</t>
  </si>
  <si>
    <t>116390     END IF</t>
  </si>
  <si>
    <t>116400                         RETURN</t>
  </si>
  <si>
    <t>116410    ELSE</t>
  </si>
  <si>
    <t>116420        GOSUB Ric_cod</t>
  </si>
  <si>
    <t>116430        GOTO Note</t>
  </si>
  <si>
    <t>116460                       LINPUT "DIGIT. il TIPO di LAVORAZIONE",Lavor$</t>
  </si>
  <si>
    <t>116470             LINPUT "DIGIT. EVENTUALE CARATTERISTICA AGGINTIVA",Work$</t>
  </si>
  <si>
    <t>116480    END IF</t>
  </si>
  <si>
    <t>116510          Codice$=T$&amp;Q$&amp;" - "&amp;C$&amp;L$</t>
  </si>
  <si>
    <t>116530 DIM Part_note$[200]</t>
  </si>
  <si>
    <t>116540  LINPUT "SPAZIO DEDICATO a NOTE PARTICOLARI",Part_note$</t>
  </si>
  <si>
    <t>116580                      ON KEY 0 LABEL "ASP 23" GOTO A_23</t>
  </si>
  <si>
    <t>116590                      ON KEY 1 LABEL "ASP 30" GOTO A_30</t>
  </si>
  <si>
    <t>116600                      ON KEY 2 LABEL "ASP 60" GOTO A_60</t>
  </si>
  <si>
    <t>116610                      ON KEY 4 LABEL "M 2" GOTO A_2</t>
  </si>
  <si>
    <t>116620                      ON KEY 5 LABEL "M 42" GOTO A_42</t>
  </si>
  <si>
    <t>116630                      ON KEY 6 LABEL "M 35" GOTO A_35</t>
  </si>
  <si>
    <t>116640                      ON KEY 7 LABEL "GHISA" GOTO Ghisa</t>
  </si>
  <si>
    <t>116650                      ON KEY 9 LABEL "ALTRO" GOTO Altro</t>
  </si>
  <si>
    <t>116660 M: GOTO M</t>
  </si>
  <si>
    <t>116690           OFF KEY</t>
  </si>
  <si>
    <t>116700           Acciaio$="ASP 23"</t>
  </si>
  <si>
    <t>116710           Durezza$="65/66"</t>
  </si>
  <si>
    <t>116720           GOTO Controllo</t>
  </si>
  <si>
    <t>116740           OFF KEY</t>
  </si>
  <si>
    <t>116750           Acciaio$="ASP 30"</t>
  </si>
  <si>
    <t>116760           Durezza$="65.5/67"</t>
  </si>
  <si>
    <t>116770           GOTO Controllo</t>
  </si>
  <si>
    <t>116790           OFF KEY</t>
  </si>
  <si>
    <t>116800           Acciaio$="ASP 60"</t>
  </si>
  <si>
    <t>116810           Durezza$="66.5/68"</t>
  </si>
  <si>
    <t>116820           GOTO Controllo</t>
  </si>
  <si>
    <t>116840           OFF KEY</t>
  </si>
  <si>
    <t>116850           Acciaio$="M 2"</t>
  </si>
  <si>
    <t>116860           Durezza$="63/64.5"</t>
  </si>
  <si>
    <t>116870           GOTO Controllo</t>
  </si>
  <si>
    <t>116890           OFF KEY</t>
  </si>
  <si>
    <t>116900           Acciaio$="M 42"</t>
  </si>
  <si>
    <t>116910           Durezza$="66/67"</t>
  </si>
  <si>
    <t>116920           GOTO Controllo</t>
  </si>
  <si>
    <t>116940           OFF KEY</t>
  </si>
  <si>
    <t>116950           Acciaio$="M 35"</t>
  </si>
  <si>
    <t>116960           Durezza$="64/65.5"</t>
  </si>
  <si>
    <t>116970           GOTO Controllo</t>
  </si>
  <si>
    <t>116990           OFF KEY</t>
  </si>
  <si>
    <t>117000           Acciaio$="GHISA"</t>
  </si>
  <si>
    <t>117010           GOTO Controllo</t>
  </si>
  <si>
    <t>117030           OFF KEY</t>
  </si>
  <si>
    <t>117040           LINPUT "DIGITARE il TIPO di ACCIAIO IMPIEGATO",Acciaio$</t>
  </si>
  <si>
    <t>117050           LINPUT "DIGITARE il GRADO di DUREZZA [Min/Max]",Durezza$</t>
  </si>
  <si>
    <t>117080                             RETURN</t>
  </si>
  <si>
    <t>117090           ELSE</t>
  </si>
  <si>
    <t>117100                             GOTO Giu</t>
  </si>
  <si>
    <t>117110           END IF</t>
  </si>
  <si>
    <t>117140     ON KEY 0 LABEL "TIN BALZER" GOTO Balzer</t>
  </si>
  <si>
    <t>117150     ON KEY 4 LABEL "TIN SAMP" GOTO Samp</t>
  </si>
  <si>
    <t>117160     ON KEY 5 LABEL "TIN EIFELER" GOTO Eifeler</t>
  </si>
  <si>
    <t>117170     ON KEY 7 LABEL "SENZA TIN" GOTO S_tin</t>
  </si>
  <si>
    <t>117180     ON KEY 9 LABEL "TIN CRT" GOTO Crt</t>
  </si>
  <si>
    <t>117220           OFF KEY</t>
  </si>
  <si>
    <t>117230           Tin$="TIN EIFELER"</t>
  </si>
  <si>
    <t>117240           RETURN</t>
  </si>
  <si>
    <t>117260           OFF KEY</t>
  </si>
  <si>
    <t>117270           Tin$="TIN CRT"</t>
  </si>
  <si>
    <t>117280           RETURN</t>
  </si>
  <si>
    <t>117300           OFF KEY</t>
  </si>
  <si>
    <t>117310           Tin$="TIN BALZER"</t>
  </si>
  <si>
    <t>117320           RETURN</t>
  </si>
  <si>
    <t>117340           OFF KEY</t>
  </si>
  <si>
    <t>117350           Tin$="TIN SAMP"</t>
  </si>
  <si>
    <t>117360           RETURN</t>
  </si>
  <si>
    <t>117380           OFF KEY</t>
  </si>
  <si>
    <t>117390           Tin$="SENZA TIN"</t>
  </si>
  <si>
    <t>117400           RETURN</t>
  </si>
  <si>
    <t>117480   PRINT TABXY(Centro-20,10);</t>
  </si>
  <si>
    <t>117490   PRINT CHR$(129);</t>
  </si>
  <si>
    <t>117500   PRINT "  VERIFICARE la CORRETTA POSIZIONE della CARTA sulla STAMPANTE    "</t>
  </si>
  <si>
    <t>117510   PRINT</t>
  </si>
  <si>
    <t>117520   PRINT "              PREMERE  CONTINUE                                   "</t>
  </si>
  <si>
    <t>117530   PRINT CHR$(128);</t>
  </si>
  <si>
    <t>117540   ENTER 2;A$</t>
  </si>
  <si>
    <t>117550                PRINTER IS PRT</t>
  </si>
  <si>
    <t>117560 PRINT "________________________________________________________________________________"</t>
  </si>
  <si>
    <t>117570 PRINT</t>
  </si>
  <si>
    <t>117580 PRINT "DELLA FERRERA   -    CARTELLINO di LAVORAZIONE    -     Matr. ";Matricola$</t>
  </si>
  <si>
    <t>117590 PRINT "   utensili"</t>
  </si>
  <si>
    <t>117600 PRINT "_______________________________________________________________________________"</t>
  </si>
  <si>
    <t>117610 PRINT</t>
  </si>
  <si>
    <t>117620 PRINT</t>
  </si>
  <si>
    <t>117630 PRINT " DATA       :";Data$;"                            CONSEGNA :";Consegna$</t>
  </si>
  <si>
    <t>117640 PRINT " MATRICOLA  :";Matricola$,"                              =========================== "</t>
  </si>
  <si>
    <t>117650 PRINT " CLIENTE    :";Cliente$</t>
  </si>
  <si>
    <t>117660 PRINT " Nr. ORDINE :";Ordine$</t>
  </si>
  <si>
    <t>117670 PRINT " Nr. PEZZI  :";N_pezzi</t>
  </si>
  <si>
    <t>117680 PRINT "_______________________________________________________________________________"</t>
  </si>
  <si>
    <t>117690 PRINT</t>
  </si>
  <si>
    <t>117700 PRINT " ACCIAIO   :",Acciaio$," ";Tin$;"         DUREZZA Rkw:   ",Durezza$</t>
  </si>
  <si>
    <t>117710 PRINT "_______________________________________"</t>
  </si>
  <si>
    <t>117720 PRINT "                                       | DUR. riscontrata  Rkw:  .............."</t>
  </si>
  <si>
    <t>117730 PRINT "                                       ________________________________________"</t>
  </si>
  <si>
    <t>117740 PRINT " CODICE          :",Codice$</t>
  </si>
  <si>
    <t>117750 PRINT " TIPO   COLTELLO :",Tip_colt$</t>
  </si>
  <si>
    <t>117760 PRINT " MODULO          :",Mn$</t>
  </si>
  <si>
    <t>117770 PRINT " Nr. di DENTI    :",Z0</t>
  </si>
  <si>
    <t>117780 PRINT " ANG.PRESS.NORM. :",Apn$</t>
  </si>
  <si>
    <t>117790 PRINT " ANG. di ELICA   :",Ael$</t>
  </si>
  <si>
    <t>117800 PRINT " DISEGNO  N.     :",Dis$</t>
  </si>
  <si>
    <t>117810 PRINT " CARATT. UTENSILE:",Lavor$;Work$;Work_b$;Work_c$;W_raggio$</t>
  </si>
  <si>
    <t>117820 PRINT</t>
  </si>
  <si>
    <t>117830 PRINT "_______________________________________________________________________________"</t>
  </si>
  <si>
    <t>117840 PRINT</t>
  </si>
  <si>
    <t>117850 PRINT "                    -  N O T E     P A R T I C O L A R I  -"</t>
  </si>
  <si>
    <t>117860 PRINT</t>
  </si>
  <si>
    <t>117870 PRINT "AL TAGLIO dal :";Taglio$</t>
  </si>
  <si>
    <t>117880 PRINT</t>
  </si>
  <si>
    <t>117890 PRINT "    ";Part_note$</t>
  </si>
  <si>
    <t>117900 PRINT</t>
  </si>
  <si>
    <t>117910 PRINT</t>
  </si>
  <si>
    <t>117920 PRINT</t>
  </si>
  <si>
    <t>117930 PRINT</t>
  </si>
  <si>
    <t>117940 PRINT</t>
  </si>
  <si>
    <t>117950 PRINT</t>
  </si>
  <si>
    <t>117960 PRINT</t>
  </si>
  <si>
    <t>117970 PRINT "_______________________________________________________________________________"</t>
  </si>
  <si>
    <t>117980 PRINT "                /1             /2             /3             /4         /5"</t>
  </si>
  <si>
    <t>117990 PRINT</t>
  </si>
  <si>
    <t>118000 PRINT "WILDHABER : ...........    ..........    ..........    ..........     .........."</t>
  </si>
  <si>
    <t>118010 PRINT</t>
  </si>
  <si>
    <t>118020 PRINT "DIAM.EST. : ...........    ..........    ..........    ..........     .........."</t>
  </si>
  <si>
    <t>118030 PRINT</t>
  </si>
  <si>
    <t>118040 PRINT "_______________________________________________________________________________"</t>
  </si>
  <si>
    <t>118050 PRINT "                         S O L L E C I T I  "</t>
  </si>
  <si>
    <t>118060 PRINT</t>
  </si>
  <si>
    <t>118070 PRINT</t>
  </si>
  <si>
    <t>118080 PRINT " .......     ........     .........     ..........     .........     ......... "</t>
  </si>
  <si>
    <t>118090 PRINT "_______________________________________________________________________________"</t>
  </si>
  <si>
    <t>118100 PRINT "  TAGLIO     TORNERIA     DENTATURA     TR.TERMICO     RETT.GEN.     RETT.EVOL "</t>
  </si>
  <si>
    <t>118110 PRINT</t>
  </si>
  <si>
    <t>118120 PRINT "  ......     ........     .........     ..........     .........     ......... "</t>
  </si>
  <si>
    <t>118130 PRINT "_______________________________________________________________________________"</t>
  </si>
  <si>
    <t>118140 PRINT</t>
  </si>
  <si>
    <t>118150 PRINT</t>
  </si>
  <si>
    <t>118160 PRINT</t>
  </si>
  <si>
    <t>118190         BEEP 1000,2</t>
  </si>
  <si>
    <t>118200         ENTER 2;A$</t>
  </si>
  <si>
    <t>118210         PRINTER IS CRT</t>
  </si>
  <si>
    <t>118220         Rist$=""</t>
  </si>
  <si>
    <t>118230 LINPUT " VUOI RISTAMPARE il CARTELLINO ?  [NO/CONTINUE * SI/STAMPA]",Rist$</t>
  </si>
  <si>
    <t>118240         IF LEN(Rist$) THEN GOTO Stampa</t>
  </si>
  <si>
    <t>118250 PRINTER IS CRT</t>
  </si>
  <si>
    <t>118340 SUB Plot_init</t>
  </si>
  <si>
    <t>118360 ASSIGN @Plot TO File$;FORMAT ON,RETURN Ugo</t>
  </si>
  <si>
    <t>118370 IF Ugo=0 THEN</t>
  </si>
  <si>
    <t>118380 ASSIGN @Plot TO *</t>
  </si>
  <si>
    <t>118390 PURGE File$</t>
  </si>
  <si>
    <t>118400 END IF</t>
  </si>
  <si>
    <t>118410 CREATE File$,1</t>
  </si>
  <si>
    <t>118420 ASSIGN @Plot TO File$;FORMAT ON</t>
  </si>
  <si>
    <t>118430 Prima=1</t>
  </si>
  <si>
    <t>118440 Raps=10</t>
  </si>
  <si>
    <t>118450 Ang_piv=0</t>
  </si>
  <si>
    <t>118460 Lorg=5</t>
  </si>
  <si>
    <t>118470 Csize=1</t>
  </si>
  <si>
    <t>118480 Ldir=0</t>
  </si>
  <si>
    <t>118530 CALL Rotazione(0,0,Xm,Ym,Ang_piv,X,Y)</t>
  </si>
  <si>
    <t>118540 MOVE X,Y</t>
  </si>
  <si>
    <t>118550 IF Prima&lt;&gt;1 THEN OUTPUT @Plot;""</t>
  </si>
  <si>
    <t>118560 Prima=0</t>
  </si>
  <si>
    <t>118570 OUTPUT @Plot;"Plinea"</t>
  </si>
  <si>
    <t>118580 OUTPUT @Plot;VAL$(X*Raps)&amp;","&amp;VAL$(Y*Raps)</t>
  </si>
  <si>
    <t>118640 OUTPUT @Plot;VAL$(X*Raps)&amp;","&amp;VAL$(Y*Raps)</t>
  </si>
  <si>
    <t>118650 DRAW X,Y</t>
  </si>
  <si>
    <t>118710 IF Move=0 THEN</t>
  </si>
  <si>
    <t>118720 CALL Plot_move(V(I,0),V(I,1))</t>
  </si>
  <si>
    <t>118730 ELSE</t>
  </si>
  <si>
    <t>118740 CALL Plot_draw(V(I,0),V(I,1))</t>
  </si>
  <si>
    <t>118750 END IF</t>
  </si>
  <si>
    <t>118760 Move=V(I,2)</t>
  </si>
  <si>
    <t>118820 Ang_piv=A</t>
  </si>
  <si>
    <t>118850 DEG</t>
  </si>
  <si>
    <t>118860 Ang=Rot*360/(2*PI)</t>
  </si>
  <si>
    <t>118870 Sin=SIN(-Ang)</t>
  </si>
  <si>
    <t>118880 Cos=COS(-Ang)</t>
  </si>
  <si>
    <t>118890 Xa=X</t>
  </si>
  <si>
    <t>118900 Ya=Y</t>
  </si>
  <si>
    <t>118910 Xr=Xc+(Xa-Xc)*Cos+(Ya-Yc)*Sin</t>
  </si>
  <si>
    <t>118920 Yr=Yc-(Xa-Xc)*Sin+(Ya-Yc)*Cos</t>
  </si>
  <si>
    <t>118930 RAD</t>
  </si>
  <si>
    <t>119480 OUTPUT 2;Clear$;</t>
  </si>
  <si>
    <t>119490 COM Progettista$,Clear$,Home$,Cliente$,Dis$,K1$,Dp$,Mn$,Mt$,Apn$,Apt$,Apkn$,Ael$,Sen_el$,Senso$,N_ingr$,N_sag$,Topping$,Lavor$,Work$,Tip_colt$,Work_b$,Work_c$,Fgtorn$,Tip_colt1$,Carkey$,Rf1p$,Rasap$,Dk1_f$,Apktprt$,Tetaprt$</t>
  </si>
  <si>
    <t>119500 COM REAL Sp,Mn,Mt,Ael,Apn,Apt,Db1,Da1,Df1,Dnf1,Dnf1_pr,Dk1,Apkn,Apkt,Sn1,St1,St1_f,En1,Et1,Skt1,Skn1,Psbt1,X1,W1,Dm,Mdk,Sykes,D_topp,X_hap,X_hfp,X1mn,Dk1_f,Rf1p,Prtmdk,Prtw,Prtsps,Dk1_f1</t>
  </si>
  <si>
    <t>119510 COM REAL Mwt,Da0,Dna0,Da0t,Pskbt1,Db0h,Db0t,Dkb0,D_stc_f,D_stc_i,Ra0,X_max,Swmt0,San0,Skwmt0,Dwm0,Apkwtm,Inv_apt,Gm,Zeta_h,Zeta_t,Zeta_kb_f,Dv0</t>
  </si>
  <si>
    <t>119520 COM INTEGER Z1,Z0,K1,Int,Elic,Std,Centro,Protuberanzap</t>
  </si>
  <si>
    <t>119530 COM /Dati_ep/ REAL Dkb0h,Dkb0t,Psep_kb0h,Psep_kb0t,Psep_b0h,Psep_b0t,Da0_ep,Da0_ept,Da0_eph,H_pzepm_t,H_pzepm_h</t>
  </si>
  <si>
    <t>119540 COM /Mola/ REAL Swmnm_h,Swmnm_t,Skwmnm_h,Skwmnm_t,Apwmnmh,Apwmnmt,Apkwmnmh,Apkwmnmt,Xep0h_max,Xep0t_max,Gm_eph,Gm_ept,Aelwm0,Df0,Teta,Tau</t>
  </si>
  <si>
    <t>119550 COM /Str_dati_ut/Tau$,Zeta_h$,Zeta_t$,Aelwm0$,Teta$,Apwmnmt$,Apwmnmh$,Apkwmnmt$,Apkwmnmh$,Aelb0h_m$,Aelb0t_m$,Part$</t>
  </si>
  <si>
    <t>119560 COM /Dati_ut_dis/ REAL Prtz,Hab,H_ra0,H_vn0,Hk0,S_vn0,Dk0,X0,X_hap0,W0,K,H_ut,H_err_max,Err_max,Err_max_dk,L_ut,Pz0,Pz0_h,Pz0_t,Pbt,Eta</t>
  </si>
  <si>
    <t>119570 COM /Collaudo/ REAL Db0h_m,Db0t_m,Fha_h,Fha_t,Alfa_e_h,Alfa_e_t,Aelb0h,Aelb0t,Gioco,Inesistente,Dx_inesistente,Sx_inesistente,Dna1_2</t>
  </si>
  <si>
    <t>119730 CALL Plot_move(Xe,Ye)</t>
  </si>
  <si>
    <t>119740 END IF</t>
  </si>
  <si>
    <t>119770 CALL Plot_draw(Xe,Ye)         !DRAW Xe,Ye</t>
  </si>
  <si>
    <t>119780 END IF</t>
  </si>
  <si>
    <t>1974!</t>
  </si>
  <si>
    <t>Apkni*PI/180</t>
  </si>
  <si>
    <t>Apkt</t>
  </si>
  <si>
    <t>En1s/COS(Ael)</t>
  </si>
  <si>
    <t>"</t>
  </si>
  <si>
    <t xml:space="preserve">  Mn$</t>
  </si>
  <si>
    <t xml:space="preserve">  Apn$</t>
  </si>
  <si>
    <t xml:space="preserve">  Apt$</t>
  </si>
  <si>
    <t xml:space="preserve">  Ael$</t>
  </si>
  <si>
    <t xml:space="preserve">  Df1</t>
  </si>
  <si>
    <t xml:space="preserve">  Apkn</t>
  </si>
  <si>
    <t xml:space="preserve">  Apkn$</t>
  </si>
  <si>
    <t xml:space="preserve">  Apktprt$</t>
  </si>
  <si>
    <t xml:space="preserve">  Apkt</t>
  </si>
  <si>
    <t xml:space="preserve">  Ang</t>
  </si>
  <si>
    <t xml:space="preserve">  Sn1s</t>
  </si>
  <si>
    <t>ATN(TAN(Apkn)/COS(Ael))</t>
  </si>
  <si>
    <t>DESTRO</t>
  </si>
  <si>
    <t>SINISTRO</t>
  </si>
  <si>
    <t>Senso El :</t>
  </si>
  <si>
    <t xml:space="preserve"> !</t>
  </si>
  <si>
    <t xml:space="preserve"> Dk1</t>
  </si>
  <si>
    <t xml:space="preserve"> Apkni</t>
  </si>
  <si>
    <t xml:space="preserve"> Dnf1</t>
  </si>
  <si>
    <t>2072 !</t>
  </si>
  <si>
    <t>750           PRINT</t>
  </si>
  <si>
    <t xml:space="preserve">770           PRINT </t>
  </si>
  <si>
    <t>780           PRINT</t>
  </si>
  <si>
    <t>790           PRINT</t>
  </si>
  <si>
    <t>800           PRINT</t>
  </si>
  <si>
    <t>810           PRINT</t>
  </si>
  <si>
    <t>820           PRINT</t>
  </si>
  <si>
    <t>830           PRINT</t>
  </si>
  <si>
    <t xml:space="preserve">840           PRINT </t>
  </si>
  <si>
    <t>850           PRINT</t>
  </si>
  <si>
    <t xml:space="preserve">860           PRINT </t>
  </si>
  <si>
    <t>870           PRINT</t>
  </si>
  <si>
    <t>880           PRINT</t>
  </si>
  <si>
    <t xml:space="preserve">890           PRINT </t>
  </si>
  <si>
    <t xml:space="preserve">900           PRINT </t>
  </si>
  <si>
    <t>910           PRINT</t>
  </si>
  <si>
    <t xml:space="preserve">920           PRINT </t>
  </si>
  <si>
    <t xml:space="preserve">930           PRINT </t>
  </si>
  <si>
    <t xml:space="preserve">931           PRINT </t>
  </si>
  <si>
    <t xml:space="preserve">932           PRINT </t>
  </si>
  <si>
    <t xml:space="preserve">933           PRINT </t>
  </si>
  <si>
    <t xml:space="preserve">934           PRINT </t>
  </si>
  <si>
    <t xml:space="preserve">1020              ! </t>
  </si>
  <si>
    <t xml:space="preserve">680           PRINT </t>
  </si>
  <si>
    <t>720           PRINT "                    ***********************************************"</t>
  </si>
  <si>
    <t>740           PRINT "                    #######    VERSIONE PER POWERSKIVING    #######"</t>
  </si>
  <si>
    <t>760           PRINT "                    ***********************************************"</t>
  </si>
  <si>
    <t xml:space="preserve"> Elic</t>
  </si>
  <si>
    <t xml:space="preserve"> Int</t>
  </si>
  <si>
    <t xml:space="preserve"> En1s</t>
  </si>
  <si>
    <t xml:space="preserve"> Et1s</t>
  </si>
  <si>
    <t xml:space="preserve"> Mn*PI-En1s</t>
  </si>
  <si>
    <t>Cliente</t>
  </si>
  <si>
    <t>GRAZIANO OERLIK.</t>
  </si>
  <si>
    <t>GRAZIANO TORTONA</t>
  </si>
  <si>
    <t>°</t>
  </si>
  <si>
    <t>'</t>
  </si>
  <si>
    <t>&amp;</t>
  </si>
  <si>
    <t>960 WAIT 3</t>
  </si>
  <si>
    <t>Elica UTEN.</t>
  </si>
  <si>
    <t>Mod. c.</t>
  </si>
  <si>
    <t>2*I</t>
  </si>
  <si>
    <t>Z part</t>
  </si>
  <si>
    <t>Mod r</t>
  </si>
  <si>
    <t>D1</t>
  </si>
  <si>
    <r>
      <t>a</t>
    </r>
    <r>
      <rPr>
        <sz val="10"/>
        <rFont val="Arial"/>
        <family val="2"/>
      </rPr>
      <t>n</t>
    </r>
  </si>
  <si>
    <r>
      <t>a</t>
    </r>
    <r>
      <rPr>
        <sz val="10"/>
        <rFont val="Arial"/>
        <family val="2"/>
      </rPr>
      <t>c.</t>
    </r>
  </si>
  <si>
    <t>Db p</t>
  </si>
  <si>
    <t>Df  part</t>
  </si>
  <si>
    <r>
      <t xml:space="preserve">a </t>
    </r>
    <r>
      <rPr>
        <sz val="10"/>
        <rFont val="Arial"/>
        <family val="2"/>
      </rPr>
      <t>r</t>
    </r>
  </si>
  <si>
    <t>St1</t>
  </si>
  <si>
    <t>Z ut</t>
  </si>
  <si>
    <t>Db teor ut</t>
  </si>
  <si>
    <t>H utile</t>
  </si>
  <si>
    <t>Dt ut</t>
  </si>
  <si>
    <t>Sp est.</t>
  </si>
  <si>
    <r>
      <t>L</t>
    </r>
    <r>
      <rPr>
        <sz val="10"/>
        <rFont val="GreekC"/>
      </rPr>
      <t>a</t>
    </r>
  </si>
  <si>
    <t>Db teor.ut.</t>
  </si>
  <si>
    <t>La</t>
  </si>
  <si>
    <t>Lf</t>
  </si>
  <si>
    <t>Dn_0</t>
  </si>
  <si>
    <t>L</t>
  </si>
  <si>
    <t>Elica</t>
  </si>
  <si>
    <t>Fine Vita</t>
  </si>
  <si>
    <t>Desterno ut</t>
  </si>
  <si>
    <t>DN_1</t>
  </si>
  <si>
    <t>DN_2</t>
  </si>
  <si>
    <t>DN_3</t>
  </si>
  <si>
    <r>
      <t>W</t>
    </r>
    <r>
      <rPr>
        <b/>
        <sz val="8"/>
        <rFont val="Arial"/>
        <family val="2"/>
      </rPr>
      <t>0</t>
    </r>
  </si>
  <si>
    <t>k</t>
  </si>
  <si>
    <r>
      <t>inv_</t>
    </r>
    <r>
      <rPr>
        <sz val="10"/>
        <rFont val="GreekC"/>
      </rPr>
      <t>a</t>
    </r>
    <r>
      <rPr>
        <sz val="10"/>
        <rFont val="Arial Unicode MS"/>
        <family val="2"/>
      </rPr>
      <t>r</t>
    </r>
  </si>
  <si>
    <t>St0</t>
  </si>
  <si>
    <t>X0</t>
  </si>
  <si>
    <t>Dv0</t>
  </si>
  <si>
    <t>Apvt</t>
  </si>
  <si>
    <t>Inv_Apvt</t>
  </si>
  <si>
    <t>k compl</t>
  </si>
  <si>
    <r>
      <t>inv_</t>
    </r>
    <r>
      <rPr>
        <sz val="10"/>
        <rFont val="GreekC"/>
      </rPr>
      <t>a</t>
    </r>
    <r>
      <rPr>
        <sz val="10"/>
        <rFont val="Arial Unicode MS"/>
        <family val="2"/>
      </rPr>
      <t>pt</t>
    </r>
  </si>
  <si>
    <t>VAIROUGE</t>
  </si>
  <si>
    <t>X2Mn</t>
  </si>
  <si>
    <t>X0Mn</t>
  </si>
  <si>
    <t>UTENSILE     -    PELATORE</t>
  </si>
  <si>
    <t>Incrocio Assi :</t>
  </si>
  <si>
    <t>X0Mn_ott :</t>
  </si>
  <si>
    <t>UMBRA GROUP</t>
  </si>
  <si>
    <t>MAZAK</t>
  </si>
  <si>
    <t>Nome</t>
  </si>
  <si>
    <t>1210 Trueprg$="</t>
  </si>
  <si>
    <t>1250 Progettista$="</t>
  </si>
  <si>
    <t>FAMAR</t>
  </si>
  <si>
    <t>EURORICAMBI Scudding</t>
  </si>
  <si>
    <t>EURORICAMBI Skiving</t>
  </si>
  <si>
    <t>New Da0</t>
  </si>
  <si>
    <t>d0p</t>
  </si>
  <si>
    <t>New Incrocio</t>
  </si>
  <si>
    <t>new d0_rot.</t>
  </si>
  <si>
    <t>SIAP</t>
  </si>
  <si>
    <t>AMCO</t>
  </si>
  <si>
    <t>COMER INDUSTRIES</t>
  </si>
  <si>
    <t>DMG - MORI ITALIA</t>
  </si>
  <si>
    <t>GILDEMEIER</t>
  </si>
  <si>
    <t>HARKEN ITALY</t>
  </si>
  <si>
    <t>MICROTECNICA</t>
  </si>
  <si>
    <t>Dis.</t>
  </si>
  <si>
    <t>Passate sgrossatura</t>
  </si>
  <si>
    <t>Avanzamento sgrossatura</t>
  </si>
  <si>
    <t>Passate finitura</t>
  </si>
  <si>
    <t>Avanzamento finitura</t>
  </si>
  <si>
    <t>Fascia pezzo</t>
  </si>
  <si>
    <t>Extra corsa totale</t>
  </si>
  <si>
    <t>Tempo totale</t>
  </si>
  <si>
    <t>Tempo sgrossatura</t>
  </si>
  <si>
    <t>Tempo di finitura</t>
  </si>
  <si>
    <t>da0</t>
  </si>
  <si>
    <t>df0</t>
  </si>
  <si>
    <t>dNa0</t>
  </si>
  <si>
    <t>dNf0</t>
  </si>
  <si>
    <t xml:space="preserve">  Coltello per Ns. Officina</t>
  </si>
  <si>
    <t>PELATORE</t>
  </si>
  <si>
    <t>Spn0 + 0.6</t>
  </si>
  <si>
    <t>( Topping )</t>
  </si>
  <si>
    <t>Ang_rot  '</t>
  </si>
  <si>
    <t>Ang_rot  ''</t>
  </si>
  <si>
    <t>Dnf1 '</t>
  </si>
  <si>
    <t>Dnf1 ''</t>
  </si>
  <si>
    <t>Quota MAAG '</t>
  </si>
  <si>
    <t>Quota MAAG ''</t>
  </si>
  <si>
    <t>100830    !  LABEL USING Tip;H_err_max</t>
  </si>
  <si>
    <t>33205     IF Dv0&lt;Db0 THEN</t>
  </si>
  <si>
    <t>33206     Dv0=Mt*Z0</t>
  </si>
  <si>
    <t>33207     END IF</t>
  </si>
  <si>
    <t xml:space="preserve"> Mdk</t>
  </si>
  <si>
    <t xml:space="preserve"> Dm</t>
  </si>
  <si>
    <t>CLIENTE</t>
  </si>
  <si>
    <t>DISEGNO</t>
  </si>
  <si>
    <t>SUBCLIENTE</t>
  </si>
  <si>
    <t>INCISIONI   PELATORI</t>
  </si>
  <si>
    <t>A.P.</t>
  </si>
  <si>
    <t>ELICA</t>
  </si>
  <si>
    <t>SENSO ELICA</t>
  </si>
  <si>
    <t>PASSO ELICA</t>
  </si>
  <si>
    <t>AFFILATURA</t>
  </si>
  <si>
    <t xml:space="preserve"> / </t>
  </si>
  <si>
    <t>ADDENDUM</t>
  </si>
  <si>
    <t>CLASSE</t>
  </si>
  <si>
    <t>! 1530  LINPUT "INTRODURRE IL NOME DEL CLIENTE",Cliente$</t>
  </si>
  <si>
    <t xml:space="preserve"> Cliente$</t>
  </si>
  <si>
    <t xml:space="preserve"> "</t>
  </si>
  <si>
    <t>! 1580  LINPUT "INTRODURRE IL NUMERO DEL DISEGNO DELL'UTENSILE",Dis$</t>
  </si>
  <si>
    <t>Dis$</t>
  </si>
  <si>
    <t>CORREZIONI</t>
  </si>
  <si>
    <t>140   COM Progettista$[12],Clear$[2],Home$[2],Cliente$[22],Dis$[20],K1$[9],Dp$[8],Mn$[13],Mt$[13],Apn$[10],Apt$[10],Apkn$[6],Ael$[10],Sen_el$[8],Senso$[8],N_ingr$[6],N_sag$[6]</t>
  </si>
  <si>
    <t>105280        LABEL USING "6D.3D";Da1</t>
  </si>
  <si>
    <t>105300        LABEL USING "6D.3D";Df1</t>
  </si>
  <si>
    <t>105330                   LABEL USING "6D.2D";Dnf1</t>
  </si>
  <si>
    <t>105360                   LABEL USING "6D.2D";Dnf1_pr</t>
  </si>
  <si>
    <t>105410                   LABEL USING "6D.2D";Dk1</t>
  </si>
  <si>
    <t>105470                   LABEL USING "6D.3D";W1</t>
  </si>
  <si>
    <t>105530                   LABEL USING "6D.3D";Mdk</t>
  </si>
  <si>
    <t>3F INGRANAGGI</t>
  </si>
  <si>
    <t>A.M. GEARS</t>
  </si>
  <si>
    <t>ACEDES</t>
  </si>
  <si>
    <t>ALFA IBERICA GEAR S.</t>
  </si>
  <si>
    <t>AMCO s.r.l.</t>
  </si>
  <si>
    <t xml:space="preserve">ARGO TRACTORS </t>
  </si>
  <si>
    <t>AUTOMEC</t>
  </si>
  <si>
    <t>B.C.S.</t>
  </si>
  <si>
    <t>BARANI E PANINI</t>
  </si>
  <si>
    <t>BARTOLUCCI</t>
  </si>
  <si>
    <t xml:space="preserve">BDF </t>
  </si>
  <si>
    <t>BEA INGRANAGGI</t>
  </si>
  <si>
    <t>BERGA</t>
  </si>
  <si>
    <t>BIEMME</t>
  </si>
  <si>
    <t>BO.MA. UNO</t>
  </si>
  <si>
    <t>BONDIOLI &amp; PAVESI</t>
  </si>
  <si>
    <t>BONFIGLIOLI</t>
  </si>
  <si>
    <t>BONFIGLIOLI RID.</t>
  </si>
  <si>
    <t>BORGONOVO INGR.</t>
  </si>
  <si>
    <t>BP RIDUTTORI</t>
  </si>
  <si>
    <t>BRESCIA UTENSILI</t>
  </si>
  <si>
    <t>C.E.I.</t>
  </si>
  <si>
    <t>C.G.M.</t>
  </si>
  <si>
    <t>C.I.R. INGRANAGGI</t>
  </si>
  <si>
    <t xml:space="preserve">C.L.I.C. </t>
  </si>
  <si>
    <t>C.M.C.INGRANAGGI</t>
  </si>
  <si>
    <t>CAPI GROUP</t>
  </si>
  <si>
    <t>CARRARO DRIVE TECH</t>
  </si>
  <si>
    <t>CASAGRANDE INGR.</t>
  </si>
  <si>
    <t>CATTINI &amp; FIGLIO</t>
  </si>
  <si>
    <t>CEBA INGRANAGGI</t>
  </si>
  <si>
    <t>CESARE BALZARINI &amp; C</t>
  </si>
  <si>
    <t>CIAP</t>
  </si>
  <si>
    <t>CIMA</t>
  </si>
  <si>
    <t>COLZANI INGRANAGGI</t>
  </si>
  <si>
    <t>CO-MEC</t>
  </si>
  <si>
    <t>COMEV</t>
  </si>
  <si>
    <t>CORRADINI</t>
  </si>
  <si>
    <t>COSMEC ITALIA</t>
  </si>
  <si>
    <t>CTMS</t>
  </si>
  <si>
    <t>D.I.S.A.</t>
  </si>
  <si>
    <t>D.S.I.</t>
  </si>
  <si>
    <t>DANA ITALIA</t>
  </si>
  <si>
    <t>DANIELI &amp; C.</t>
  </si>
  <si>
    <t>DECOMEC</t>
  </si>
  <si>
    <t>DIDIMO ZANETTI</t>
  </si>
  <si>
    <t>DINAMIC OIL</t>
  </si>
  <si>
    <t>DMG MORI ITALIA</t>
  </si>
  <si>
    <t>DUCATI ENERGIA</t>
  </si>
  <si>
    <t>ELMEA</t>
  </si>
  <si>
    <t>ESSETI MECC. DI PREC.</t>
  </si>
  <si>
    <t>EURORICAMBI</t>
  </si>
  <si>
    <t>F.I.S. INGRANAGGI</t>
  </si>
  <si>
    <t>F.LLI REGAZZON</t>
  </si>
  <si>
    <t>F.R.M.</t>
  </si>
  <si>
    <t>FACHINI GEARS</t>
  </si>
  <si>
    <t>FARINON INGRANAGGI</t>
  </si>
  <si>
    <t>FCA ITALY</t>
  </si>
  <si>
    <t>FINMECCANICA</t>
  </si>
  <si>
    <t>FRATELLI VERGNANO</t>
  </si>
  <si>
    <t>FUSETTI</t>
  </si>
  <si>
    <t>G.F.M. MECCANICA</t>
  </si>
  <si>
    <t>G.S.I.</t>
  </si>
  <si>
    <t>GALPERTI ENGIN.</t>
  </si>
  <si>
    <t>GANDINI</t>
  </si>
  <si>
    <t>GAZZONI</t>
  </si>
  <si>
    <t>GE Avio</t>
  </si>
  <si>
    <t>GILDEMEISTER</t>
  </si>
  <si>
    <t>GRAZIANO INDIA</t>
  </si>
  <si>
    <t>GRAZIANO Tortona</t>
  </si>
  <si>
    <t>GREEN GEAR TRASM.</t>
  </si>
  <si>
    <t>HANGZHOU TONGYUN</t>
  </si>
  <si>
    <t>HEMA ENDUSTRI A.S</t>
  </si>
  <si>
    <t>I.T. INTERNATIONAL T.</t>
  </si>
  <si>
    <t>IMA COMPONENTES</t>
  </si>
  <si>
    <t>IMPORTEINA S.A.</t>
  </si>
  <si>
    <t>INGRANAG. FORLIVESE</t>
  </si>
  <si>
    <t>INTERPROGRESS IT.</t>
  </si>
  <si>
    <t>INTERPUMP HYDR.</t>
  </si>
  <si>
    <t>ITALGEAR</t>
  </si>
  <si>
    <t>ITR MECCANICA</t>
  </si>
  <si>
    <t>L.M.I.</t>
  </si>
  <si>
    <t>LA LEONESSA</t>
  </si>
  <si>
    <t>LCM</t>
  </si>
  <si>
    <t>LEONARDO</t>
  </si>
  <si>
    <t>LICAT</t>
  </si>
  <si>
    <t>LIEBHERR-VERZAHNTECHNIK GMBH</t>
  </si>
  <si>
    <t>LMC</t>
  </si>
  <si>
    <t>LMT TOOLS BRASIL</t>
  </si>
  <si>
    <t>LUCAS INDIAN SERVICE</t>
  </si>
  <si>
    <t>M.E.F.O.M.</t>
  </si>
  <si>
    <t>M3 INGRANAGGI</t>
  </si>
  <si>
    <t>MAKO ELEKTRIK</t>
  </si>
  <si>
    <t>MAINA</t>
  </si>
  <si>
    <t>MAPAL ITALIA</t>
  </si>
  <si>
    <t>MDC MECCANICA</t>
  </si>
  <si>
    <t>MECAL</t>
  </si>
  <si>
    <t>MECCANICA BPR</t>
  </si>
  <si>
    <t>MECCANICA MASTER</t>
  </si>
  <si>
    <t>MECFOND</t>
  </si>
  <si>
    <t>MECHNOLOGY</t>
  </si>
  <si>
    <t>MEI ECOGROUP</t>
  </si>
  <si>
    <t>MELO</t>
  </si>
  <si>
    <t>MENGOZZI</t>
  </si>
  <si>
    <t>MENICHELLI GROUP</t>
  </si>
  <si>
    <t>METALCASTELLO</t>
  </si>
  <si>
    <t>MEVI MECC. VIAGGI</t>
  </si>
  <si>
    <t>mG miniGEARS</t>
  </si>
  <si>
    <t>MINI MOTOR</t>
  </si>
  <si>
    <t>MODULMEC</t>
  </si>
  <si>
    <t>MOLTRASIO</t>
  </si>
  <si>
    <t>MONTEFERRI</t>
  </si>
  <si>
    <t>MONTEK</t>
  </si>
  <si>
    <t>O.C.I.</t>
  </si>
  <si>
    <t>O.M.F.B.</t>
  </si>
  <si>
    <t>O.T.I.</t>
  </si>
  <si>
    <t>OERLIKON GRAZIANO</t>
  </si>
  <si>
    <t>OERLIKON GRAZIANO B</t>
  </si>
  <si>
    <t>BALZARINI</t>
  </si>
  <si>
    <t>OFF. MECC. PAVAN</t>
  </si>
  <si>
    <t>CARRARO</t>
  </si>
  <si>
    <t>FORLANI</t>
  </si>
  <si>
    <t>OFF. MECC. RONCHI</t>
  </si>
  <si>
    <t>OLAA INGRANAGGI</t>
  </si>
  <si>
    <t>OMIG DI COCCHI E IORI</t>
  </si>
  <si>
    <t>OMME GEARS SAS</t>
  </si>
  <si>
    <t>OMP</t>
  </si>
  <si>
    <t>OMSI Trasmissioni</t>
  </si>
  <si>
    <t>P.A.R.P. INGRANAGGI</t>
  </si>
  <si>
    <t>PARAZZA</t>
  </si>
  <si>
    <t>PASINI MECCANICA</t>
  </si>
  <si>
    <t>PINNA PIETRO</t>
  </si>
  <si>
    <t>PMP PRO-MEC</t>
  </si>
  <si>
    <t>POGGI TRASM. MECC.</t>
  </si>
  <si>
    <t>RAELCA</t>
  </si>
  <si>
    <t>RAMAZZA MARIO E C.</t>
  </si>
  <si>
    <t>REGGIANA RIDUTTORI</t>
  </si>
  <si>
    <t>RONZIO OLEODINAM.</t>
  </si>
  <si>
    <t>ROSSI CARLO MECC.</t>
  </si>
  <si>
    <t>METALLURGICA ROSSI</t>
  </si>
  <si>
    <t>S.A.C.</t>
  </si>
  <si>
    <t>S.C.F.  DI COLPANI</t>
  </si>
  <si>
    <t>S.I.C.A.M.</t>
  </si>
  <si>
    <t>S.O.C.E.M.I.</t>
  </si>
  <si>
    <t>SALVATORI</t>
  </si>
  <si>
    <t>SERENARI LIBERO</t>
  </si>
  <si>
    <t>SINBRO S.A.</t>
  </si>
  <si>
    <t>SIOR DI SINTONI</t>
  </si>
  <si>
    <t>SIT</t>
  </si>
  <si>
    <t>SMARTUS</t>
  </si>
  <si>
    <t>SOMASCHINI</t>
  </si>
  <si>
    <t>STE.CAM</t>
  </si>
  <si>
    <t>T.A.S.</t>
  </si>
  <si>
    <t>TECNO-INGRANAGGI</t>
  </si>
  <si>
    <t>TIBEX DIS TICARET LTD</t>
  </si>
  <si>
    <t>TOFFAC INGRANAGGI</t>
  </si>
  <si>
    <t>TOKUGAWA TRADING</t>
  </si>
  <si>
    <t>TRASMISS. BUZZOLAN</t>
  </si>
  <si>
    <t>TRUEWINGS INTERN.</t>
  </si>
  <si>
    <t>VALPRES</t>
  </si>
  <si>
    <t>VENTURI SANTE</t>
  </si>
  <si>
    <t>ZETAE S.A.</t>
  </si>
  <si>
    <t>LIEBHERR - MACHINE TOOLS INDIA PVT</t>
  </si>
  <si>
    <t>Note :</t>
  </si>
  <si>
    <t>Per tutti i pelatori per corredo</t>
  </si>
  <si>
    <t xml:space="preserve"> macchina Kempten non incidere </t>
  </si>
  <si>
    <t xml:space="preserve">l’addendum sui pelatori! </t>
  </si>
  <si>
    <t>Add*Mn</t>
  </si>
  <si>
    <t>Ded*Mn</t>
  </si>
  <si>
    <t>da</t>
  </si>
  <si>
    <t>df</t>
  </si>
  <si>
    <t>s / e</t>
  </si>
  <si>
    <t>x*mn</t>
  </si>
  <si>
    <t>Dati ingranaggi</t>
  </si>
  <si>
    <t>N° pezzi per affilatura</t>
  </si>
  <si>
    <t>lunghezza fascia dentata /mm</t>
  </si>
  <si>
    <t>Vita utensile/affilatura m*dente</t>
  </si>
  <si>
    <t>BERTA</t>
  </si>
  <si>
    <t>UTENSILE PELATORE</t>
  </si>
  <si>
    <t>o</t>
  </si>
  <si>
    <t>CONICO</t>
  </si>
  <si>
    <t>CILINDRICO</t>
  </si>
  <si>
    <t>DATI TECNICI</t>
  </si>
  <si>
    <t>CARATTERISTICHE DENTATURA</t>
  </si>
  <si>
    <t>gr</t>
  </si>
  <si>
    <t>min</t>
  </si>
  <si>
    <t>sec</t>
  </si>
  <si>
    <t>Nr.disegno</t>
  </si>
  <si>
    <t>Mod norm.</t>
  </si>
  <si>
    <t>Ang. Press</t>
  </si>
  <si>
    <t>Tipo Ut.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</si>
  <si>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CAMPANA</t>
    </r>
  </si>
  <si>
    <r>
      <t xml:space="preserve"> </t>
    </r>
    <r>
      <rPr>
        <sz val="10"/>
        <rFont val="AIGDT"/>
        <charset val="2"/>
      </rPr>
      <t>o</t>
    </r>
    <r>
      <rPr>
        <b/>
        <sz val="4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DISCO</t>
    </r>
  </si>
  <si>
    <r>
      <t xml:space="preserve">      </t>
    </r>
    <r>
      <rPr>
        <sz val="10"/>
        <rFont val="AIGDT"/>
        <charset val="2"/>
      </rPr>
      <t>o</t>
    </r>
    <r>
      <rPr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CODOLO</t>
    </r>
  </si>
  <si>
    <t>Mod rib.</t>
  </si>
  <si>
    <t>Ang. Elica</t>
  </si>
  <si>
    <t>Tipo acciaio</t>
  </si>
  <si>
    <t>Senso elica</t>
  </si>
  <si>
    <t>Rivestimento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</si>
  <si>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ALCRONA</t>
    </r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</si>
  <si>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ALCRONA-PRO</t>
    </r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</si>
  <si>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TIALN</t>
    </r>
  </si>
  <si>
    <t>Nr. Denti</t>
  </si>
  <si>
    <t>Affilatura</t>
  </si>
  <si>
    <r>
      <rPr>
        <sz val="10"/>
        <rFont val="AIGDT"/>
        <charset val="2"/>
      </rPr>
      <t>o</t>
    </r>
    <r>
      <rPr>
        <b/>
        <sz val="3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CONICA</t>
    </r>
  </si>
  <si>
    <r>
      <rPr>
        <sz val="10"/>
        <rFont val="AIGDT"/>
        <charset val="2"/>
      </rPr>
      <t>o</t>
    </r>
    <r>
      <rPr>
        <b/>
        <sz val="3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GRADINATA</t>
    </r>
  </si>
  <si>
    <t>Diam est</t>
  </si>
  <si>
    <t>CARATTERISTICHE GENERALI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</si>
  <si>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RAGGIO     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SEMITOPPING</t>
    </r>
  </si>
  <si>
    <t>Spes/Lung</t>
  </si>
  <si>
    <t>Foro</t>
  </si>
  <si>
    <t>Tipo prof.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</si>
  <si>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TOPPING   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BOMBATURA</t>
    </r>
  </si>
  <si>
    <t>Cono</t>
  </si>
  <si>
    <r>
      <t xml:space="preserve">          </t>
    </r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0"/>
        <color rgb="FFFF0000"/>
        <rFont val="Calibri"/>
        <family val="2"/>
        <scheme val="minor"/>
      </rPr>
      <t>ATTACCO CILINDRICO</t>
    </r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</si>
  <si>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TIP-RELIEF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PROTUBERANZA</t>
    </r>
  </si>
  <si>
    <t>Chiavetta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</si>
  <si>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SEMPLICE    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SEMPL.RETTIF.    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ORIENTATA   </t>
    </r>
  </si>
  <si>
    <r>
      <rPr>
        <sz val="10"/>
        <rFont val="AIGDT"/>
        <charset val="2"/>
      </rPr>
      <t>o</t>
    </r>
    <r>
      <rPr>
        <b/>
        <sz val="11"/>
        <rFont val="AIGDT"/>
        <charset val="2"/>
      </rPr>
      <t xml:space="preserve">  </t>
    </r>
  </si>
  <si>
    <t>collarino</t>
  </si>
  <si>
    <r>
      <rPr>
        <sz val="10"/>
        <rFont val="AIGDT"/>
        <charset val="2"/>
      </rPr>
      <t>o</t>
    </r>
    <r>
      <rPr>
        <b/>
        <sz val="5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SI        </t>
    </r>
    <r>
      <rPr>
        <sz val="10"/>
        <rFont val="AIGDT"/>
        <charset val="2"/>
      </rPr>
      <t>o</t>
    </r>
    <r>
      <rPr>
        <b/>
        <sz val="11"/>
        <color rgb="FFFF0000"/>
        <rFont val="Calibri"/>
        <family val="2"/>
        <scheme val="minor"/>
      </rPr>
      <t xml:space="preserve"> N O</t>
    </r>
  </si>
  <si>
    <t>Qual.off.</t>
  </si>
  <si>
    <r>
      <rPr>
        <sz val="10"/>
        <rFont val="AIGDT"/>
        <charset val="2"/>
      </rPr>
      <t>o</t>
    </r>
    <r>
      <rPr>
        <b/>
        <sz val="11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A</t>
    </r>
  </si>
  <si>
    <r>
      <rPr>
        <sz val="10"/>
        <rFont val="AIGDT"/>
        <charset val="2"/>
      </rPr>
      <t>o</t>
    </r>
    <r>
      <rPr>
        <b/>
        <sz val="11"/>
        <rFont val="AIGDT"/>
        <charset val="2"/>
      </rPr>
      <t xml:space="preserve"> </t>
    </r>
    <r>
      <rPr>
        <b/>
        <sz val="11"/>
        <color rgb="FFFF0000"/>
        <rFont val="Calibri"/>
        <family val="2"/>
        <scheme val="minor"/>
      </rPr>
      <t>AA</t>
    </r>
  </si>
  <si>
    <t>CARATTERISTICHE INGRANAGGIO</t>
  </si>
  <si>
    <t>Mod norm</t>
  </si>
  <si>
    <t>NOTE</t>
  </si>
  <si>
    <t xml:space="preserve">   NOTE Interne</t>
  </si>
  <si>
    <t>CAMS</t>
  </si>
  <si>
    <t>PER I PELATORI CILINDRICI INCIDERE:</t>
  </si>
  <si>
    <t>Diametro esterno effettivo</t>
  </si>
  <si>
    <t xml:space="preserve">Lfd N.                   da0 = </t>
  </si>
  <si>
    <t>Sbase_front coltello</t>
  </si>
  <si>
    <t>Sbase_norm coltello</t>
  </si>
  <si>
    <t>26860     DISP USING "DDDDDD.DDD";Dnf1_pr</t>
  </si>
  <si>
    <t>100770 Tip: IMAGE 4D.2D</t>
  </si>
  <si>
    <t xml:space="preserve">  Mt$</t>
  </si>
  <si>
    <t xml:space="preserve">93870 </t>
  </si>
  <si>
    <t xml:space="preserve">        LABEL </t>
  </si>
  <si>
    <t>STOZZATORE</t>
  </si>
  <si>
    <t>105280        LABEL USING "6D.3D";</t>
  </si>
  <si>
    <t xml:space="preserve">105610        LABEL </t>
  </si>
  <si>
    <t>105300        LABEL USING "6D.3D";</t>
  </si>
  <si>
    <t>105330                   LABEL USING "6D.2D";</t>
  </si>
  <si>
    <t>105410                   LABEL USING "6D.2D";</t>
  </si>
  <si>
    <t>105650            !</t>
  </si>
  <si>
    <t>105720        LABEL "</t>
  </si>
  <si>
    <t>''</t>
  </si>
  <si>
    <t>vers. 24 Lug 2018</t>
  </si>
  <si>
    <t>DELLA FERRERA utensili</t>
  </si>
  <si>
    <t>SAGOMA N°</t>
  </si>
  <si>
    <t xml:space="preserve"> </t>
  </si>
  <si>
    <t>DISEGNO N°</t>
  </si>
  <si>
    <t>MODULO</t>
  </si>
  <si>
    <r>
      <t>N° DENTI</t>
    </r>
    <r>
      <rPr>
        <b/>
        <i/>
        <sz val="10"/>
        <rFont val="Arial"/>
        <family val="2"/>
      </rPr>
      <t xml:space="preserve">  </t>
    </r>
  </si>
  <si>
    <r>
      <t>AP</t>
    </r>
    <r>
      <rPr>
        <b/>
        <i/>
        <sz val="10"/>
        <rFont val="Arial"/>
        <family val="2"/>
      </rPr>
      <t xml:space="preserve">     </t>
    </r>
  </si>
  <si>
    <r>
      <t>AEL</t>
    </r>
    <r>
      <rPr>
        <b/>
        <i/>
        <sz val="10"/>
        <rFont val="Arial"/>
        <family val="2"/>
      </rPr>
      <t xml:space="preserve">     </t>
    </r>
  </si>
  <si>
    <t xml:space="preserve">Diametro ROTOLAMENTO  </t>
  </si>
  <si>
    <t>Montante</t>
  </si>
  <si>
    <r>
      <rPr>
        <b/>
        <sz val="11"/>
        <rFont val="Arial"/>
        <family val="2"/>
      </rPr>
      <t>(</t>
    </r>
    <r>
      <rPr>
        <b/>
        <sz val="8"/>
        <rFont val="Arial"/>
        <family val="2"/>
      </rPr>
      <t xml:space="preserve">SCAR. SEMIT. </t>
    </r>
    <r>
      <rPr>
        <b/>
        <sz val="12"/>
        <rFont val="Arial"/>
        <family val="2"/>
      </rPr>
      <t>K</t>
    </r>
    <r>
      <rPr>
        <b/>
        <sz val="10"/>
        <rFont val="Arial"/>
        <family val="2"/>
      </rPr>
      <t xml:space="preserve"> =</t>
    </r>
  </si>
  <si>
    <t>)</t>
  </si>
  <si>
    <t>PARAMETRI MOLA FIANCO SINISTRO</t>
  </si>
  <si>
    <t>R030 =</t>
  </si>
  <si>
    <t>SEMISPESSORE della MOLA (TEORICO)</t>
  </si>
  <si>
    <t xml:space="preserve">R031=      </t>
  </si>
  <si>
    <t>SEMISPESSORE FIANCO</t>
  </si>
  <si>
    <t xml:space="preserve">R032=      </t>
  </si>
  <si>
    <t>ADDENDUM MOLA</t>
  </si>
  <si>
    <t xml:space="preserve">R033=      </t>
  </si>
  <si>
    <t>DEDENDUM MOLA</t>
  </si>
  <si>
    <t xml:space="preserve">R034=      </t>
  </si>
  <si>
    <t>ANG. PRESSIONE ADDENDUM</t>
  </si>
  <si>
    <t xml:space="preserve">R035=      </t>
  </si>
  <si>
    <t>ANG. PRESSIONE DEDENDUM</t>
  </si>
  <si>
    <r>
      <t xml:space="preserve">****************** </t>
    </r>
    <r>
      <rPr>
        <i/>
        <sz val="11"/>
        <rFont val="Times New Roman"/>
        <family val="1"/>
      </rPr>
      <t xml:space="preserve">SEMITOPPING </t>
    </r>
    <r>
      <rPr>
        <sz val="11"/>
        <rFont val="Times New Roman"/>
        <family val="1"/>
      </rPr>
      <t>**************************</t>
    </r>
  </si>
  <si>
    <t xml:space="preserve">R036=      </t>
  </si>
  <si>
    <t>ALTEZZA del SEMITOPPING</t>
  </si>
  <si>
    <t xml:space="preserve">R037=      </t>
  </si>
  <si>
    <t>ANG. PRESSIONE SEMITOPPING</t>
  </si>
  <si>
    <r>
      <t xml:space="preserve">****************** </t>
    </r>
    <r>
      <rPr>
        <i/>
        <sz val="11"/>
        <rFont val="Times New Roman"/>
        <family val="1"/>
      </rPr>
      <t xml:space="preserve">RAGGIO PIEDE MOLA </t>
    </r>
    <r>
      <rPr>
        <sz val="11"/>
        <rFont val="Times New Roman"/>
        <family val="1"/>
      </rPr>
      <t>************************</t>
    </r>
  </si>
  <si>
    <t xml:space="preserve">R038=      </t>
  </si>
  <si>
    <t>ALTEZZA PUNTO di TANGENZA RAGGIO 1</t>
  </si>
  <si>
    <t xml:space="preserve">R039=      </t>
  </si>
  <si>
    <t>RAGGIO 1 (+GRANDE)</t>
  </si>
  <si>
    <t xml:space="preserve">R040=      </t>
  </si>
  <si>
    <t>RAGGIO 2</t>
  </si>
  <si>
    <t xml:space="preserve">R041=      </t>
  </si>
  <si>
    <t>ANG.RASTREMATURA PIEDE MOLA</t>
  </si>
  <si>
    <r>
      <t xml:space="preserve">****************** </t>
    </r>
    <r>
      <rPr>
        <i/>
        <sz val="11"/>
        <rFont val="Times New Roman"/>
        <family val="1"/>
      </rPr>
      <t xml:space="preserve">RAGGIO TESTA MOLA </t>
    </r>
    <r>
      <rPr>
        <sz val="11"/>
        <rFont val="Times New Roman"/>
        <family val="1"/>
      </rPr>
      <t>************************</t>
    </r>
  </si>
  <si>
    <t xml:space="preserve">R042=      </t>
  </si>
  <si>
    <t>ALTEZZA PUNTO di TANGENZA RAGGIO 3</t>
  </si>
  <si>
    <t xml:space="preserve">R043=      </t>
  </si>
  <si>
    <t>RAGGIO 3 (+GRANDE)</t>
  </si>
  <si>
    <t xml:space="preserve">R044=      </t>
  </si>
  <si>
    <t>RAGGIO 4</t>
  </si>
  <si>
    <t xml:space="preserve">R045=      </t>
  </si>
  <si>
    <t>ANG. RASTREMATURA TESTA MOLA</t>
  </si>
  <si>
    <r>
      <t xml:space="preserve">****************** </t>
    </r>
    <r>
      <rPr>
        <i/>
        <sz val="11"/>
        <rFont val="Times New Roman"/>
        <family val="1"/>
      </rPr>
      <t xml:space="preserve">PROTUBERANZA    </t>
    </r>
    <r>
      <rPr>
        <sz val="11"/>
        <rFont val="Times New Roman"/>
        <family val="1"/>
      </rPr>
      <t>****************************</t>
    </r>
  </si>
  <si>
    <t xml:space="preserve">R046=      </t>
  </si>
  <si>
    <t>ALTEZZA INIZIO PROTUBERANZA</t>
  </si>
  <si>
    <t xml:space="preserve">R047=      </t>
  </si>
  <si>
    <t>ANG. PRESSIONE PROTUBERANZA</t>
  </si>
  <si>
    <t xml:space="preserve">R048=      </t>
  </si>
  <si>
    <t>RAGGIO EVOLVENTE +CONCAVO -CONVESSO</t>
  </si>
  <si>
    <t>PARAMETRI MOLA FIANCO DESTRO</t>
  </si>
  <si>
    <t xml:space="preserve">R050=      </t>
  </si>
  <si>
    <t xml:space="preserve">R051=      </t>
  </si>
  <si>
    <t xml:space="preserve">R052=      </t>
  </si>
  <si>
    <t xml:space="preserve">R053=      </t>
  </si>
  <si>
    <t xml:space="preserve">R054=      </t>
  </si>
  <si>
    <t xml:space="preserve">R055=      </t>
  </si>
  <si>
    <t xml:space="preserve">R056=      </t>
  </si>
  <si>
    <t xml:space="preserve">R057=      </t>
  </si>
  <si>
    <t xml:space="preserve">R058=      </t>
  </si>
  <si>
    <t xml:space="preserve">R059=      </t>
  </si>
  <si>
    <t>RAGGIO 1 (+ GRANDE)</t>
  </si>
  <si>
    <t xml:space="preserve">R060=      </t>
  </si>
  <si>
    <t xml:space="preserve">R061=      </t>
  </si>
  <si>
    <t xml:space="preserve">R062=      </t>
  </si>
  <si>
    <t xml:space="preserve">R063=      </t>
  </si>
  <si>
    <t xml:space="preserve">R064=      </t>
  </si>
  <si>
    <t xml:space="preserve">R065=      </t>
  </si>
  <si>
    <t xml:space="preserve">R066=      </t>
  </si>
  <si>
    <t xml:space="preserve">R067=      </t>
  </si>
  <si>
    <t xml:space="preserve">R068=      </t>
  </si>
  <si>
    <t>Ang.Elica Macchina:</t>
  </si>
  <si>
    <t>Montante Macchina:</t>
  </si>
  <si>
    <t>SAGOMA</t>
  </si>
  <si>
    <t>N. DENTI</t>
  </si>
  <si>
    <t>ANG. PRESSIONE</t>
  </si>
  <si>
    <t>ANG. ELICA</t>
  </si>
  <si>
    <t>Diam. ROTOLAMENTO</t>
  </si>
  <si>
    <t>S.Guidolin</t>
  </si>
  <si>
    <t>Calcolo altezze su mola</t>
  </si>
  <si>
    <t>Db Ut prog.</t>
  </si>
  <si>
    <t>AP Mola</t>
  </si>
  <si>
    <t>P1 su Ut</t>
  </si>
  <si>
    <t xml:space="preserve"> » H1 mola</t>
  </si>
  <si>
    <t>P2 su Ut</t>
  </si>
  <si>
    <t>» H2 mola</t>
  </si>
  <si>
    <t>P3 su Ut</t>
  </si>
  <si>
    <t>» H3 mola</t>
  </si>
  <si>
    <t>P4 su Ut</t>
  </si>
  <si>
    <t>» H4 mola</t>
  </si>
  <si>
    <t>P5 su Ut</t>
  </si>
  <si>
    <t>» H5 mola</t>
  </si>
  <si>
    <t>Calcolo Diametri base prima del rivestimento (per classe AA)</t>
  </si>
  <si>
    <t>Øinizio ev. su Ut</t>
  </si>
  <si>
    <t>Øfine ev. su Ut</t>
  </si>
  <si>
    <t>Db prima del riv.</t>
  </si>
  <si>
    <r>
      <t>L</t>
    </r>
    <r>
      <rPr>
        <sz val="10"/>
        <rFont val="Calibri"/>
        <family val="2"/>
      </rPr>
      <t>α</t>
    </r>
  </si>
  <si>
    <t>←</t>
  </si>
  <si>
    <t>Compaiono nei punti di controllo</t>
  </si>
  <si>
    <t>Solo per calcolo coniugati</t>
  </si>
  <si>
    <t>040 W62903C15</t>
  </si>
  <si>
    <t>CONTINUAZIONE. DATI STATICI!</t>
  </si>
  <si>
    <t>DATI GENERALI</t>
  </si>
  <si>
    <t>P1 su part.</t>
  </si>
  <si>
    <t>P2 su part.</t>
  </si>
  <si>
    <t>P3 su part.</t>
  </si>
  <si>
    <t>P4 su part.</t>
  </si>
  <si>
    <t>P5 su part.</t>
  </si>
  <si>
    <t>D1 su part.</t>
  </si>
  <si>
    <t>D2 su part.</t>
  </si>
  <si>
    <t>D3 su part.</t>
  </si>
  <si>
    <t>D4 su part.</t>
  </si>
  <si>
    <t>D5 su part.</t>
  </si>
  <si>
    <t>D6 su part.</t>
  </si>
  <si>
    <t>→ D1 coniugato su Ut →</t>
  </si>
  <si>
    <t>→ D3 coniugato su Ut →</t>
  </si>
  <si>
    <t>→ D2 coniugato su Ut →</t>
  </si>
  <si>
    <t>→ D4 coniugato su Ut →</t>
  </si>
  <si>
    <t>→ D5 coniugato su Ut →</t>
  </si>
  <si>
    <t>→ D6 coniugato su Ut →</t>
  </si>
  <si>
    <t>Øiniz ev. su Ut</t>
  </si>
  <si>
    <t>Punti di controllo e calcolo coniugati</t>
  </si>
  <si>
    <t>Valori derivati</t>
  </si>
  <si>
    <t>Elica [°]</t>
  </si>
  <si>
    <t>D7 su part.</t>
  </si>
  <si>
    <t>D8 su part.</t>
  </si>
  <si>
    <t>Etichetta:</t>
  </si>
  <si>
    <t>limite D*</t>
  </si>
  <si>
    <t>→ D7 coniugato su Ut →</t>
  </si>
  <si>
    <t>→ D8 coniugato su Ut →</t>
  </si>
  <si>
    <t>DN_4</t>
  </si>
  <si>
    <t>Etichetta</t>
  </si>
  <si>
    <t>Punto</t>
  </si>
  <si>
    <t>P_1</t>
  </si>
  <si>
    <t>P_2</t>
  </si>
  <si>
    <t>P_3</t>
  </si>
  <si>
    <t>P_4</t>
  </si>
  <si>
    <t>Db teor UT</t>
  </si>
  <si>
    <t>Db part</t>
  </si>
  <si>
    <t>Diametro base del particolare</t>
  </si>
  <si>
    <t>Modulo di rotolamento</t>
  </si>
  <si>
    <t>Doppio interasse</t>
  </si>
  <si>
    <t>Angolo di pressione di rotolamento</t>
  </si>
  <si>
    <t>d.est. ut</t>
  </si>
  <si>
    <t>Valori in input</t>
  </si>
  <si>
    <t>↓Forzato↓</t>
  </si>
  <si>
    <t>↓Originale↓</t>
  </si>
  <si>
    <t>↓Risultante↓</t>
  </si>
  <si>
    <t>↓Nome↓</t>
  </si>
  <si>
    <r>
      <t>a</t>
    </r>
    <r>
      <rPr>
        <b/>
        <sz val="10"/>
        <rFont val="Arial"/>
        <family val="2"/>
      </rPr>
      <t>n</t>
    </r>
  </si>
  <si>
    <t>De ut</t>
  </si>
  <si>
    <t>&lt; per calcolo altezze mola</t>
  </si>
  <si>
    <t>Df part</t>
  </si>
  <si>
    <t>Passo</t>
  </si>
  <si>
    <t>Dmax - Dt</t>
  </si>
  <si>
    <t>}</t>
  </si>
  <si>
    <t>PUNTI DI CONTROLLO</t>
  </si>
  <si>
    <t>&lt; per calcolo coniugati e punti di controllo</t>
  </si>
  <si>
    <t>NOTE AREA (editable)</t>
  </si>
  <si>
    <t>v20190131 by Serginho &amp; DE</t>
  </si>
  <si>
    <t>Sn1/En1</t>
  </si>
  <si>
    <t>cos(Elica)</t>
  </si>
  <si>
    <t>Fine vita</t>
  </si>
  <si>
    <t>v20190201 by Serginho &amp;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</si>
</sst>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"/>
    <numFmt numFmtId="166" formatCode="0.0000"/>
    <numFmt numFmtId="167" formatCode="0.000"/>
    <numFmt numFmtId="168" formatCode="0.000000000"/>
    <numFmt numFmtId="169" formatCode="0.00000"/>
    <numFmt numFmtId="170" formatCode="[$-F400]h:mm:ss\ AM/PM"/>
  </numFmts>
  <fonts count="9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7.5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3" tint="0.39997558519241921"/>
      <name val="Liebherr"/>
      <family val="2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6" tint="0.59999389629810485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GreekC"/>
    </font>
    <font>
      <sz val="10"/>
      <name val="@Arial Unicode MS"/>
      <family val="2"/>
    </font>
    <font>
      <sz val="7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0"/>
      <name val="Arial Unicode MS"/>
      <family val="2"/>
    </font>
    <font>
      <sz val="9"/>
      <color theme="1"/>
      <name val="Calibri"/>
      <family val="2"/>
      <scheme val="minor"/>
    </font>
    <font>
      <b/>
      <sz val="12"/>
      <name val="Arial"/>
      <family val="2"/>
    </font>
    <font>
      <sz val="8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u/>
      <sz val="19"/>
      <color rgb="FFC00000"/>
      <name val="Verdana"/>
      <family val="2"/>
    </font>
    <font>
      <sz val="1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9"/>
      <color theme="1"/>
      <name val="Calibri"/>
      <family val="2"/>
      <scheme val="minor"/>
    </font>
    <font>
      <sz val="10"/>
      <color theme="1"/>
      <name val="Verdana"/>
      <family val="2"/>
    </font>
    <font>
      <sz val="14"/>
      <color theme="1"/>
      <name val="AIGDT"/>
      <charset val="2"/>
    </font>
    <font>
      <sz val="10"/>
      <name val="AIGDT"/>
      <charset val="2"/>
    </font>
    <font>
      <b/>
      <sz val="5"/>
      <name val="AIGDT"/>
      <charset val="2"/>
    </font>
    <font>
      <b/>
      <sz val="4"/>
      <name val="AIGDT"/>
      <charset val="2"/>
    </font>
    <font>
      <sz val="5"/>
      <name val="AIGDT"/>
      <charset val="2"/>
    </font>
    <font>
      <b/>
      <u/>
      <sz val="12"/>
      <color theme="1"/>
      <name val="Calibri"/>
      <family val="2"/>
      <scheme val="minor"/>
    </font>
    <font>
      <b/>
      <sz val="3"/>
      <name val="AIGDT"/>
      <charset val="2"/>
    </font>
    <font>
      <b/>
      <sz val="10"/>
      <color rgb="FFFF0000"/>
      <name val="Calibri"/>
      <family val="2"/>
      <scheme val="minor"/>
    </font>
    <font>
      <b/>
      <sz val="11"/>
      <name val="AIGDT"/>
      <charset val="2"/>
    </font>
    <font>
      <sz val="9"/>
      <color rgb="FFFF0000"/>
      <name val="Calibri"/>
      <family val="2"/>
      <scheme val="minor"/>
    </font>
    <font>
      <b/>
      <sz val="8"/>
      <color indexed="8"/>
      <name val="Arial"/>
      <family val="2"/>
    </font>
    <font>
      <b/>
      <u/>
      <sz val="15"/>
      <name val="Arial"/>
      <family val="2"/>
    </font>
    <font>
      <b/>
      <i/>
      <u/>
      <sz val="10"/>
      <name val="Arial"/>
      <family val="2"/>
    </font>
    <font>
      <b/>
      <sz val="9"/>
      <name val="Arial"/>
      <family val="2"/>
    </font>
    <font>
      <b/>
      <i/>
      <sz val="10"/>
      <name val="Arial"/>
      <family val="2"/>
    </font>
    <font>
      <b/>
      <i/>
      <u/>
      <sz val="9"/>
      <name val="Arial"/>
      <family val="2"/>
    </font>
    <font>
      <b/>
      <sz val="11"/>
      <name val="Arial"/>
      <family val="2"/>
    </font>
    <font>
      <b/>
      <i/>
      <u/>
      <sz val="11"/>
      <name val="Arial"/>
      <family val="2"/>
    </font>
    <font>
      <sz val="11"/>
      <name val="Arial"/>
      <family val="2"/>
    </font>
    <font>
      <b/>
      <i/>
      <u/>
      <sz val="15"/>
      <name val="Times New Roman"/>
      <family val="1"/>
    </font>
    <font>
      <i/>
      <sz val="10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i/>
      <u/>
      <sz val="15.5"/>
      <name val="Times New Roman"/>
      <family val="1"/>
    </font>
    <font>
      <b/>
      <sz val="11"/>
      <color theme="9" tint="-0.499984740745262"/>
      <name val="Arial"/>
      <family val="2"/>
    </font>
    <font>
      <b/>
      <sz val="11"/>
      <color theme="7" tint="-0.499984740745262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1"/>
      <color theme="6" tint="-0.499984740745262"/>
      <name val="Arial"/>
      <family val="2"/>
    </font>
    <font>
      <b/>
      <i/>
      <sz val="9"/>
      <name val="Arial"/>
      <family val="2"/>
    </font>
    <font>
      <b/>
      <sz val="26"/>
      <color rgb="FFC00000"/>
      <name val="Arial"/>
      <family val="2"/>
    </font>
    <font>
      <b/>
      <sz val="15"/>
      <color theme="1" tint="0.249977111117893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i/>
      <sz val="8"/>
      <color rgb="FFC00000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i/>
      <sz val="10"/>
      <color theme="1" tint="0.34998626667073579"/>
      <name val="Arial"/>
      <family val="2"/>
    </font>
    <font>
      <i/>
      <sz val="8"/>
      <color theme="1" tint="0.34998626667073579"/>
      <name val="Arial"/>
      <family val="2"/>
    </font>
    <font>
      <b/>
      <sz val="10"/>
      <name val="GreekC"/>
    </font>
    <font>
      <b/>
      <u/>
      <sz val="11"/>
      <name val="Arial"/>
      <family val="2"/>
    </font>
    <font>
      <i/>
      <sz val="10"/>
      <color theme="0" tint="-0.249977111117893"/>
      <name val="Arial"/>
      <family val="2"/>
    </font>
    <font>
      <sz val="8"/>
      <color theme="5" tint="-0.249977111117893"/>
      <name val="Arial"/>
      <family val="2"/>
    </font>
    <font>
      <sz val="62"/>
      <name val="Arial Narrow"/>
      <family val="2"/>
    </font>
    <font>
      <b/>
      <sz val="10"/>
      <color theme="9" tint="-0.499984740745262"/>
      <name val="Arial"/>
      <family val="2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sz val="11"/>
      <color rgb="FFFF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rgb="FFC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0000"/>
      </top>
      <bottom style="thin">
        <color rgb="FFFF7C8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ck">
        <color rgb="FFC6EFCE"/>
      </left>
      <right/>
      <top/>
      <bottom/>
      <diagonal/>
    </border>
    <border>
      <left/>
      <right/>
      <top style="thick">
        <color rgb="FFC6EFCE"/>
      </top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thin">
        <color indexed="64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/>
      <right style="medium">
        <color theme="9" tint="-0.499984740745262"/>
      </right>
      <top/>
      <bottom style="thin">
        <color rgb="FFFF0000"/>
      </bottom>
      <diagonal/>
    </border>
    <border>
      <left/>
      <right style="medium">
        <color theme="9" tint="-0.499984740745262"/>
      </right>
      <top/>
      <bottom style="thin">
        <color indexed="64"/>
      </bottom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/>
      <right style="medium">
        <color theme="6" tint="-0.499984740745262"/>
      </right>
      <top/>
      <bottom style="thin">
        <color indexed="64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rgb="FFFFCC66"/>
      </left>
      <right/>
      <top style="medium">
        <color rgb="FFFFCC66"/>
      </top>
      <bottom/>
      <diagonal/>
    </border>
    <border>
      <left/>
      <right/>
      <top style="medium">
        <color rgb="FFFFCC66"/>
      </top>
      <bottom/>
      <diagonal/>
    </border>
    <border>
      <left/>
      <right style="medium">
        <color rgb="FFFFCC66"/>
      </right>
      <top style="medium">
        <color rgb="FFFFCC66"/>
      </top>
      <bottom/>
      <diagonal/>
    </border>
    <border>
      <left style="medium">
        <color rgb="FFFFCC66"/>
      </left>
      <right/>
      <top/>
      <bottom/>
      <diagonal/>
    </border>
    <border>
      <left/>
      <right style="medium">
        <color rgb="FFFFCC66"/>
      </right>
      <top/>
      <bottom/>
      <diagonal/>
    </border>
    <border>
      <left style="medium">
        <color rgb="FFFFCC66"/>
      </left>
      <right/>
      <top/>
      <bottom style="medium">
        <color rgb="FFFFCC66"/>
      </bottom>
      <diagonal/>
    </border>
    <border>
      <left/>
      <right/>
      <top/>
      <bottom style="medium">
        <color rgb="FFFFCC66"/>
      </bottom>
      <diagonal/>
    </border>
    <border>
      <left/>
      <right style="medium">
        <color rgb="FFFFCC66"/>
      </right>
      <top/>
      <bottom style="medium">
        <color rgb="FFFFCC66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19" fillId="9" borderId="14" applyNumberFormat="0" applyAlignment="0" applyProtection="0"/>
    <xf numFmtId="0" fontId="18" fillId="10" borderId="15" applyNumberFormat="0" applyFont="0" applyAlignment="0" applyProtection="0"/>
    <xf numFmtId="0" fontId="30" fillId="0" borderId="0"/>
    <xf numFmtId="164" fontId="18" fillId="0" borderId="0" applyFont="0" applyFill="0" applyBorder="0" applyAlignment="0" applyProtection="0"/>
  </cellStyleXfs>
  <cellXfs count="49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6" fillId="3" borderId="0" xfId="4" applyAlignment="1">
      <alignment horizontal="center" vertical="center"/>
    </xf>
    <xf numFmtId="0" fontId="7" fillId="4" borderId="0" xfId="5" applyAlignment="1" applyProtection="1">
      <alignment horizontal="center" vertical="center"/>
      <protection hidden="1"/>
    </xf>
    <xf numFmtId="0" fontId="6" fillId="3" borderId="0" xfId="4" applyAlignment="1" applyProtection="1">
      <alignment horizontal="center"/>
      <protection hidden="1"/>
    </xf>
    <xf numFmtId="0" fontId="7" fillId="4" borderId="0" xfId="5" applyAlignment="1" applyProtection="1">
      <alignment horizontal="center"/>
      <protection hidden="1"/>
    </xf>
    <xf numFmtId="0" fontId="3" fillId="6" borderId="0" xfId="0" applyFont="1" applyFill="1" applyAlignment="1">
      <alignment horizontal="center"/>
    </xf>
    <xf numFmtId="0" fontId="4" fillId="6" borderId="0" xfId="2" applyFill="1" applyAlignment="1" applyProtection="1">
      <alignment horizontal="center"/>
      <protection hidden="1"/>
    </xf>
    <xf numFmtId="0" fontId="8" fillId="6" borderId="0" xfId="2" applyFont="1" applyFill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/>
      <protection locked="0"/>
    </xf>
    <xf numFmtId="0" fontId="9" fillId="7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" fillId="2" borderId="0" xfId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22" fontId="12" fillId="5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 applyProtection="1">
      <protection hidden="1"/>
    </xf>
    <xf numFmtId="0" fontId="0" fillId="0" borderId="0" xfId="0" applyBorder="1"/>
    <xf numFmtId="0" fontId="0" fillId="0" borderId="7" xfId="0" applyBorder="1" applyProtection="1">
      <protection hidden="1"/>
    </xf>
    <xf numFmtId="0" fontId="0" fillId="0" borderId="8" xfId="0" applyBorder="1"/>
    <xf numFmtId="0" fontId="0" fillId="0" borderId="3" xfId="0" applyBorder="1"/>
    <xf numFmtId="0" fontId="0" fillId="0" borderId="9" xfId="0" applyBorder="1" applyProtection="1">
      <protection hidden="1"/>
    </xf>
    <xf numFmtId="0" fontId="13" fillId="0" borderId="3" xfId="0" applyFont="1" applyBorder="1" applyAlignment="1">
      <alignment horizontal="center"/>
    </xf>
    <xf numFmtId="0" fontId="3" fillId="0" borderId="3" xfId="0" applyFont="1" applyBorder="1" applyAlignment="1" applyProtection="1">
      <alignment horizontal="center"/>
      <protection locked="0"/>
    </xf>
    <xf numFmtId="0" fontId="0" fillId="8" borderId="0" xfId="0" applyFill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0" fontId="0" fillId="8" borderId="7" xfId="0" applyFill="1" applyBorder="1" applyProtection="1"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0" borderId="7" xfId="0" applyBorder="1"/>
    <xf numFmtId="0" fontId="14" fillId="0" borderId="0" xfId="0" applyFont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15" fillId="5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center"/>
    </xf>
    <xf numFmtId="0" fontId="9" fillId="0" borderId="11" xfId="0" applyFont="1" applyBorder="1" applyAlignment="1" applyProtection="1">
      <alignment horizontal="center" vertical="center"/>
      <protection locked="0"/>
    </xf>
    <xf numFmtId="0" fontId="7" fillId="4" borderId="12" xfId="5" applyBorder="1" applyAlignment="1">
      <alignment horizontal="center" vertical="center"/>
    </xf>
    <xf numFmtId="0" fontId="0" fillId="0" borderId="0" xfId="0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11" borderId="0" xfId="0" applyFill="1"/>
    <xf numFmtId="0" fontId="0" fillId="11" borderId="0" xfId="0" applyFill="1" applyAlignment="1"/>
    <xf numFmtId="0" fontId="7" fillId="4" borderId="0" xfId="5" applyAlignment="1">
      <alignment horizontal="center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1" fontId="0" fillId="10" borderId="15" xfId="7" applyNumberFormat="1" applyFont="1"/>
    <xf numFmtId="0" fontId="21" fillId="0" borderId="0" xfId="0" applyFont="1"/>
    <xf numFmtId="0" fontId="22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23" fillId="0" borderId="0" xfId="0" applyFont="1" applyAlignment="1">
      <alignment horizontal="center"/>
    </xf>
    <xf numFmtId="1" fontId="24" fillId="10" borderId="15" xfId="7" applyNumberFormat="1" applyFont="1" applyAlignment="1">
      <alignment horizontal="center"/>
    </xf>
    <xf numFmtId="0" fontId="17" fillId="0" borderId="0" xfId="0" applyFont="1"/>
    <xf numFmtId="0" fontId="0" fillId="0" borderId="0" xfId="0" applyAlignment="1" applyProtection="1">
      <alignment horizontal="left"/>
      <protection hidden="1"/>
    </xf>
    <xf numFmtId="0" fontId="26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/>
    </xf>
    <xf numFmtId="0" fontId="25" fillId="0" borderId="20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6" fillId="0" borderId="23" xfId="0" applyFont="1" applyBorder="1" applyAlignment="1">
      <alignment horizontal="left"/>
    </xf>
    <xf numFmtId="2" fontId="19" fillId="9" borderId="14" xfId="6" applyNumberFormat="1" applyProtection="1">
      <protection locked="0"/>
    </xf>
    <xf numFmtId="0" fontId="0" fillId="0" borderId="0" xfId="0" applyProtection="1"/>
    <xf numFmtId="0" fontId="0" fillId="0" borderId="0" xfId="0" quotePrefix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0" fontId="0" fillId="0" borderId="0" xfId="0" applyAlignment="1" applyProtection="1">
      <alignment horizontal="center"/>
      <protection locked="0"/>
    </xf>
    <xf numFmtId="168" fontId="0" fillId="0" borderId="0" xfId="0" applyNumberFormat="1"/>
    <xf numFmtId="0" fontId="28" fillId="12" borderId="0" xfId="0" applyFont="1" applyFill="1"/>
    <xf numFmtId="0" fontId="0" fillId="12" borderId="0" xfId="0" applyFill="1"/>
    <xf numFmtId="0" fontId="0" fillId="12" borderId="25" xfId="0" applyFill="1" applyBorder="1"/>
    <xf numFmtId="0" fontId="3" fillId="12" borderId="0" xfId="0" applyFont="1" applyFill="1" applyAlignment="1">
      <alignment horizontal="center"/>
    </xf>
    <xf numFmtId="0" fontId="13" fillId="0" borderId="0" xfId="0" applyFont="1"/>
    <xf numFmtId="0" fontId="0" fillId="0" borderId="5" xfId="0" applyBorder="1" applyAlignment="1" applyProtection="1">
      <alignment horizontal="center"/>
      <protection hidden="1"/>
    </xf>
    <xf numFmtId="0" fontId="0" fillId="0" borderId="0" xfId="0" applyFont="1" applyProtection="1">
      <protection locked="0"/>
    </xf>
    <xf numFmtId="0" fontId="0" fillId="12" borderId="0" xfId="0" applyFill="1" applyProtection="1"/>
    <xf numFmtId="0" fontId="3" fillId="12" borderId="25" xfId="0" applyFont="1" applyFill="1" applyBorder="1" applyProtection="1">
      <protection hidden="1"/>
    </xf>
    <xf numFmtId="0" fontId="30" fillId="0" borderId="0" xfId="8"/>
    <xf numFmtId="0" fontId="30" fillId="0" borderId="0" xfId="8" applyAlignment="1">
      <alignment horizontal="center"/>
    </xf>
    <xf numFmtId="0" fontId="30" fillId="0" borderId="0" xfId="8" applyProtection="1">
      <protection hidden="1"/>
    </xf>
    <xf numFmtId="0" fontId="30" fillId="0" borderId="0" xfId="8" applyBorder="1"/>
    <xf numFmtId="0" fontId="30" fillId="0" borderId="0" xfId="8" applyFont="1"/>
    <xf numFmtId="167" fontId="30" fillId="0" borderId="0" xfId="8" applyNumberFormat="1" applyProtection="1">
      <protection hidden="1"/>
    </xf>
    <xf numFmtId="167" fontId="30" fillId="0" borderId="0" xfId="8" applyNumberFormat="1" applyProtection="1">
      <protection locked="0"/>
    </xf>
    <xf numFmtId="0" fontId="30" fillId="0" borderId="0" xfId="8" applyAlignment="1" applyProtection="1">
      <alignment horizontal="center"/>
      <protection hidden="1"/>
    </xf>
    <xf numFmtId="166" fontId="30" fillId="0" borderId="0" xfId="8" applyNumberFormat="1" applyAlignment="1" applyProtection="1">
      <alignment horizontal="center"/>
      <protection hidden="1"/>
    </xf>
    <xf numFmtId="0" fontId="30" fillId="0" borderId="0" xfId="8" applyNumberFormat="1" applyAlignment="1" applyProtection="1">
      <alignment horizontal="center"/>
      <protection hidden="1"/>
    </xf>
    <xf numFmtId="167" fontId="30" fillId="0" borderId="0" xfId="8" applyNumberFormat="1" applyAlignment="1" applyProtection="1">
      <alignment horizontal="center"/>
      <protection hidden="1"/>
    </xf>
    <xf numFmtId="0" fontId="35" fillId="0" borderId="0" xfId="8" applyFont="1" applyAlignment="1" applyProtection="1">
      <alignment horizontal="center"/>
      <protection hidden="1"/>
    </xf>
    <xf numFmtId="0" fontId="30" fillId="0" borderId="0" xfId="8" applyNumberFormat="1" applyProtection="1">
      <protection hidden="1"/>
    </xf>
    <xf numFmtId="0" fontId="33" fillId="0" borderId="0" xfId="8" applyNumberFormat="1" applyFont="1" applyProtection="1">
      <protection hidden="1"/>
    </xf>
    <xf numFmtId="167" fontId="35" fillId="0" borderId="0" xfId="8" applyNumberFormat="1" applyFont="1" applyAlignment="1" applyProtection="1">
      <alignment horizontal="center"/>
      <protection hidden="1"/>
    </xf>
    <xf numFmtId="0" fontId="33" fillId="0" borderId="0" xfId="8" quotePrefix="1" applyNumberFormat="1" applyFont="1" applyProtection="1">
      <protection hidden="1"/>
    </xf>
    <xf numFmtId="22" fontId="37" fillId="0" borderId="0" xfId="8" applyNumberFormat="1" applyFont="1" applyAlignment="1" applyProtection="1">
      <alignment horizontal="center"/>
      <protection hidden="1"/>
    </xf>
    <xf numFmtId="22" fontId="37" fillId="0" borderId="0" xfId="8" applyNumberFormat="1" applyFont="1" applyAlignment="1" applyProtection="1">
      <alignment horizontal="left" vertical="top"/>
      <protection hidden="1"/>
    </xf>
    <xf numFmtId="0" fontId="38" fillId="0" borderId="0" xfId="8" applyNumberFormat="1" applyFont="1" applyAlignment="1" applyProtection="1">
      <alignment horizontal="center" vertical="top"/>
      <protection hidden="1"/>
    </xf>
    <xf numFmtId="0" fontId="33" fillId="0" borderId="26" xfId="8" applyFont="1" applyBorder="1" applyAlignment="1" applyProtection="1">
      <alignment horizontal="center" vertical="top"/>
      <protection hidden="1"/>
    </xf>
    <xf numFmtId="167" fontId="33" fillId="0" borderId="26" xfId="8" applyNumberFormat="1" applyFont="1" applyBorder="1" applyAlignment="1" applyProtection="1">
      <alignment horizontal="right"/>
      <protection hidden="1"/>
    </xf>
    <xf numFmtId="0" fontId="33" fillId="0" borderId="26" xfId="8" applyFont="1" applyBorder="1" applyAlignment="1" applyProtection="1">
      <alignment horizontal="center" vertical="center"/>
      <protection hidden="1"/>
    </xf>
    <xf numFmtId="0" fontId="33" fillId="0" borderId="26" xfId="8" applyFont="1" applyBorder="1" applyAlignment="1" applyProtection="1">
      <alignment horizontal="center"/>
      <protection hidden="1"/>
    </xf>
    <xf numFmtId="166" fontId="33" fillId="0" borderId="26" xfId="8" applyNumberFormat="1" applyFont="1" applyBorder="1" applyAlignment="1" applyProtection="1">
      <alignment horizontal="center"/>
      <protection hidden="1"/>
    </xf>
    <xf numFmtId="0" fontId="33" fillId="0" borderId="0" xfId="8" applyNumberFormat="1" applyFont="1" applyBorder="1" applyAlignment="1" applyProtection="1">
      <alignment horizontal="center"/>
      <protection hidden="1"/>
    </xf>
    <xf numFmtId="0" fontId="33" fillId="0" borderId="26" xfId="8" applyNumberFormat="1" applyFont="1" applyBorder="1" applyAlignment="1" applyProtection="1">
      <alignment horizontal="center"/>
      <protection hidden="1"/>
    </xf>
    <xf numFmtId="0" fontId="33" fillId="0" borderId="0" xfId="8" applyFont="1" applyBorder="1" applyAlignment="1" applyProtection="1">
      <alignment horizontal="center"/>
      <protection hidden="1"/>
    </xf>
    <xf numFmtId="166" fontId="30" fillId="0" borderId="5" xfId="8" applyNumberFormat="1" applyBorder="1" applyAlignment="1" applyProtection="1">
      <alignment horizontal="center"/>
      <protection hidden="1"/>
    </xf>
    <xf numFmtId="0" fontId="30" fillId="0" borderId="27" xfId="8" applyNumberFormat="1" applyBorder="1" applyAlignment="1" applyProtection="1">
      <alignment horizontal="center"/>
      <protection hidden="1"/>
    </xf>
    <xf numFmtId="166" fontId="30" fillId="0" borderId="0" xfId="8" applyNumberFormat="1" applyBorder="1" applyAlignment="1" applyProtection="1">
      <alignment horizontal="center"/>
      <protection hidden="1"/>
    </xf>
    <xf numFmtId="0" fontId="30" fillId="0" borderId="0" xfId="8" applyNumberFormat="1" applyBorder="1" applyAlignment="1" applyProtection="1">
      <alignment horizontal="center"/>
      <protection hidden="1"/>
    </xf>
    <xf numFmtId="0" fontId="30" fillId="0" borderId="0" xfId="8" applyBorder="1" applyAlignment="1" applyProtection="1">
      <alignment horizontal="center"/>
      <protection hidden="1"/>
    </xf>
    <xf numFmtId="167" fontId="30" fillId="0" borderId="0" xfId="8" applyNumberFormat="1" applyFont="1" applyBorder="1" applyAlignment="1" applyProtection="1">
      <alignment horizontal="center"/>
      <protection hidden="1"/>
    </xf>
    <xf numFmtId="166" fontId="30" fillId="0" borderId="0" xfId="8" applyNumberFormat="1" applyFont="1" applyBorder="1" applyAlignment="1" applyProtection="1">
      <alignment horizontal="center"/>
      <protection hidden="1"/>
    </xf>
    <xf numFmtId="167" fontId="30" fillId="0" borderId="0" xfId="8" applyNumberFormat="1" applyBorder="1" applyAlignment="1" applyProtection="1">
      <alignment horizontal="center"/>
      <protection hidden="1"/>
    </xf>
    <xf numFmtId="166" fontId="30" fillId="0" borderId="0" xfId="8" applyNumberFormat="1" applyAlignment="1">
      <alignment horizontal="center"/>
    </xf>
    <xf numFmtId="0" fontId="30" fillId="0" borderId="0" xfId="8" applyNumberFormat="1" applyAlignment="1">
      <alignment horizontal="center"/>
    </xf>
    <xf numFmtId="0" fontId="0" fillId="0" borderId="0" xfId="0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0" xfId="0" quotePrefix="1" applyFont="1" applyAlignment="1">
      <alignment horizontal="right"/>
    </xf>
    <xf numFmtId="0" fontId="0" fillId="0" borderId="0" xfId="0" applyProtection="1">
      <protection locked="0"/>
    </xf>
    <xf numFmtId="0" fontId="41" fillId="0" borderId="0" xfId="0" applyFont="1" applyAlignment="1" applyProtection="1">
      <alignment horizontal="center"/>
      <protection hidden="1"/>
    </xf>
    <xf numFmtId="0" fontId="0" fillId="0" borderId="3" xfId="0" applyBorder="1" applyProtection="1">
      <protection locked="0"/>
    </xf>
    <xf numFmtId="0" fontId="3" fillId="0" borderId="0" xfId="0" applyFont="1" applyProtection="1"/>
    <xf numFmtId="166" fontId="0" fillId="0" borderId="0" xfId="0" applyNumberFormat="1" applyAlignment="1" applyProtection="1">
      <alignment horizontal="left"/>
      <protection hidden="1"/>
    </xf>
    <xf numFmtId="166" fontId="0" fillId="0" borderId="0" xfId="0" applyNumberFormat="1" applyAlignment="1" applyProtection="1">
      <alignment horizontal="center"/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0" fontId="0" fillId="11" borderId="0" xfId="0" applyFill="1" applyAlignment="1">
      <alignment horizontal="center"/>
    </xf>
    <xf numFmtId="22" fontId="43" fillId="0" borderId="0" xfId="0" applyNumberFormat="1" applyFont="1" applyAlignment="1" applyProtection="1">
      <alignment horizontal="left"/>
      <protection hidden="1"/>
    </xf>
    <xf numFmtId="165" fontId="24" fillId="10" borderId="15" xfId="7" applyNumberFormat="1" applyFont="1" applyAlignment="1">
      <alignment horizontal="center"/>
    </xf>
    <xf numFmtId="0" fontId="0" fillId="0" borderId="0" xfId="0" applyAlignment="1" applyProtection="1">
      <alignment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>
      <alignment wrapText="1"/>
    </xf>
    <xf numFmtId="167" fontId="0" fillId="0" borderId="0" xfId="0" applyNumberFormat="1" applyAlignment="1" applyProtection="1">
      <alignment horizontal="left"/>
      <protection hidden="1"/>
    </xf>
    <xf numFmtId="2" fontId="19" fillId="9" borderId="14" xfId="6" applyNumberFormat="1" applyAlignment="1" applyProtection="1">
      <alignment horizontal="right"/>
      <protection locked="0"/>
    </xf>
    <xf numFmtId="169" fontId="19" fillId="9" borderId="14" xfId="6" applyNumberFormat="1" applyProtection="1">
      <protection locked="0"/>
    </xf>
    <xf numFmtId="0" fontId="0" fillId="11" borderId="0" xfId="0" applyFill="1" applyProtection="1">
      <protection hidden="1"/>
    </xf>
    <xf numFmtId="0" fontId="0" fillId="11" borderId="28" xfId="0" applyFill="1" applyBorder="1" applyProtection="1">
      <protection hidden="1"/>
    </xf>
    <xf numFmtId="0" fontId="0" fillId="11" borderId="12" xfId="0" applyFill="1" applyBorder="1"/>
    <xf numFmtId="0" fontId="0" fillId="11" borderId="29" xfId="0" applyFill="1" applyBorder="1"/>
    <xf numFmtId="0" fontId="0" fillId="14" borderId="1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44" fillId="0" borderId="0" xfId="0" applyFont="1" applyAlignment="1" applyProtection="1">
      <alignment horizontal="right"/>
      <protection hidden="1"/>
    </xf>
    <xf numFmtId="22" fontId="12" fillId="15" borderId="0" xfId="0" applyNumberFormat="1" applyFont="1" applyFill="1" applyAlignment="1">
      <alignment horizontal="left" vertical="center"/>
    </xf>
    <xf numFmtId="0" fontId="15" fillId="15" borderId="0" xfId="0" applyFont="1" applyFill="1" applyAlignment="1">
      <alignment horizontal="left" vertical="center"/>
    </xf>
    <xf numFmtId="0" fontId="16" fillId="15" borderId="0" xfId="0" applyFont="1" applyFill="1" applyAlignment="1">
      <alignment horizontal="center"/>
    </xf>
    <xf numFmtId="0" fontId="41" fillId="15" borderId="0" xfId="0" applyFont="1" applyFill="1" applyAlignment="1" applyProtection="1">
      <alignment horizontal="center"/>
      <protection hidden="1"/>
    </xf>
    <xf numFmtId="0" fontId="0" fillId="15" borderId="0" xfId="0" applyFill="1" applyProtection="1">
      <protection locked="0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ont="1" applyFill="1" applyProtection="1">
      <protection locked="0"/>
    </xf>
    <xf numFmtId="0" fontId="6" fillId="15" borderId="0" xfId="4" applyFill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6" fillId="15" borderId="0" xfId="4" applyFill="1" applyAlignment="1" applyProtection="1">
      <alignment horizontal="center"/>
      <protection hidden="1"/>
    </xf>
    <xf numFmtId="0" fontId="17" fillId="15" borderId="0" xfId="0" applyFont="1" applyFill="1"/>
    <xf numFmtId="0" fontId="13" fillId="15" borderId="0" xfId="0" applyFont="1" applyFill="1"/>
    <xf numFmtId="0" fontId="2" fillId="15" borderId="0" xfId="1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45" fillId="15" borderId="0" xfId="0" applyFont="1" applyFill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/>
      <protection hidden="1"/>
    </xf>
    <xf numFmtId="0" fontId="0" fillId="15" borderId="1" xfId="0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/>
      <protection hidden="1"/>
    </xf>
    <xf numFmtId="0" fontId="7" fillId="15" borderId="0" xfId="5" applyFill="1" applyAlignment="1" applyProtection="1">
      <alignment horizontal="center"/>
      <protection hidden="1"/>
    </xf>
    <xf numFmtId="0" fontId="28" fillId="15" borderId="0" xfId="0" applyFont="1" applyFill="1"/>
    <xf numFmtId="0" fontId="7" fillId="15" borderId="0" xfId="5" applyFill="1" applyAlignment="1" applyProtection="1">
      <alignment horizontal="center" vertical="center"/>
      <protection hidden="1"/>
    </xf>
    <xf numFmtId="0" fontId="9" fillId="15" borderId="1" xfId="0" applyFont="1" applyFill="1" applyBorder="1" applyAlignment="1" applyProtection="1">
      <alignment horizontal="center"/>
      <protection hidden="1"/>
    </xf>
    <xf numFmtId="0" fontId="9" fillId="15" borderId="1" xfId="0" applyFont="1" applyFill="1" applyBorder="1" applyAlignment="1" applyProtection="1">
      <alignment horizontal="center" vertical="center"/>
      <protection hidden="1"/>
    </xf>
    <xf numFmtId="0" fontId="0" fillId="15" borderId="0" xfId="0" quotePrefix="1" applyFill="1" applyAlignment="1" applyProtection="1">
      <alignment horizontal="center"/>
      <protection hidden="1"/>
    </xf>
    <xf numFmtId="0" fontId="0" fillId="15" borderId="0" xfId="0" applyFill="1" applyProtection="1"/>
    <xf numFmtId="0" fontId="3" fillId="15" borderId="25" xfId="0" applyFont="1" applyFill="1" applyBorder="1" applyProtection="1">
      <protection hidden="1"/>
    </xf>
    <xf numFmtId="0" fontId="7" fillId="15" borderId="12" xfId="5" applyFill="1" applyBorder="1" applyAlignment="1">
      <alignment horizontal="center" vertical="center"/>
    </xf>
    <xf numFmtId="0" fontId="4" fillId="15" borderId="0" xfId="2" applyFill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 vertical="center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5" xfId="0" applyFill="1" applyBorder="1" applyAlignment="1" applyProtection="1">
      <alignment horizontal="center"/>
      <protection hidden="1"/>
    </xf>
    <xf numFmtId="0" fontId="0" fillId="15" borderId="0" xfId="0" applyFill="1" applyProtection="1">
      <protection hidden="1"/>
    </xf>
    <xf numFmtId="0" fontId="3" fillId="15" borderId="0" xfId="0" quotePrefix="1" applyFont="1" applyFill="1" applyAlignment="1">
      <alignment horizontal="right"/>
    </xf>
    <xf numFmtId="0" fontId="3" fillId="15" borderId="0" xfId="0" applyFont="1" applyFill="1" applyAlignment="1" applyProtection="1">
      <alignment horizontal="center"/>
      <protection hidden="1"/>
    </xf>
    <xf numFmtId="0" fontId="0" fillId="15" borderId="0" xfId="0" applyFill="1" applyAlignment="1">
      <alignment horizontal="right"/>
    </xf>
    <xf numFmtId="0" fontId="0" fillId="15" borderId="5" xfId="0" applyFill="1" applyBorder="1"/>
    <xf numFmtId="0" fontId="0" fillId="15" borderId="0" xfId="0" applyFill="1" applyAlignment="1" applyProtection="1">
      <alignment horizontal="left"/>
      <protection hidden="1"/>
    </xf>
    <xf numFmtId="167" fontId="0" fillId="15" borderId="0" xfId="0" applyNumberFormat="1" applyFill="1" applyAlignment="1" applyProtection="1">
      <alignment horizontal="left"/>
      <protection hidden="1"/>
    </xf>
    <xf numFmtId="166" fontId="0" fillId="15" borderId="0" xfId="0" applyNumberFormat="1" applyFill="1" applyAlignment="1" applyProtection="1">
      <alignment horizontal="center"/>
      <protection hidden="1"/>
    </xf>
    <xf numFmtId="166" fontId="0" fillId="15" borderId="0" xfId="0" applyNumberFormat="1" applyFill="1" applyAlignment="1" applyProtection="1">
      <alignment horizontal="left"/>
      <protection hidden="1"/>
    </xf>
    <xf numFmtId="167" fontId="0" fillId="15" borderId="0" xfId="0" applyNumberFormat="1" applyFill="1" applyAlignment="1" applyProtection="1">
      <alignment horizontal="center" vertical="center"/>
      <protection hidden="1"/>
    </xf>
    <xf numFmtId="0" fontId="26" fillId="15" borderId="17" xfId="0" applyFont="1" applyFill="1" applyBorder="1" applyAlignment="1">
      <alignment horizontal="left" vertical="center"/>
    </xf>
    <xf numFmtId="0" fontId="26" fillId="15" borderId="18" xfId="0" applyFont="1" applyFill="1" applyBorder="1" applyAlignment="1">
      <alignment horizontal="center" vertical="center"/>
    </xf>
    <xf numFmtId="0" fontId="26" fillId="15" borderId="18" xfId="0" applyFont="1" applyFill="1" applyBorder="1" applyAlignment="1">
      <alignment horizontal="center"/>
    </xf>
    <xf numFmtId="0" fontId="25" fillId="15" borderId="19" xfId="0" applyFont="1" applyFill="1" applyBorder="1" applyAlignment="1" applyProtection="1">
      <alignment horizontal="center"/>
      <protection hidden="1"/>
    </xf>
    <xf numFmtId="0" fontId="25" fillId="15" borderId="20" xfId="0" applyFont="1" applyFill="1" applyBorder="1" applyAlignment="1">
      <alignment horizontal="left" vertical="center"/>
    </xf>
    <xf numFmtId="0" fontId="25" fillId="15" borderId="0" xfId="0" applyFont="1" applyFill="1" applyBorder="1" applyAlignment="1">
      <alignment horizontal="left" vertical="center"/>
    </xf>
    <xf numFmtId="0" fontId="25" fillId="15" borderId="21" xfId="0" applyFont="1" applyFill="1" applyBorder="1" applyAlignment="1" applyProtection="1">
      <alignment horizontal="left"/>
      <protection hidden="1"/>
    </xf>
    <xf numFmtId="0" fontId="3" fillId="15" borderId="0" xfId="0" applyFont="1" applyFill="1" applyProtection="1"/>
    <xf numFmtId="0" fontId="3" fillId="15" borderId="0" xfId="0" applyFont="1" applyFill="1" applyProtection="1">
      <protection hidden="1"/>
    </xf>
    <xf numFmtId="0" fontId="25" fillId="15" borderId="22" xfId="0" applyFont="1" applyFill="1" applyBorder="1" applyAlignment="1">
      <alignment horizontal="left" vertical="center"/>
    </xf>
    <xf numFmtId="0" fontId="25" fillId="15" borderId="23" xfId="0" applyFont="1" applyFill="1" applyBorder="1" applyAlignment="1">
      <alignment horizontal="left" vertical="center"/>
    </xf>
    <xf numFmtId="0" fontId="26" fillId="15" borderId="23" xfId="0" applyFont="1" applyFill="1" applyBorder="1" applyAlignment="1">
      <alignment horizontal="left"/>
    </xf>
    <xf numFmtId="0" fontId="25" fillId="15" borderId="24" xfId="0" applyFont="1" applyFill="1" applyBorder="1" applyAlignment="1" applyProtection="1">
      <alignment horizontal="left"/>
      <protection hidden="1"/>
    </xf>
    <xf numFmtId="0" fontId="0" fillId="15" borderId="0" xfId="0" applyFill="1" applyAlignment="1" applyProtection="1">
      <alignment horizontal="left" vertical="center"/>
      <protection hidden="1"/>
    </xf>
    <xf numFmtId="0" fontId="3" fillId="15" borderId="0" xfId="0" applyFont="1" applyFill="1" applyAlignment="1" applyProtection="1">
      <alignment horizontal="left"/>
      <protection hidden="1"/>
    </xf>
    <xf numFmtId="0" fontId="0" fillId="15" borderId="0" xfId="0" quotePrefix="1" applyFill="1"/>
    <xf numFmtId="168" fontId="0" fillId="15" borderId="0" xfId="0" applyNumberFormat="1" applyFill="1"/>
    <xf numFmtId="0" fontId="0" fillId="15" borderId="0" xfId="0" applyNumberFormat="1" applyFill="1"/>
    <xf numFmtId="167" fontId="0" fillId="15" borderId="0" xfId="0" applyNumberFormat="1" applyFill="1"/>
    <xf numFmtId="166" fontId="0" fillId="15" borderId="0" xfId="0" applyNumberFormat="1" applyFill="1"/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1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3" xfId="0" applyFill="1" applyBorder="1" applyProtection="1">
      <protection locked="0"/>
    </xf>
    <xf numFmtId="0" fontId="0" fillId="15" borderId="0" xfId="0" applyFill="1" applyBorder="1"/>
    <xf numFmtId="0" fontId="0" fillId="0" borderId="1" xfId="0" applyFill="1" applyBorder="1" applyAlignment="1" applyProtection="1">
      <alignment horizontal="center"/>
      <protection locked="0"/>
    </xf>
    <xf numFmtId="0" fontId="46" fillId="15" borderId="0" xfId="0" applyFont="1" applyFill="1" applyAlignment="1">
      <alignment horizontal="center" vertical="center"/>
    </xf>
    <xf numFmtId="0" fontId="8" fillId="15" borderId="0" xfId="2" applyFont="1" applyFill="1" applyAlignment="1" applyProtection="1">
      <alignment horizontal="left"/>
      <protection hidden="1"/>
    </xf>
    <xf numFmtId="0" fontId="46" fillId="15" borderId="0" xfId="1" applyFont="1" applyFill="1" applyAlignment="1">
      <alignment horizontal="center" vertical="center"/>
    </xf>
    <xf numFmtId="0" fontId="3" fillId="0" borderId="1" xfId="0" applyFont="1" applyFill="1" applyBorder="1" applyAlignment="1" applyProtection="1">
      <alignment horizontal="center"/>
      <protection locked="0" hidden="1"/>
    </xf>
    <xf numFmtId="0" fontId="0" fillId="0" borderId="3" xfId="0" quotePrefix="1" applyBorder="1" applyAlignment="1" applyProtection="1">
      <alignment horizontal="center"/>
      <protection locked="0"/>
    </xf>
    <xf numFmtId="0" fontId="0" fillId="0" borderId="0" xfId="0" applyFill="1" applyProtection="1">
      <protection hidden="1"/>
    </xf>
    <xf numFmtId="0" fontId="47" fillId="0" borderId="0" xfId="0" applyFont="1" applyProtection="1">
      <protection hidden="1"/>
    </xf>
    <xf numFmtId="0" fontId="46" fillId="0" borderId="3" xfId="0" applyFont="1" applyBorder="1" applyAlignment="1" applyProtection="1">
      <alignment horizontal="center"/>
      <protection locked="0"/>
    </xf>
    <xf numFmtId="22" fontId="0" fillId="0" borderId="0" xfId="0" applyNumberFormat="1" applyProtection="1">
      <protection hidden="1"/>
    </xf>
    <xf numFmtId="0" fontId="48" fillId="0" borderId="3" xfId="0" applyFont="1" applyBorder="1" applyProtection="1">
      <protection hidden="1"/>
    </xf>
    <xf numFmtId="0" fontId="43" fillId="0" borderId="0" xfId="0" applyFont="1" applyProtection="1">
      <protection hidden="1"/>
    </xf>
    <xf numFmtId="0" fontId="0" fillId="0" borderId="30" xfId="0" applyBorder="1" applyAlignment="1" applyProtection="1">
      <alignment horizontal="center"/>
      <protection locked="0"/>
    </xf>
    <xf numFmtId="0" fontId="14" fillId="0" borderId="0" xfId="0" applyFont="1" applyProtection="1">
      <protection hidden="1"/>
    </xf>
    <xf numFmtId="0" fontId="13" fillId="0" borderId="0" xfId="0" applyFont="1" applyAlignment="1" applyProtection="1">
      <alignment horizontal="center"/>
      <protection hidden="1"/>
    </xf>
    <xf numFmtId="0" fontId="49" fillId="0" borderId="0" xfId="0" applyFont="1" applyAlignment="1" applyProtection="1">
      <alignment horizontal="center"/>
      <protection hidden="1"/>
    </xf>
    <xf numFmtId="49" fontId="0" fillId="0" borderId="3" xfId="0" applyNumberFormat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right"/>
      <protection hidden="1"/>
    </xf>
    <xf numFmtId="49" fontId="0" fillId="0" borderId="3" xfId="0" applyNumberFormat="1" applyBorder="1" applyAlignment="1" applyProtection="1">
      <alignment horizontal="center"/>
      <protection hidden="1"/>
    </xf>
    <xf numFmtId="49" fontId="0" fillId="0" borderId="0" xfId="0" applyNumberFormat="1" applyBorder="1" applyAlignment="1" applyProtection="1">
      <alignment horizontal="right"/>
      <protection locked="0"/>
    </xf>
    <xf numFmtId="49" fontId="50" fillId="0" borderId="0" xfId="0" applyNumberFormat="1" applyFont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50" fillId="0" borderId="0" xfId="0" applyNumberFormat="1" applyFont="1" applyAlignment="1" applyProtection="1">
      <alignment horizontal="left"/>
      <protection locked="0"/>
    </xf>
    <xf numFmtId="0" fontId="0" fillId="0" borderId="3" xfId="0" applyNumberFormat="1" applyBorder="1" applyAlignment="1" applyProtection="1">
      <alignment horizontal="right"/>
      <protection hidden="1"/>
    </xf>
    <xf numFmtId="166" fontId="0" fillId="0" borderId="3" xfId="0" applyNumberFormat="1" applyBorder="1" applyAlignment="1" applyProtection="1">
      <alignment horizontal="right"/>
      <protection hidden="1"/>
    </xf>
    <xf numFmtId="0" fontId="0" fillId="0" borderId="3" xfId="0" applyNumberForma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locked="0"/>
    </xf>
    <xf numFmtId="49" fontId="0" fillId="0" borderId="26" xfId="0" applyNumberFormat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0" xfId="0" applyFont="1" applyAlignment="1">
      <alignment vertical="center"/>
    </xf>
    <xf numFmtId="166" fontId="0" fillId="0" borderId="0" xfId="0" applyNumberFormat="1" applyProtection="1">
      <protection hidden="1"/>
    </xf>
    <xf numFmtId="0" fontId="0" fillId="0" borderId="13" xfId="0" applyBorder="1" applyProtection="1">
      <protection locked="0"/>
    </xf>
    <xf numFmtId="0" fontId="14" fillId="0" borderId="0" xfId="0" applyFont="1"/>
    <xf numFmtId="0" fontId="51" fillId="0" borderId="0" xfId="0" applyFont="1" applyAlignment="1">
      <alignment horizontal="right"/>
    </xf>
    <xf numFmtId="0" fontId="26" fillId="0" borderId="0" xfId="0" applyFont="1"/>
    <xf numFmtId="0" fontId="0" fillId="0" borderId="0" xfId="0" applyAlignment="1">
      <alignment horizontal="center" vertical="top"/>
    </xf>
    <xf numFmtId="0" fontId="24" fillId="0" borderId="0" xfId="0" applyFont="1"/>
    <xf numFmtId="0" fontId="25" fillId="0" borderId="0" xfId="0" applyFont="1"/>
    <xf numFmtId="0" fontId="0" fillId="0" borderId="0" xfId="0" applyAlignment="1">
      <alignment vertical="top"/>
    </xf>
    <xf numFmtId="0" fontId="0" fillId="0" borderId="26" xfId="0" applyBorder="1" applyAlignment="1" applyProtection="1">
      <alignment vertical="top"/>
      <protection hidden="1"/>
    </xf>
    <xf numFmtId="0" fontId="0" fillId="0" borderId="26" xfId="0" applyBorder="1" applyAlignment="1">
      <alignment vertical="top"/>
    </xf>
    <xf numFmtId="0" fontId="0" fillId="0" borderId="26" xfId="0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right"/>
      <protection hidden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2" xfId="0" applyBorder="1" applyAlignment="1">
      <alignment horizontal="right"/>
    </xf>
    <xf numFmtId="0" fontId="56" fillId="0" borderId="0" xfId="0" applyFont="1"/>
    <xf numFmtId="0" fontId="26" fillId="0" borderId="0" xfId="0" applyFont="1" applyAlignment="1">
      <alignment horizontal="right" vertical="top"/>
    </xf>
    <xf numFmtId="0" fontId="0" fillId="0" borderId="26" xfId="0" applyBorder="1" applyAlignment="1">
      <alignment horizontal="right"/>
    </xf>
    <xf numFmtId="0" fontId="0" fillId="0" borderId="26" xfId="0" applyBorder="1"/>
    <xf numFmtId="0" fontId="56" fillId="0" borderId="0" xfId="0" applyFont="1" applyAlignment="1">
      <alignment horizontal="center" vertical="center"/>
    </xf>
    <xf numFmtId="0" fontId="0" fillId="0" borderId="12" xfId="0" applyBorder="1"/>
    <xf numFmtId="0" fontId="59" fillId="0" borderId="0" xfId="0" applyFont="1" applyAlignment="1">
      <alignment horizontal="left" vertical="top"/>
    </xf>
    <xf numFmtId="0" fontId="56" fillId="0" borderId="0" xfId="0" applyFont="1" applyAlignment="1">
      <alignment horizontal="left" vertical="top"/>
    </xf>
    <xf numFmtId="166" fontId="0" fillId="0" borderId="26" xfId="0" applyNumberFormat="1" applyBorder="1" applyAlignment="1" applyProtection="1">
      <alignment horizontal="right"/>
      <protection hidden="1"/>
    </xf>
    <xf numFmtId="1" fontId="0" fillId="0" borderId="26" xfId="0" applyNumberFormat="1" applyBorder="1" applyAlignment="1" applyProtection="1">
      <alignment horizontal="right"/>
      <protection hidden="1"/>
    </xf>
    <xf numFmtId="0" fontId="15" fillId="0" borderId="7" xfId="0" applyFont="1" applyBorder="1" applyProtection="1">
      <protection locked="0"/>
    </xf>
    <xf numFmtId="0" fontId="0" fillId="0" borderId="31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10" xfId="0" applyBorder="1" applyProtection="1">
      <protection locked="0"/>
    </xf>
    <xf numFmtId="0" fontId="60" fillId="0" borderId="0" xfId="0" applyFont="1" applyProtection="1">
      <protection hidden="1"/>
    </xf>
    <xf numFmtId="0" fontId="25" fillId="0" borderId="18" xfId="0" applyFon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left"/>
      <protection hidden="1"/>
    </xf>
    <xf numFmtId="0" fontId="25" fillId="0" borderId="23" xfId="0" applyFont="1" applyBorder="1" applyAlignment="1" applyProtection="1">
      <alignment horizontal="left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0" xfId="0" applyBorder="1"/>
    <xf numFmtId="0" fontId="0" fillId="0" borderId="18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46" fillId="7" borderId="34" xfId="0" applyFont="1" applyFill="1" applyBorder="1" applyProtection="1">
      <protection locked="0"/>
    </xf>
    <xf numFmtId="0" fontId="0" fillId="0" borderId="33" xfId="0" applyBorder="1"/>
    <xf numFmtId="0" fontId="41" fillId="0" borderId="0" xfId="0" applyFont="1"/>
    <xf numFmtId="14" fontId="61" fillId="0" borderId="0" xfId="8" applyNumberFormat="1" applyFont="1" applyBorder="1"/>
    <xf numFmtId="0" fontId="30" fillId="0" borderId="23" xfId="8" applyBorder="1"/>
    <xf numFmtId="0" fontId="62" fillId="0" borderId="23" xfId="8" applyNumberFormat="1" applyFont="1" applyFill="1" applyBorder="1" applyAlignment="1" applyProtection="1">
      <alignment horizontal="center" vertical="top"/>
    </xf>
    <xf numFmtId="170" fontId="39" fillId="0" borderId="23" xfId="8" applyNumberFormat="1" applyFont="1" applyBorder="1" applyProtection="1">
      <protection hidden="1"/>
    </xf>
    <xf numFmtId="14" fontId="39" fillId="0" borderId="23" xfId="8" applyNumberFormat="1" applyFont="1" applyBorder="1"/>
    <xf numFmtId="0" fontId="30" fillId="0" borderId="17" xfId="8" applyBorder="1"/>
    <xf numFmtId="0" fontId="30" fillId="0" borderId="19" xfId="8" applyBorder="1"/>
    <xf numFmtId="0" fontId="63" fillId="0" borderId="20" xfId="8" applyNumberFormat="1" applyFont="1" applyFill="1" applyBorder="1" applyAlignment="1" applyProtection="1">
      <protection locked="0"/>
    </xf>
    <xf numFmtId="0" fontId="64" fillId="0" borderId="0" xfId="8" applyNumberFormat="1" applyFont="1" applyBorder="1" applyAlignment="1" applyProtection="1">
      <alignment horizontal="center"/>
      <protection hidden="1"/>
    </xf>
    <xf numFmtId="0" fontId="30" fillId="0" borderId="0" xfId="8" applyBorder="1" applyAlignment="1"/>
    <xf numFmtId="0" fontId="63" fillId="0" borderId="0" xfId="8" applyNumberFormat="1" applyFont="1" applyFill="1" applyBorder="1" applyAlignment="1" applyProtection="1">
      <alignment horizontal="center"/>
      <protection locked="0"/>
    </xf>
    <xf numFmtId="0" fontId="63" fillId="0" borderId="0" xfId="8" applyFont="1" applyBorder="1" applyAlignment="1" applyProtection="1">
      <protection locked="0"/>
    </xf>
    <xf numFmtId="0" fontId="30" fillId="0" borderId="21" xfId="8" applyBorder="1" applyAlignment="1"/>
    <xf numFmtId="0" fontId="30" fillId="0" borderId="0" xfId="8" applyAlignment="1"/>
    <xf numFmtId="0" fontId="63" fillId="0" borderId="0" xfId="8" applyNumberFormat="1" applyFont="1" applyFill="1" applyBorder="1" applyAlignment="1" applyProtection="1">
      <protection locked="0"/>
    </xf>
    <xf numFmtId="0" fontId="33" fillId="0" borderId="0" xfId="8" applyFont="1" applyBorder="1" applyAlignment="1" applyProtection="1">
      <alignment horizontal="left"/>
      <protection hidden="1"/>
    </xf>
    <xf numFmtId="0" fontId="66" fillId="0" borderId="20" xfId="8" applyNumberFormat="1" applyFont="1" applyFill="1" applyBorder="1" applyAlignment="1" applyProtection="1">
      <protection locked="0"/>
    </xf>
    <xf numFmtId="0" fontId="33" fillId="0" borderId="0" xfId="8" applyFont="1" applyBorder="1" applyAlignment="1">
      <alignment horizontal="center"/>
    </xf>
    <xf numFmtId="0" fontId="33" fillId="0" borderId="0" xfId="8" applyFont="1" applyBorder="1" applyAlignment="1">
      <alignment horizontal="left"/>
    </xf>
    <xf numFmtId="0" fontId="64" fillId="0" borderId="0" xfId="8" applyFont="1" applyBorder="1"/>
    <xf numFmtId="0" fontId="68" fillId="0" borderId="0" xfId="8" applyFont="1" applyBorder="1" applyProtection="1">
      <protection locked="0"/>
    </xf>
    <xf numFmtId="0" fontId="68" fillId="0" borderId="26" xfId="8" applyFont="1" applyBorder="1" applyProtection="1">
      <protection locked="0"/>
    </xf>
    <xf numFmtId="0" fontId="69" fillId="0" borderId="21" xfId="8" applyFont="1" applyBorder="1"/>
    <xf numFmtId="0" fontId="68" fillId="0" borderId="22" xfId="8" applyNumberFormat="1" applyFont="1" applyFill="1" applyBorder="1" applyAlignment="1" applyProtection="1">
      <protection locked="0"/>
    </xf>
    <xf numFmtId="0" fontId="33" fillId="0" borderId="23" xfId="8" applyFont="1" applyBorder="1" applyAlignment="1">
      <alignment horizontal="center"/>
    </xf>
    <xf numFmtId="0" fontId="30" fillId="0" borderId="23" xfId="8" applyBorder="1" applyAlignment="1"/>
    <xf numFmtId="0" fontId="68" fillId="0" borderId="23" xfId="8" applyNumberFormat="1" applyFont="1" applyFill="1" applyBorder="1" applyAlignment="1" applyProtection="1">
      <protection locked="0"/>
    </xf>
    <xf numFmtId="0" fontId="68" fillId="0" borderId="23" xfId="8" applyFont="1" applyBorder="1" applyAlignment="1" applyProtection="1">
      <protection locked="0"/>
    </xf>
    <xf numFmtId="0" fontId="68" fillId="0" borderId="23" xfId="8" applyFont="1" applyBorder="1" applyAlignment="1"/>
    <xf numFmtId="0" fontId="30" fillId="0" borderId="24" xfId="8" applyBorder="1" applyAlignment="1"/>
    <xf numFmtId="0" fontId="70" fillId="0" borderId="0" xfId="8" applyNumberFormat="1" applyFont="1" applyFill="1" applyBorder="1" applyAlignment="1" applyProtection="1">
      <alignment horizontal="center" vertical="top"/>
    </xf>
    <xf numFmtId="0" fontId="71" fillId="0" borderId="0" xfId="8" applyNumberFormat="1" applyFont="1" applyFill="1" applyBorder="1" applyAlignment="1" applyProtection="1">
      <alignment vertical="top"/>
    </xf>
    <xf numFmtId="167" fontId="30" fillId="0" borderId="26" xfId="8" applyNumberFormat="1" applyBorder="1" applyProtection="1">
      <protection locked="0"/>
    </xf>
    <xf numFmtId="0" fontId="30" fillId="0" borderId="0" xfId="8" applyBorder="1" applyProtection="1">
      <protection locked="0"/>
    </xf>
    <xf numFmtId="167" fontId="30" fillId="0" borderId="0" xfId="8" applyNumberFormat="1" applyBorder="1" applyProtection="1">
      <protection locked="0"/>
    </xf>
    <xf numFmtId="0" fontId="71" fillId="0" borderId="0" xfId="8" applyFont="1" applyBorder="1"/>
    <xf numFmtId="0" fontId="72" fillId="0" borderId="0" xfId="8" applyNumberFormat="1" applyFont="1" applyFill="1" applyBorder="1" applyAlignment="1" applyProtection="1">
      <alignment vertical="top"/>
    </xf>
    <xf numFmtId="0" fontId="71" fillId="0" borderId="0" xfId="8" applyFont="1"/>
    <xf numFmtId="167" fontId="30" fillId="0" borderId="26" xfId="8" applyNumberFormat="1" applyFont="1" applyBorder="1" applyAlignment="1" applyProtection="1">
      <alignment horizontal="right"/>
      <protection locked="0"/>
    </xf>
    <xf numFmtId="0" fontId="73" fillId="0" borderId="0" xfId="8" applyNumberFormat="1" applyFont="1" applyFill="1" applyBorder="1" applyAlignment="1" applyProtection="1">
      <alignment vertical="top"/>
    </xf>
    <xf numFmtId="0" fontId="72" fillId="0" borderId="0" xfId="8" applyFont="1"/>
    <xf numFmtId="0" fontId="72" fillId="0" borderId="0" xfId="8" applyFont="1" applyBorder="1"/>
    <xf numFmtId="0" fontId="30" fillId="0" borderId="0" xfId="8" applyNumberFormat="1" applyFont="1" applyFill="1" applyBorder="1" applyAlignment="1" applyProtection="1">
      <alignment vertical="top"/>
    </xf>
    <xf numFmtId="167" fontId="30" fillId="0" borderId="26" xfId="8" applyNumberFormat="1" applyFont="1" applyFill="1" applyBorder="1" applyAlignment="1" applyProtection="1">
      <alignment vertical="top"/>
      <protection locked="0"/>
    </xf>
    <xf numFmtId="0" fontId="30" fillId="0" borderId="0" xfId="8" applyNumberFormat="1" applyFont="1" applyFill="1" applyBorder="1" applyAlignment="1" applyProtection="1">
      <alignment vertical="top"/>
      <protection locked="0"/>
    </xf>
    <xf numFmtId="167" fontId="30" fillId="0" borderId="0" xfId="8" applyNumberFormat="1" applyFont="1" applyFill="1" applyBorder="1" applyAlignment="1" applyProtection="1">
      <alignment vertical="top"/>
      <protection locked="0"/>
    </xf>
    <xf numFmtId="0" fontId="30" fillId="0" borderId="0" xfId="8" applyProtection="1">
      <protection locked="0"/>
    </xf>
    <xf numFmtId="0" fontId="74" fillId="0" borderId="0" xfId="8" applyNumberFormat="1" applyFont="1" applyFill="1" applyBorder="1" applyAlignment="1" applyProtection="1">
      <alignment vertical="top"/>
    </xf>
    <xf numFmtId="0" fontId="30" fillId="0" borderId="26" xfId="8" applyBorder="1" applyProtection="1">
      <protection locked="0"/>
    </xf>
    <xf numFmtId="0" fontId="30" fillId="0" borderId="0" xfId="8" applyNumberFormat="1" applyFont="1" applyAlignment="1" applyProtection="1">
      <alignment horizontal="center"/>
      <protection hidden="1"/>
    </xf>
    <xf numFmtId="0" fontId="30" fillId="0" borderId="0" xfId="8" applyNumberFormat="1" applyFont="1" applyAlignment="1" applyProtection="1">
      <alignment horizontal="center"/>
      <protection locked="0"/>
    </xf>
    <xf numFmtId="0" fontId="30" fillId="0" borderId="0" xfId="8" applyNumberFormat="1" applyAlignment="1" applyProtection="1">
      <alignment horizontal="center"/>
      <protection locked="0"/>
    </xf>
    <xf numFmtId="167" fontId="30" fillId="17" borderId="26" xfId="8" applyNumberFormat="1" applyFill="1" applyBorder="1" applyAlignment="1" applyProtection="1">
      <alignment vertical="center"/>
      <protection hidden="1"/>
    </xf>
    <xf numFmtId="167" fontId="30" fillId="13" borderId="26" xfId="8" applyNumberFormat="1" applyFill="1" applyBorder="1" applyAlignment="1" applyProtection="1">
      <alignment vertical="center"/>
      <protection hidden="1"/>
    </xf>
    <xf numFmtId="167" fontId="30" fillId="5" borderId="26" xfId="8" applyNumberFormat="1" applyFill="1" applyBorder="1" applyAlignment="1" applyProtection="1">
      <alignment vertical="center"/>
      <protection hidden="1"/>
    </xf>
    <xf numFmtId="22" fontId="34" fillId="0" borderId="0" xfId="8" applyNumberFormat="1" applyFont="1" applyAlignment="1" applyProtection="1">
      <alignment vertical="center"/>
      <protection hidden="1"/>
    </xf>
    <xf numFmtId="0" fontId="30" fillId="0" borderId="26" xfId="8" applyBorder="1" applyAlignment="1" applyProtection="1">
      <alignment vertical="center"/>
      <protection hidden="1"/>
    </xf>
    <xf numFmtId="0" fontId="30" fillId="0" borderId="0" xfId="8" applyAlignment="1" applyProtection="1">
      <alignment vertical="center"/>
      <protection hidden="1"/>
    </xf>
    <xf numFmtId="2" fontId="30" fillId="0" borderId="0" xfId="8" applyNumberFormat="1" applyAlignment="1" applyProtection="1">
      <alignment vertical="center"/>
      <protection hidden="1"/>
    </xf>
    <xf numFmtId="0" fontId="30" fillId="0" borderId="0" xfId="8" applyBorder="1" applyAlignment="1" applyProtection="1">
      <alignment vertical="center"/>
      <protection hidden="1"/>
    </xf>
    <xf numFmtId="0" fontId="30" fillId="0" borderId="0" xfId="8" applyFont="1" applyAlignment="1" applyProtection="1">
      <alignment horizontal="right" vertical="center"/>
      <protection hidden="1"/>
    </xf>
    <xf numFmtId="167" fontId="30" fillId="13" borderId="40" xfId="8" applyNumberFormat="1" applyFill="1" applyBorder="1" applyAlignment="1" applyProtection="1">
      <alignment vertical="center"/>
      <protection hidden="1"/>
    </xf>
    <xf numFmtId="167" fontId="30" fillId="5" borderId="40" xfId="8" applyNumberFormat="1" applyFill="1" applyBorder="1" applyAlignment="1" applyProtection="1">
      <alignment vertical="center"/>
      <protection hidden="1"/>
    </xf>
    <xf numFmtId="167" fontId="30" fillId="17" borderId="50" xfId="8" applyNumberFormat="1" applyFill="1" applyBorder="1" applyAlignment="1" applyProtection="1">
      <alignment vertical="center"/>
      <protection hidden="1"/>
    </xf>
    <xf numFmtId="167" fontId="30" fillId="19" borderId="59" xfId="8" applyNumberFormat="1" applyFill="1" applyBorder="1" applyAlignment="1" applyProtection="1">
      <alignment vertical="center"/>
      <protection hidden="1"/>
    </xf>
    <xf numFmtId="167" fontId="30" fillId="0" borderId="59" xfId="8" applyNumberFormat="1" applyBorder="1" applyAlignment="1" applyProtection="1">
      <alignment vertical="center"/>
      <protection hidden="1"/>
    </xf>
    <xf numFmtId="167" fontId="30" fillId="0" borderId="58" xfId="8" applyNumberFormat="1" applyBorder="1" applyAlignment="1" applyProtection="1">
      <alignment vertical="center"/>
      <protection hidden="1"/>
    </xf>
    <xf numFmtId="0" fontId="85" fillId="0" borderId="0" xfId="8" applyFont="1" applyFill="1" applyBorder="1" applyAlignment="1" applyProtection="1">
      <alignment vertical="center"/>
      <protection hidden="1"/>
    </xf>
    <xf numFmtId="0" fontId="33" fillId="0" borderId="0" xfId="8" applyFont="1" applyBorder="1" applyAlignment="1" applyProtection="1">
      <alignment horizontal="center" vertical="center"/>
      <protection hidden="1"/>
    </xf>
    <xf numFmtId="0" fontId="30" fillId="0" borderId="0" xfId="8" applyBorder="1" applyProtection="1">
      <protection hidden="1"/>
    </xf>
    <xf numFmtId="0" fontId="36" fillId="0" borderId="0" xfId="8" applyFont="1" applyBorder="1" applyAlignment="1" applyProtection="1">
      <alignment horizontal="center"/>
      <protection hidden="1"/>
    </xf>
    <xf numFmtId="0" fontId="30" fillId="0" borderId="0" xfId="8" applyFont="1" applyBorder="1" applyAlignment="1" applyProtection="1">
      <alignment horizontal="center" vertical="center"/>
      <protection hidden="1"/>
    </xf>
    <xf numFmtId="0" fontId="64" fillId="0" borderId="27" xfId="8" applyFont="1" applyBorder="1" applyAlignment="1" applyProtection="1">
      <alignment horizontal="center"/>
      <protection hidden="1"/>
    </xf>
    <xf numFmtId="0" fontId="86" fillId="0" borderId="26" xfId="8" applyFont="1" applyBorder="1" applyAlignment="1" applyProtection="1">
      <alignment horizontal="center" vertical="center"/>
      <protection hidden="1"/>
    </xf>
    <xf numFmtId="167" fontId="30" fillId="0" borderId="0" xfId="8" applyNumberFormat="1" applyAlignment="1" applyProtection="1">
      <alignment vertical="center"/>
      <protection hidden="1"/>
    </xf>
    <xf numFmtId="0" fontId="33" fillId="0" borderId="0" xfId="8" applyFont="1" applyAlignment="1" applyProtection="1">
      <alignment horizontal="right" vertical="center"/>
      <protection hidden="1"/>
    </xf>
    <xf numFmtId="0" fontId="33" fillId="21" borderId="26" xfId="8" applyFont="1" applyFill="1" applyBorder="1" applyAlignment="1" applyProtection="1">
      <alignment vertical="center"/>
      <protection hidden="1"/>
    </xf>
    <xf numFmtId="0" fontId="33" fillId="0" borderId="0" xfId="8" applyFont="1" applyAlignment="1" applyProtection="1">
      <alignment vertical="center"/>
      <protection hidden="1"/>
    </xf>
    <xf numFmtId="0" fontId="33" fillId="0" borderId="0" xfId="8" applyFont="1" applyBorder="1" applyAlignment="1" applyProtection="1">
      <alignment vertical="center"/>
      <protection hidden="1"/>
    </xf>
    <xf numFmtId="167" fontId="33" fillId="21" borderId="26" xfId="8" applyNumberFormat="1" applyFont="1" applyFill="1" applyBorder="1" applyAlignment="1" applyProtection="1">
      <alignment vertical="center"/>
      <protection hidden="1"/>
    </xf>
    <xf numFmtId="167" fontId="87" fillId="0" borderId="0" xfId="8" applyNumberFormat="1" applyFont="1" applyBorder="1" applyAlignment="1" applyProtection="1">
      <alignment horizontal="center" vertical="center" wrapText="1"/>
      <protection hidden="1"/>
    </xf>
    <xf numFmtId="0" fontId="87" fillId="0" borderId="0" xfId="8" applyFont="1" applyBorder="1" applyAlignment="1" applyProtection="1">
      <alignment horizontal="center" vertical="center" wrapText="1"/>
      <protection hidden="1"/>
    </xf>
    <xf numFmtId="0" fontId="87" fillId="0" borderId="0" xfId="8" applyFont="1" applyProtection="1">
      <protection hidden="1"/>
    </xf>
    <xf numFmtId="0" fontId="38" fillId="0" borderId="12" xfId="8" applyNumberFormat="1" applyFont="1" applyBorder="1" applyAlignment="1" applyProtection="1">
      <alignment vertical="center"/>
      <protection hidden="1"/>
    </xf>
    <xf numFmtId="0" fontId="30" fillId="0" borderId="12" xfId="8" applyBorder="1" applyAlignment="1" applyProtection="1">
      <alignment horizontal="center" vertical="center"/>
      <protection hidden="1"/>
    </xf>
    <xf numFmtId="0" fontId="33" fillId="0" borderId="12" xfId="8" applyFont="1" applyBorder="1" applyAlignment="1" applyProtection="1">
      <alignment horizontal="center" vertical="center"/>
      <protection hidden="1"/>
    </xf>
    <xf numFmtId="167" fontId="33" fillId="0" borderId="12" xfId="8" applyNumberFormat="1" applyFont="1" applyBorder="1" applyAlignment="1" applyProtection="1">
      <alignment horizontal="right" vertical="center"/>
      <protection hidden="1"/>
    </xf>
    <xf numFmtId="0" fontId="30" fillId="0" borderId="12" xfId="8" applyNumberFormat="1" applyBorder="1" applyAlignment="1" applyProtection="1">
      <alignment horizontal="center" vertical="center"/>
      <protection hidden="1"/>
    </xf>
    <xf numFmtId="0" fontId="33" fillId="21" borderId="26" xfId="9" applyNumberFormat="1" applyFont="1" applyFill="1" applyBorder="1" applyAlignment="1" applyProtection="1">
      <alignment vertical="center"/>
      <protection hidden="1"/>
    </xf>
    <xf numFmtId="0" fontId="33" fillId="21" borderId="26" xfId="8" applyNumberFormat="1" applyFont="1" applyFill="1" applyBorder="1" applyAlignment="1" applyProtection="1">
      <alignment vertical="center"/>
      <protection hidden="1"/>
    </xf>
    <xf numFmtId="0" fontId="30" fillId="0" borderId="0" xfId="8" applyNumberFormat="1" applyFill="1" applyProtection="1">
      <protection hidden="1"/>
    </xf>
    <xf numFmtId="0" fontId="30" fillId="0" borderId="0" xfId="8" applyNumberFormat="1" applyFont="1" applyAlignment="1" applyProtection="1">
      <alignment horizontal="right" vertical="center"/>
      <protection hidden="1"/>
    </xf>
    <xf numFmtId="0" fontId="30" fillId="0" borderId="0" xfId="8" applyNumberFormat="1" applyFont="1" applyAlignment="1" applyProtection="1">
      <alignment horizontal="center" vertical="center"/>
      <protection hidden="1"/>
    </xf>
    <xf numFmtId="0" fontId="36" fillId="0" borderId="0" xfId="8" applyNumberFormat="1" applyFont="1" applyAlignment="1" applyProtection="1">
      <alignment horizontal="right" vertical="center"/>
      <protection hidden="1"/>
    </xf>
    <xf numFmtId="0" fontId="30" fillId="0" borderId="0" xfId="8" applyNumberFormat="1" applyAlignment="1" applyProtection="1">
      <alignment horizontal="right" vertical="center"/>
      <protection hidden="1"/>
    </xf>
    <xf numFmtId="0" fontId="30" fillId="0" borderId="0" xfId="8" applyAlignment="1" applyProtection="1">
      <alignment horizontal="right" vertical="center"/>
      <protection hidden="1"/>
    </xf>
    <xf numFmtId="0" fontId="35" fillId="0" borderId="0" xfId="8" applyFont="1" applyAlignment="1" applyProtection="1">
      <alignment horizontal="right" vertical="center"/>
      <protection hidden="1"/>
    </xf>
    <xf numFmtId="0" fontId="92" fillId="0" borderId="0" xfId="8" applyFont="1" applyProtection="1">
      <protection hidden="1"/>
    </xf>
    <xf numFmtId="0" fontId="33" fillId="0" borderId="0" xfId="8" applyFont="1" applyAlignment="1" applyProtection="1">
      <alignment horizontal="center" vertical="center"/>
      <protection hidden="1"/>
    </xf>
    <xf numFmtId="0" fontId="87" fillId="0" borderId="0" xfId="8" applyFont="1" applyAlignment="1" applyProtection="1">
      <alignment vertical="top" wrapText="1"/>
      <protection hidden="1"/>
    </xf>
    <xf numFmtId="0" fontId="33" fillId="0" borderId="27" xfId="8" applyFont="1" applyBorder="1" applyAlignment="1" applyProtection="1">
      <alignment horizontal="center" vertical="center"/>
      <protection hidden="1"/>
    </xf>
    <xf numFmtId="0" fontId="33" fillId="21" borderId="26" xfId="8" applyFont="1" applyFill="1" applyBorder="1" applyAlignment="1" applyProtection="1">
      <alignment horizontal="center" vertical="center"/>
      <protection hidden="1"/>
    </xf>
    <xf numFmtId="0" fontId="31" fillId="0" borderId="0" xfId="8" applyFont="1" applyAlignment="1" applyProtection="1">
      <alignment vertical="center"/>
      <protection hidden="1"/>
    </xf>
    <xf numFmtId="22" fontId="32" fillId="21" borderId="0" xfId="8" applyNumberFormat="1" applyFont="1" applyFill="1" applyAlignment="1" applyProtection="1">
      <alignment horizontal="center" vertical="center"/>
      <protection hidden="1"/>
    </xf>
    <xf numFmtId="0" fontId="30" fillId="0" borderId="0" xfId="8" applyAlignment="1" applyProtection="1">
      <alignment horizontal="center" vertical="center"/>
      <protection hidden="1"/>
    </xf>
    <xf numFmtId="0" fontId="30" fillId="0" borderId="0" xfId="8" applyFont="1" applyAlignment="1" applyProtection="1">
      <alignment horizontal="center" vertical="center"/>
      <protection hidden="1"/>
    </xf>
    <xf numFmtId="0" fontId="87" fillId="13" borderId="0" xfId="8" applyFont="1" applyFill="1" applyAlignment="1" applyProtection="1">
      <alignment horizontal="center" vertical="center"/>
      <protection hidden="1"/>
    </xf>
    <xf numFmtId="0" fontId="89" fillId="13" borderId="0" xfId="8" applyFont="1" applyFill="1" applyAlignment="1" applyProtection="1">
      <alignment horizontal="center" vertical="center"/>
      <protection hidden="1"/>
    </xf>
    <xf numFmtId="0" fontId="88" fillId="0" borderId="0" xfId="8" applyFont="1" applyAlignment="1" applyProtection="1">
      <alignment vertical="center"/>
      <protection hidden="1"/>
    </xf>
    <xf numFmtId="0" fontId="90" fillId="0" borderId="0" xfId="8" applyFont="1" applyAlignment="1" applyProtection="1">
      <alignment horizontal="right" vertical="center"/>
      <protection hidden="1"/>
    </xf>
    <xf numFmtId="0" fontId="84" fillId="0" borderId="0" xfId="8" applyFont="1" applyAlignment="1" applyProtection="1">
      <alignment horizontal="left" vertical="center"/>
      <protection hidden="1"/>
    </xf>
    <xf numFmtId="2" fontId="30" fillId="0" borderId="0" xfId="8" applyNumberFormat="1" applyAlignment="1" applyProtection="1">
      <alignment horizontal="right" vertical="center"/>
      <protection hidden="1"/>
    </xf>
    <xf numFmtId="0" fontId="88" fillId="0" borderId="0" xfId="8" applyFont="1" applyAlignment="1" applyProtection="1">
      <alignment horizontal="center" vertical="center"/>
      <protection hidden="1"/>
    </xf>
    <xf numFmtId="0" fontId="30" fillId="0" borderId="57" xfId="8" applyFont="1" applyBorder="1" applyAlignment="1" applyProtection="1">
      <alignment horizontal="center" vertical="center"/>
      <protection hidden="1"/>
    </xf>
    <xf numFmtId="0" fontId="83" fillId="0" borderId="0" xfId="8" applyFont="1" applyBorder="1" applyAlignment="1" applyProtection="1">
      <alignment horizontal="center" vertical="center"/>
      <protection hidden="1"/>
    </xf>
    <xf numFmtId="0" fontId="30" fillId="0" borderId="0" xfId="8" applyBorder="1" applyAlignment="1" applyProtection="1">
      <alignment horizontal="right" vertical="center"/>
      <protection hidden="1"/>
    </xf>
    <xf numFmtId="0" fontId="30" fillId="0" borderId="58" xfId="8" applyBorder="1" applyAlignment="1" applyProtection="1">
      <alignment vertical="center"/>
      <protection hidden="1"/>
    </xf>
    <xf numFmtId="0" fontId="30" fillId="19" borderId="57" xfId="8" applyFill="1" applyBorder="1" applyAlignment="1" applyProtection="1">
      <alignment horizontal="right" vertical="center"/>
      <protection hidden="1"/>
    </xf>
    <xf numFmtId="0" fontId="30" fillId="0" borderId="0" xfId="8" applyFill="1" applyBorder="1" applyAlignment="1" applyProtection="1">
      <alignment vertical="center"/>
      <protection hidden="1"/>
    </xf>
    <xf numFmtId="0" fontId="30" fillId="0" borderId="0" xfId="8" applyFill="1" applyBorder="1" applyAlignment="1" applyProtection="1">
      <alignment horizontal="right" vertical="center"/>
      <protection hidden="1"/>
    </xf>
    <xf numFmtId="0" fontId="30" fillId="19" borderId="0" xfId="8" applyFill="1" applyBorder="1" applyAlignment="1" applyProtection="1">
      <alignment vertical="center"/>
      <protection hidden="1"/>
    </xf>
    <xf numFmtId="0" fontId="30" fillId="19" borderId="0" xfId="8" applyFill="1" applyBorder="1" applyAlignment="1" applyProtection="1">
      <alignment horizontal="center" vertical="center"/>
      <protection hidden="1"/>
    </xf>
    <xf numFmtId="0" fontId="78" fillId="19" borderId="0" xfId="8" applyFont="1" applyFill="1" applyAlignment="1" applyProtection="1">
      <alignment horizontal="center" vertical="center"/>
      <protection hidden="1"/>
    </xf>
    <xf numFmtId="0" fontId="85" fillId="0" borderId="57" xfId="8" applyFont="1" applyBorder="1" applyAlignment="1" applyProtection="1">
      <alignment horizontal="right" vertical="center"/>
      <protection hidden="1"/>
    </xf>
    <xf numFmtId="0" fontId="30" fillId="0" borderId="0" xfId="8" applyFont="1" applyBorder="1" applyAlignment="1" applyProtection="1">
      <alignment horizontal="right" vertical="center"/>
      <protection hidden="1"/>
    </xf>
    <xf numFmtId="0" fontId="30" fillId="19" borderId="0" xfId="8" applyFill="1" applyBorder="1" applyAlignment="1" applyProtection="1">
      <alignment horizontal="right" vertical="center"/>
      <protection hidden="1"/>
    </xf>
    <xf numFmtId="0" fontId="30" fillId="0" borderId="57" xfId="8" applyFont="1" applyBorder="1" applyAlignment="1" applyProtection="1">
      <alignment horizontal="right" vertical="center"/>
      <protection hidden="1"/>
    </xf>
    <xf numFmtId="0" fontId="30" fillId="0" borderId="0" xfId="8" applyBorder="1" applyAlignment="1" applyProtection="1">
      <alignment horizontal="center" vertical="center"/>
      <protection hidden="1"/>
    </xf>
    <xf numFmtId="0" fontId="78" fillId="0" borderId="0" xfId="8" applyFont="1" applyFill="1" applyAlignment="1" applyProtection="1">
      <alignment horizontal="center" vertical="center"/>
      <protection hidden="1"/>
    </xf>
    <xf numFmtId="0" fontId="33" fillId="0" borderId="0" xfId="8" applyFont="1" applyFill="1" applyAlignment="1" applyProtection="1">
      <alignment horizontal="center" vertical="center"/>
      <protection hidden="1"/>
    </xf>
    <xf numFmtId="0" fontId="30" fillId="0" borderId="60" xfId="8" applyFont="1" applyBorder="1" applyAlignment="1" applyProtection="1">
      <alignment vertical="center"/>
      <protection hidden="1"/>
    </xf>
    <xf numFmtId="0" fontId="30" fillId="0" borderId="61" xfId="8" applyBorder="1" applyAlignment="1" applyProtection="1">
      <alignment vertical="center"/>
      <protection hidden="1"/>
    </xf>
    <xf numFmtId="0" fontId="30" fillId="0" borderId="61" xfId="8" applyBorder="1" applyAlignment="1" applyProtection="1">
      <alignment horizontal="right" vertical="center"/>
      <protection hidden="1"/>
    </xf>
    <xf numFmtId="0" fontId="30" fillId="0" borderId="62" xfId="8" applyBorder="1" applyAlignment="1" applyProtection="1">
      <alignment vertical="center"/>
      <protection hidden="1"/>
    </xf>
    <xf numFmtId="0" fontId="30" fillId="0" borderId="0" xfId="8" applyFont="1" applyAlignment="1" applyProtection="1">
      <alignment vertical="center"/>
      <protection hidden="1"/>
    </xf>
    <xf numFmtId="0" fontId="30" fillId="0" borderId="47" xfId="8" applyFont="1" applyBorder="1" applyAlignment="1" applyProtection="1">
      <alignment horizontal="center" vertical="center"/>
      <protection hidden="1"/>
    </xf>
    <xf numFmtId="0" fontId="30" fillId="0" borderId="48" xfId="8" applyBorder="1" applyAlignment="1" applyProtection="1">
      <alignment vertical="center"/>
      <protection hidden="1"/>
    </xf>
    <xf numFmtId="0" fontId="30" fillId="0" borderId="47" xfId="8" applyBorder="1" applyAlignment="1" applyProtection="1">
      <alignment horizontal="right" vertical="center"/>
      <protection hidden="1"/>
    </xf>
    <xf numFmtId="0" fontId="30" fillId="0" borderId="47" xfId="8" applyBorder="1" applyAlignment="1" applyProtection="1">
      <alignment vertical="center"/>
      <protection hidden="1"/>
    </xf>
    <xf numFmtId="167" fontId="30" fillId="0" borderId="0" xfId="8" applyNumberFormat="1" applyBorder="1" applyAlignment="1" applyProtection="1">
      <alignment vertical="center"/>
      <protection hidden="1"/>
    </xf>
    <xf numFmtId="167" fontId="30" fillId="0" borderId="48" xfId="8" applyNumberFormat="1" applyBorder="1" applyAlignment="1" applyProtection="1">
      <alignment vertical="center"/>
      <protection hidden="1"/>
    </xf>
    <xf numFmtId="0" fontId="30" fillId="0" borderId="0" xfId="8" quotePrefix="1" applyBorder="1" applyAlignment="1" applyProtection="1">
      <alignment horizontal="right" vertical="center"/>
      <protection hidden="1"/>
    </xf>
    <xf numFmtId="0" fontId="30" fillId="0" borderId="51" xfId="8" applyFont="1" applyBorder="1" applyAlignment="1" applyProtection="1">
      <alignment horizontal="center" vertical="center"/>
      <protection hidden="1"/>
    </xf>
    <xf numFmtId="0" fontId="30" fillId="0" borderId="52" xfId="8" applyBorder="1" applyAlignment="1" applyProtection="1">
      <alignment vertical="center"/>
      <protection hidden="1"/>
    </xf>
    <xf numFmtId="0" fontId="30" fillId="0" borderId="52" xfId="8" applyBorder="1" applyAlignment="1" applyProtection="1">
      <alignment horizontal="right" vertical="center"/>
      <protection hidden="1"/>
    </xf>
    <xf numFmtId="0" fontId="30" fillId="0" borderId="53" xfId="8" applyBorder="1" applyAlignment="1" applyProtection="1">
      <alignment vertical="center"/>
      <protection hidden="1"/>
    </xf>
    <xf numFmtId="0" fontId="30" fillId="0" borderId="38" xfId="8" applyFont="1" applyBorder="1" applyAlignment="1" applyProtection="1">
      <alignment horizontal="center" vertical="center"/>
      <protection hidden="1"/>
    </xf>
    <xf numFmtId="0" fontId="30" fillId="0" borderId="39" xfId="8" applyBorder="1" applyAlignment="1" applyProtection="1">
      <alignment vertical="center"/>
      <protection hidden="1"/>
    </xf>
    <xf numFmtId="0" fontId="30" fillId="0" borderId="38" xfId="8" applyBorder="1" applyAlignment="1" applyProtection="1">
      <alignment horizontal="right" vertical="center"/>
      <protection hidden="1"/>
    </xf>
    <xf numFmtId="0" fontId="30" fillId="0" borderId="41" xfId="8" applyFont="1" applyBorder="1" applyAlignment="1" applyProtection="1">
      <alignment horizontal="center" vertical="center"/>
      <protection hidden="1"/>
    </xf>
    <xf numFmtId="0" fontId="30" fillId="0" borderId="42" xfId="8" applyBorder="1" applyAlignment="1" applyProtection="1">
      <alignment vertical="center"/>
      <protection hidden="1"/>
    </xf>
    <xf numFmtId="0" fontId="30" fillId="0" borderId="42" xfId="8" applyBorder="1" applyAlignment="1" applyProtection="1">
      <alignment horizontal="right" vertical="center"/>
      <protection hidden="1"/>
    </xf>
    <xf numFmtId="0" fontId="30" fillId="0" borderId="43" xfId="8" applyBorder="1" applyAlignment="1" applyProtection="1">
      <alignment vertical="center"/>
      <protection hidden="1"/>
    </xf>
    <xf numFmtId="0" fontId="30" fillId="13" borderId="3" xfId="8" applyFill="1" applyBorder="1" applyAlignment="1" applyProtection="1">
      <alignment vertical="center"/>
      <protection locked="0" hidden="1"/>
    </xf>
    <xf numFmtId="0" fontId="30" fillId="13" borderId="3" xfId="8" quotePrefix="1" applyFill="1" applyBorder="1" applyAlignment="1" applyProtection="1">
      <alignment vertical="center"/>
      <protection locked="0" hidden="1"/>
    </xf>
    <xf numFmtId="0" fontId="83" fillId="13" borderId="3" xfId="8" applyFont="1" applyFill="1" applyBorder="1" applyAlignment="1" applyProtection="1">
      <alignment horizontal="center" vertical="center"/>
      <protection locked="0" hidden="1"/>
    </xf>
    <xf numFmtId="167" fontId="30" fillId="13" borderId="3" xfId="8" applyNumberFormat="1" applyFill="1" applyBorder="1" applyAlignment="1" applyProtection="1">
      <alignment vertical="center"/>
      <protection locked="0" hidden="1"/>
    </xf>
    <xf numFmtId="0" fontId="30" fillId="13" borderId="49" xfId="8" applyFill="1" applyBorder="1" applyAlignment="1" applyProtection="1">
      <alignment vertical="center"/>
      <protection locked="0" hidden="1"/>
    </xf>
    <xf numFmtId="0" fontId="30" fillId="23" borderId="66" xfId="8" applyFill="1" applyBorder="1" applyAlignment="1" applyProtection="1">
      <alignment vertical="center"/>
      <protection locked="0" hidden="1"/>
    </xf>
    <xf numFmtId="0" fontId="30" fillId="23" borderId="0" xfId="8" applyFill="1" applyBorder="1" applyAlignment="1" applyProtection="1">
      <alignment vertical="center"/>
      <protection locked="0" hidden="1"/>
    </xf>
    <xf numFmtId="0" fontId="30" fillId="23" borderId="67" xfId="8" applyFill="1" applyBorder="1" applyAlignment="1" applyProtection="1">
      <alignment vertical="center"/>
      <protection locked="0" hidden="1"/>
    </xf>
    <xf numFmtId="0" fontId="30" fillId="23" borderId="68" xfId="8" applyFill="1" applyBorder="1" applyAlignment="1" applyProtection="1">
      <alignment vertical="center"/>
      <protection locked="0" hidden="1"/>
    </xf>
    <xf numFmtId="0" fontId="30" fillId="23" borderId="69" xfId="8" applyFill="1" applyBorder="1" applyAlignment="1" applyProtection="1">
      <alignment vertical="center"/>
      <protection locked="0" hidden="1"/>
    </xf>
    <xf numFmtId="0" fontId="30" fillId="23" borderId="70" xfId="8" applyFill="1" applyBorder="1" applyAlignment="1" applyProtection="1">
      <alignment vertical="center"/>
      <protection locked="0" hidden="1"/>
    </xf>
    <xf numFmtId="0" fontId="83" fillId="0" borderId="0" xfId="8" applyFont="1" applyAlignment="1" applyProtection="1">
      <alignment horizontal="center"/>
      <protection hidden="1"/>
    </xf>
    <xf numFmtId="0" fontId="30" fillId="0" borderId="12" xfId="8" applyBorder="1" applyAlignment="1" applyProtection="1">
      <alignment vertical="center"/>
      <protection hidden="1"/>
    </xf>
    <xf numFmtId="0" fontId="30" fillId="0" borderId="0" xfId="8" applyFont="1" applyBorder="1" applyAlignment="1" applyProtection="1">
      <alignment horizontal="center"/>
      <protection hidden="1"/>
    </xf>
    <xf numFmtId="0" fontId="30" fillId="13" borderId="26" xfId="8" applyFill="1" applyBorder="1" applyAlignment="1" applyProtection="1">
      <alignment vertical="center"/>
      <protection hidden="1"/>
    </xf>
    <xf numFmtId="0" fontId="30" fillId="0" borderId="0" xfId="8" applyNumberFormat="1" applyAlignment="1" applyProtection="1">
      <alignment horizontal="center" vertical="center"/>
      <protection hidden="1"/>
    </xf>
    <xf numFmtId="0" fontId="30" fillId="0" borderId="0" xfId="8" applyFont="1" applyProtection="1">
      <protection hidden="1"/>
    </xf>
    <xf numFmtId="0" fontId="5" fillId="5" borderId="0" xfId="3" applyFill="1" applyBorder="1" applyAlignment="1" applyProtection="1">
      <alignment horizontal="center"/>
      <protection hidden="1"/>
    </xf>
    <xf numFmtId="0" fontId="0" fillId="11" borderId="0" xfId="0" applyFill="1" applyAlignment="1">
      <alignment horizontal="center"/>
    </xf>
    <xf numFmtId="0" fontId="7" fillId="4" borderId="16" xfId="5" applyBorder="1" applyAlignment="1">
      <alignment horizontal="center"/>
    </xf>
    <xf numFmtId="0" fontId="80" fillId="7" borderId="0" xfId="8" applyFont="1" applyFill="1" applyAlignment="1" applyProtection="1">
      <alignment horizontal="center" vertical="center" wrapText="1"/>
      <protection hidden="1"/>
    </xf>
    <xf numFmtId="0" fontId="80" fillId="19" borderId="0" xfId="8" applyFont="1" applyFill="1" applyAlignment="1" applyProtection="1">
      <alignment horizontal="center" vertical="center" wrapText="1"/>
      <protection hidden="1"/>
    </xf>
    <xf numFmtId="0" fontId="65" fillId="13" borderId="0" xfId="8" applyFont="1" applyFill="1" applyAlignment="1" applyProtection="1">
      <alignment horizontal="center" vertical="center"/>
      <protection hidden="1"/>
    </xf>
    <xf numFmtId="0" fontId="30" fillId="0" borderId="0" xfId="8" applyBorder="1" applyAlignment="1" applyProtection="1">
      <alignment horizontal="center" vertical="center"/>
      <protection hidden="1"/>
    </xf>
    <xf numFmtId="167" fontId="75" fillId="17" borderId="44" xfId="8" applyNumberFormat="1" applyFont="1" applyFill="1" applyBorder="1" applyAlignment="1" applyProtection="1">
      <alignment horizontal="center" vertical="center"/>
      <protection hidden="1"/>
    </xf>
    <xf numFmtId="167" fontId="75" fillId="17" borderId="45" xfId="8" applyNumberFormat="1" applyFont="1" applyFill="1" applyBorder="1" applyAlignment="1" applyProtection="1">
      <alignment horizontal="center" vertical="center"/>
      <protection hidden="1"/>
    </xf>
    <xf numFmtId="167" fontId="75" fillId="17" borderId="46" xfId="8" applyNumberFormat="1" applyFont="1" applyFill="1" applyBorder="1" applyAlignment="1" applyProtection="1">
      <alignment horizontal="center" vertical="center"/>
      <protection hidden="1"/>
    </xf>
    <xf numFmtId="167" fontId="76" fillId="5" borderId="35" xfId="8" applyNumberFormat="1" applyFont="1" applyFill="1" applyBorder="1" applyAlignment="1" applyProtection="1">
      <alignment horizontal="center" vertical="center"/>
      <protection hidden="1"/>
    </xf>
    <xf numFmtId="167" fontId="76" fillId="5" borderId="36" xfId="8" applyNumberFormat="1" applyFont="1" applyFill="1" applyBorder="1" applyAlignment="1" applyProtection="1">
      <alignment horizontal="center" vertical="center"/>
      <protection hidden="1"/>
    </xf>
    <xf numFmtId="167" fontId="76" fillId="5" borderId="37" xfId="8" applyNumberFormat="1" applyFont="1" applyFill="1" applyBorder="1" applyAlignment="1" applyProtection="1">
      <alignment horizontal="center" vertical="center"/>
      <protection hidden="1"/>
    </xf>
    <xf numFmtId="0" fontId="42" fillId="16" borderId="0" xfId="8" applyFont="1" applyFill="1" applyAlignment="1" applyProtection="1">
      <alignment horizontal="center" vertical="center"/>
      <protection hidden="1"/>
    </xf>
    <xf numFmtId="0" fontId="95" fillId="22" borderId="63" xfId="8" applyFont="1" applyFill="1" applyBorder="1" applyAlignment="1" applyProtection="1">
      <alignment horizontal="center" vertical="center"/>
      <protection hidden="1"/>
    </xf>
    <xf numFmtId="0" fontId="95" fillId="22" borderId="64" xfId="8" applyFont="1" applyFill="1" applyBorder="1" applyAlignment="1" applyProtection="1">
      <alignment horizontal="center" vertical="center"/>
      <protection hidden="1"/>
    </xf>
    <xf numFmtId="0" fontId="95" fillId="22" borderId="65" xfId="8" applyFont="1" applyFill="1" applyBorder="1" applyAlignment="1" applyProtection="1">
      <alignment horizontal="center" vertical="center"/>
      <protection hidden="1"/>
    </xf>
    <xf numFmtId="0" fontId="82" fillId="21" borderId="0" xfId="8" applyFont="1" applyFill="1" applyAlignment="1" applyProtection="1">
      <alignment horizontal="center" vertical="center"/>
      <protection hidden="1"/>
    </xf>
    <xf numFmtId="0" fontId="33" fillId="21" borderId="0" xfId="8" applyFont="1" applyFill="1" applyAlignment="1" applyProtection="1">
      <alignment horizontal="center" vertical="center"/>
      <protection hidden="1"/>
    </xf>
    <xf numFmtId="0" fontId="32" fillId="21" borderId="0" xfId="8" applyFont="1" applyFill="1" applyAlignment="1" applyProtection="1">
      <alignment horizontal="center" vertical="center" wrapText="1"/>
      <protection hidden="1"/>
    </xf>
    <xf numFmtId="167" fontId="79" fillId="20" borderId="54" xfId="8" applyNumberFormat="1" applyFont="1" applyFill="1" applyBorder="1" applyAlignment="1" applyProtection="1">
      <alignment horizontal="center" vertical="center"/>
      <protection hidden="1"/>
    </xf>
    <xf numFmtId="167" fontId="79" fillId="20" borderId="55" xfId="8" applyNumberFormat="1" applyFont="1" applyFill="1" applyBorder="1" applyAlignment="1" applyProtection="1">
      <alignment horizontal="center" vertical="center"/>
      <protection hidden="1"/>
    </xf>
    <xf numFmtId="167" fontId="79" fillId="20" borderId="56" xfId="8" applyNumberFormat="1" applyFont="1" applyFill="1" applyBorder="1" applyAlignment="1" applyProtection="1">
      <alignment horizontal="center" vertical="center"/>
      <protection hidden="1"/>
    </xf>
    <xf numFmtId="0" fontId="93" fillId="0" borderId="0" xfId="8" applyFont="1" applyAlignment="1" applyProtection="1">
      <alignment horizontal="right"/>
      <protection hidden="1"/>
    </xf>
    <xf numFmtId="22" fontId="31" fillId="21" borderId="0" xfId="8" applyNumberFormat="1" applyFont="1" applyFill="1" applyAlignment="1" applyProtection="1">
      <alignment horizontal="center" vertical="center"/>
      <protection hidden="1"/>
    </xf>
    <xf numFmtId="0" fontId="94" fillId="0" borderId="0" xfId="8" applyFont="1" applyAlignment="1" applyProtection="1">
      <alignment horizontal="center" wrapText="1"/>
      <protection hidden="1"/>
    </xf>
    <xf numFmtId="0" fontId="83" fillId="0" borderId="0" xfId="8" applyFont="1" applyAlignment="1" applyProtection="1">
      <alignment horizontal="center"/>
      <protection hidden="1"/>
    </xf>
    <xf numFmtId="0" fontId="33" fillId="0" borderId="27" xfId="8" applyFont="1" applyBorder="1" applyAlignment="1" applyProtection="1">
      <alignment horizontal="center" vertical="center"/>
      <protection hidden="1"/>
    </xf>
    <xf numFmtId="0" fontId="33" fillId="0" borderId="26" xfId="8" applyFont="1" applyBorder="1" applyAlignment="1" applyProtection="1">
      <alignment horizontal="center" vertical="center"/>
      <protection hidden="1"/>
    </xf>
    <xf numFmtId="22" fontId="37" fillId="0" borderId="12" xfId="8" applyNumberFormat="1" applyFont="1" applyBorder="1" applyAlignment="1" applyProtection="1">
      <alignment horizontal="center" vertical="center"/>
      <protection hidden="1"/>
    </xf>
    <xf numFmtId="0" fontId="91" fillId="0" borderId="12" xfId="8" applyNumberFormat="1" applyFont="1" applyBorder="1" applyAlignment="1" applyProtection="1">
      <alignment horizontal="center" vertical="center"/>
      <protection hidden="1"/>
    </xf>
    <xf numFmtId="0" fontId="81" fillId="18" borderId="0" xfId="8" applyFont="1" applyFill="1" applyAlignment="1" applyProtection="1">
      <alignment horizontal="center"/>
      <protection hidden="1"/>
    </xf>
    <xf numFmtId="0" fontId="5" fillId="15" borderId="0" xfId="3" applyFill="1" applyBorder="1" applyAlignment="1" applyProtection="1">
      <alignment horizontal="center"/>
      <protection hidden="1"/>
    </xf>
  </cellXfs>
  <cellStyles count="10">
    <cellStyle name="60% - Colore 1" xfId="1" builtinId="32"/>
    <cellStyle name="Input" xfId="6" builtinId="20"/>
    <cellStyle name="Migliaia" xfId="9" builtinId="3"/>
    <cellStyle name="Normale" xfId="0" builtinId="0"/>
    <cellStyle name="Normale 2" xfId="8" xr:uid="{00000000-0005-0000-0000-000004000000}"/>
    <cellStyle name="Nota" xfId="7" builtinId="10"/>
    <cellStyle name="Testo descrittivo" xfId="2" builtinId="53"/>
    <cellStyle name="Titolo 2" xfId="3" builtinId="17"/>
    <cellStyle name="Valore non valido" xfId="4" builtinId="27"/>
    <cellStyle name="Valore valido" xfId="5" builtinId="26"/>
  </cellStyles>
  <dxfs count="52">
    <dxf>
      <font>
        <b/>
        <i val="0"/>
        <u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6EFCE"/>
      <color rgb="FFFFFFF0"/>
      <color rgb="FFFFFFF5"/>
      <color rgb="FFFFEBEB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733425</xdr:colOff>
          <xdr:row>6</xdr:row>
          <xdr:rowOff>9525</xdr:rowOff>
        </xdr:from>
        <xdr:to>
          <xdr:col>9</xdr:col>
          <xdr:colOff>257175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STAMPA DATI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811529</xdr:colOff>
      <xdr:row>8</xdr:row>
      <xdr:rowOff>221455</xdr:rowOff>
    </xdr:from>
    <xdr:to>
      <xdr:col>27</xdr:col>
      <xdr:colOff>69216</xdr:colOff>
      <xdr:row>18</xdr:row>
      <xdr:rowOff>28575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04" y="2174080"/>
          <a:ext cx="3010537" cy="2283620"/>
        </a:xfrm>
        <a:prstGeom prst="rect">
          <a:avLst/>
        </a:prstGeom>
      </xdr:spPr>
    </xdr:pic>
    <xdr:clientData/>
  </xdr:twoCellAnchor>
  <xdr:twoCellAnchor>
    <xdr:from>
      <xdr:col>7</xdr:col>
      <xdr:colOff>889636</xdr:colOff>
      <xdr:row>2</xdr:row>
      <xdr:rowOff>142875</xdr:rowOff>
    </xdr:from>
    <xdr:to>
      <xdr:col>10</xdr:col>
      <xdr:colOff>321945</xdr:colOff>
      <xdr:row>5</xdr:row>
      <xdr:rowOff>104775</xdr:rowOff>
    </xdr:to>
    <xdr:sp macro="[0]!Trasferisce_prog_in_file_HTB" textlink="">
      <xdr:nvSpPr>
        <xdr:cNvPr id="3" name="Ova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66736" y="615315"/>
          <a:ext cx="2221229" cy="71628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Trasferimento Dati</a:t>
          </a:r>
        </a:p>
      </xdr:txBody>
    </xdr:sp>
    <xdr:clientData/>
  </xdr:twoCellAnchor>
  <xdr:twoCellAnchor>
    <xdr:from>
      <xdr:col>9</xdr:col>
      <xdr:colOff>407670</xdr:colOff>
      <xdr:row>6</xdr:row>
      <xdr:rowOff>9525</xdr:rowOff>
    </xdr:from>
    <xdr:to>
      <xdr:col>10</xdr:col>
      <xdr:colOff>664845</xdr:colOff>
      <xdr:row>8</xdr:row>
      <xdr:rowOff>95250</xdr:rowOff>
    </xdr:to>
    <xdr:sp macro="[0]!STAMPA_TUTTO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67850" y="1487805"/>
          <a:ext cx="1263015" cy="58864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ysClr val="windowText" lastClr="000000"/>
            </a:solidFill>
          </a:endParaRPr>
        </a:p>
        <a:p>
          <a:pPr algn="ctr"/>
          <a:r>
            <a:rPr lang="it-IT" sz="1100">
              <a:solidFill>
                <a:sysClr val="windowText" lastClr="000000"/>
              </a:solidFill>
            </a:rPr>
            <a:t>STAMPA TUTTO</a:t>
          </a:r>
        </a:p>
        <a:p>
          <a:pPr algn="l"/>
          <a:endParaRPr lang="it-IT" sz="1100"/>
        </a:p>
      </xdr:txBody>
    </xdr:sp>
    <xdr:clientData/>
  </xdr:twoCellAnchor>
  <xdr:twoCellAnchor>
    <xdr:from>
      <xdr:col>29</xdr:col>
      <xdr:colOff>80009</xdr:colOff>
      <xdr:row>3</xdr:row>
      <xdr:rowOff>3810</xdr:rowOff>
    </xdr:from>
    <xdr:to>
      <xdr:col>29</xdr:col>
      <xdr:colOff>975360</xdr:colOff>
      <xdr:row>6</xdr:row>
      <xdr:rowOff>51436</xdr:rowOff>
    </xdr:to>
    <xdr:sp macro="[0]!ord_alfab_clienti" textlink="">
      <xdr:nvSpPr>
        <xdr:cNvPr id="6" name="Pergamena 1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485369" y="727710"/>
          <a:ext cx="895351" cy="802006"/>
        </a:xfrm>
        <a:prstGeom prst="verticalScrol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ORDINE</a:t>
          </a:r>
          <a:endParaRPr lang="it-IT" sz="800" baseline="0"/>
        </a:p>
        <a:p>
          <a:pPr algn="ctr"/>
          <a:r>
            <a:rPr lang="it-IT" sz="800" baseline="0"/>
            <a:t>ALFABETICO</a:t>
          </a:r>
          <a:endParaRPr lang="it-IT" sz="800"/>
        </a:p>
        <a:p>
          <a:pPr algn="ctr"/>
          <a:r>
            <a:rPr lang="it-IT" sz="800"/>
            <a:t>LISTA</a:t>
          </a:r>
        </a:p>
        <a:p>
          <a:pPr algn="ctr"/>
          <a:r>
            <a:rPr lang="it-IT" sz="800"/>
            <a:t>CLIENTI</a:t>
          </a:r>
        </a:p>
      </xdr:txBody>
    </xdr:sp>
    <xdr:clientData/>
  </xdr:twoCellAnchor>
  <xdr:twoCellAnchor>
    <xdr:from>
      <xdr:col>27</xdr:col>
      <xdr:colOff>295276</xdr:colOff>
      <xdr:row>30</xdr:row>
      <xdr:rowOff>39014</xdr:rowOff>
    </xdr:from>
    <xdr:to>
      <xdr:col>27</xdr:col>
      <xdr:colOff>503714</xdr:colOff>
      <xdr:row>33</xdr:row>
      <xdr:rowOff>9525</xdr:rowOff>
    </xdr:to>
    <xdr:cxnSp macro="">
      <xdr:nvCxnSpPr>
        <xdr:cNvPr id="7" name="Connettore 1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20" idx="0"/>
        </xdr:cNvCxnSpPr>
      </xdr:nvCxnSpPr>
      <xdr:spPr>
        <a:xfrm flipH="1">
          <a:off x="11125201" y="7439939"/>
          <a:ext cx="208438" cy="7134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590550</xdr:colOff>
      <xdr:row>29</xdr:row>
      <xdr:rowOff>0</xdr:rowOff>
    </xdr:from>
    <xdr:to>
      <xdr:col>28</xdr:col>
      <xdr:colOff>9525</xdr:colOff>
      <xdr:row>29</xdr:row>
      <xdr:rowOff>0</xdr:rowOff>
    </xdr:to>
    <xdr:cxnSp macro="">
      <xdr:nvCxnSpPr>
        <xdr:cNvPr id="12" name="Connettore 1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1420475" y="7153275"/>
          <a:ext cx="285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96285</xdr:colOff>
      <xdr:row>29</xdr:row>
      <xdr:rowOff>204771</xdr:rowOff>
    </xdr:from>
    <xdr:to>
      <xdr:col>29</xdr:col>
      <xdr:colOff>314325</xdr:colOff>
      <xdr:row>33</xdr:row>
      <xdr:rowOff>0</xdr:rowOff>
    </xdr:to>
    <xdr:cxnSp macro="">
      <xdr:nvCxnSpPr>
        <xdr:cNvPr id="18" name="Connettore 1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20" idx="2"/>
        </xdr:cNvCxnSpPr>
      </xdr:nvCxnSpPr>
      <xdr:spPr>
        <a:xfrm>
          <a:off x="23581125" y="7466631"/>
          <a:ext cx="218040" cy="8010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495300</xdr:colOff>
      <xdr:row>28</xdr:row>
      <xdr:rowOff>114301</xdr:rowOff>
    </xdr:from>
    <xdr:to>
      <xdr:col>29</xdr:col>
      <xdr:colOff>123825</xdr:colOff>
      <xdr:row>32</xdr:row>
      <xdr:rowOff>171451</xdr:rowOff>
    </xdr:to>
    <xdr:sp macro="" textlink="">
      <xdr:nvSpPr>
        <xdr:cNvPr id="20" name="Ar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1325225" y="7019926"/>
          <a:ext cx="847725" cy="1047750"/>
        </a:xfrm>
        <a:prstGeom prst="arc">
          <a:avLst>
            <a:gd name="adj1" fmla="val 11642175"/>
            <a:gd name="adj2" fmla="val 20093257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152400</xdr:colOff>
      <xdr:row>31</xdr:row>
      <xdr:rowOff>0</xdr:rowOff>
    </xdr:from>
    <xdr:to>
      <xdr:col>29</xdr:col>
      <xdr:colOff>390525</xdr:colOff>
      <xdr:row>31</xdr:row>
      <xdr:rowOff>0</xdr:rowOff>
    </xdr:to>
    <xdr:cxnSp macro="">
      <xdr:nvCxnSpPr>
        <xdr:cNvPr id="24" name="Connettore 1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982325" y="7648575"/>
          <a:ext cx="1457325" cy="0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323851</xdr:colOff>
      <xdr:row>33</xdr:row>
      <xdr:rowOff>0</xdr:rowOff>
    </xdr:from>
    <xdr:to>
      <xdr:col>30</xdr:col>
      <xdr:colOff>104775</xdr:colOff>
      <xdr:row>35</xdr:row>
      <xdr:rowOff>19050</xdr:rowOff>
    </xdr:to>
    <xdr:cxnSp macro="">
      <xdr:nvCxnSpPr>
        <xdr:cNvPr id="31" name="Connettore 1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12372976" y="8143875"/>
          <a:ext cx="390524" cy="4095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</xdr:colOff>
      <xdr:row>28</xdr:row>
      <xdr:rowOff>104775</xdr:rowOff>
    </xdr:from>
    <xdr:to>
      <xdr:col>31</xdr:col>
      <xdr:colOff>723900</xdr:colOff>
      <xdr:row>28</xdr:row>
      <xdr:rowOff>104779</xdr:rowOff>
    </xdr:to>
    <xdr:cxnSp macro="">
      <xdr:nvCxnSpPr>
        <xdr:cNvPr id="35" name="Connettore 1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V="1">
          <a:off x="12096750" y="7010400"/>
          <a:ext cx="2114550" cy="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33</xdr:row>
      <xdr:rowOff>2</xdr:rowOff>
    </xdr:from>
    <xdr:to>
      <xdr:col>31</xdr:col>
      <xdr:colOff>28575</xdr:colOff>
      <xdr:row>33</xdr:row>
      <xdr:rowOff>9525</xdr:rowOff>
    </xdr:to>
    <xdr:cxnSp macro="">
      <xdr:nvCxnSpPr>
        <xdr:cNvPr id="37" name="Connettore 1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12658725" y="8143877"/>
          <a:ext cx="857250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276225</xdr:colOff>
      <xdr:row>35</xdr:row>
      <xdr:rowOff>2</xdr:rowOff>
    </xdr:from>
    <xdr:to>
      <xdr:col>31</xdr:col>
      <xdr:colOff>714375</xdr:colOff>
      <xdr:row>35</xdr:row>
      <xdr:rowOff>9525</xdr:rowOff>
    </xdr:to>
    <xdr:cxnSp macro="">
      <xdr:nvCxnSpPr>
        <xdr:cNvPr id="39" name="Connettore 1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>
          <a:off x="12934950" y="8534402"/>
          <a:ext cx="1266825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466725</xdr:colOff>
      <xdr:row>30</xdr:row>
      <xdr:rowOff>238125</xdr:rowOff>
    </xdr:from>
    <xdr:to>
      <xdr:col>30</xdr:col>
      <xdr:colOff>276225</xdr:colOff>
      <xdr:row>31</xdr:row>
      <xdr:rowOff>0</xdr:rowOff>
    </xdr:to>
    <xdr:cxnSp macro="">
      <xdr:nvCxnSpPr>
        <xdr:cNvPr id="42" name="Connettore 1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>
          <a:off x="12515850" y="7639050"/>
          <a:ext cx="4191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28</xdr:row>
      <xdr:rowOff>104775</xdr:rowOff>
    </xdr:from>
    <xdr:to>
      <xdr:col>30</xdr:col>
      <xdr:colOff>142875</xdr:colOff>
      <xdr:row>31</xdr:row>
      <xdr:rowOff>0</xdr:rowOff>
    </xdr:to>
    <xdr:cxnSp macro="">
      <xdr:nvCxnSpPr>
        <xdr:cNvPr id="1032" name="Connettore 1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CxnSpPr/>
      </xdr:nvCxnSpPr>
      <xdr:spPr>
        <a:xfrm>
          <a:off x="12792075" y="7010400"/>
          <a:ext cx="9525" cy="6381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137160</xdr:colOff>
      <xdr:row>33</xdr:row>
      <xdr:rowOff>101504</xdr:rowOff>
    </xdr:from>
    <xdr:to>
      <xdr:col>27</xdr:col>
      <xdr:colOff>267907</xdr:colOff>
      <xdr:row>35</xdr:row>
      <xdr:rowOff>182880</xdr:rowOff>
    </xdr:to>
    <xdr:cxnSp macro="">
      <xdr:nvCxnSpPr>
        <xdr:cNvPr id="55" name="Connettore 1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 flipH="1">
          <a:off x="11269980" y="8369204"/>
          <a:ext cx="130747" cy="45475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295275</xdr:colOff>
      <xdr:row>27</xdr:row>
      <xdr:rowOff>171450</xdr:rowOff>
    </xdr:from>
    <xdr:to>
      <xdr:col>28</xdr:col>
      <xdr:colOff>295277</xdr:colOff>
      <xdr:row>32</xdr:row>
      <xdr:rowOff>9525</xdr:rowOff>
    </xdr:to>
    <xdr:cxnSp macro="">
      <xdr:nvCxnSpPr>
        <xdr:cNvPr id="59" name="Connettore 1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 flipH="1">
          <a:off x="11772900" y="6829425"/>
          <a:ext cx="2" cy="1076325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752475</xdr:colOff>
      <xdr:row>28</xdr:row>
      <xdr:rowOff>123825</xdr:rowOff>
    </xdr:from>
    <xdr:to>
      <xdr:col>30</xdr:col>
      <xdr:colOff>752475</xdr:colOff>
      <xdr:row>32</xdr:row>
      <xdr:rowOff>238125</xdr:rowOff>
    </xdr:to>
    <xdr:cxnSp macro="">
      <xdr:nvCxnSpPr>
        <xdr:cNvPr id="70" name="Connettore 1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/>
      </xdr:nvCxnSpPr>
      <xdr:spPr>
        <a:xfrm>
          <a:off x="13449300" y="7029450"/>
          <a:ext cx="0" cy="1104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619125</xdr:colOff>
      <xdr:row>28</xdr:row>
      <xdr:rowOff>123825</xdr:rowOff>
    </xdr:from>
    <xdr:to>
      <xdr:col>31</xdr:col>
      <xdr:colOff>619125</xdr:colOff>
      <xdr:row>34</xdr:row>
      <xdr:rowOff>180975</xdr:rowOff>
    </xdr:to>
    <xdr:cxnSp macro="">
      <xdr:nvCxnSpPr>
        <xdr:cNvPr id="81" name="Connettore 1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>
          <a:off x="14106525" y="7029450"/>
          <a:ext cx="0" cy="1485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504825</xdr:colOff>
      <xdr:row>28</xdr:row>
      <xdr:rowOff>76200</xdr:rowOff>
    </xdr:from>
    <xdr:to>
      <xdr:col>30</xdr:col>
      <xdr:colOff>647701</xdr:colOff>
      <xdr:row>35</xdr:row>
      <xdr:rowOff>200025</xdr:rowOff>
    </xdr:to>
    <xdr:sp macro="" textlink="">
      <xdr:nvSpPr>
        <xdr:cNvPr id="40" name="Arc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570845" y="7086600"/>
          <a:ext cx="3091816" cy="1754505"/>
        </a:xfrm>
        <a:prstGeom prst="arc">
          <a:avLst>
            <a:gd name="adj1" fmla="val 5851476"/>
            <a:gd name="adj2" fmla="val 819616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542926</xdr:colOff>
      <xdr:row>28</xdr:row>
      <xdr:rowOff>76200</xdr:rowOff>
    </xdr:from>
    <xdr:to>
      <xdr:col>30</xdr:col>
      <xdr:colOff>495301</xdr:colOff>
      <xdr:row>35</xdr:row>
      <xdr:rowOff>200025</xdr:rowOff>
    </xdr:to>
    <xdr:sp macro="" textlink="">
      <xdr:nvSpPr>
        <xdr:cNvPr id="92" name="Arco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10334626" y="6981825"/>
          <a:ext cx="2819400" cy="1752600"/>
        </a:xfrm>
        <a:prstGeom prst="arc">
          <a:avLst>
            <a:gd name="adj1" fmla="val 1932501"/>
            <a:gd name="adj2" fmla="val 5114402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457200</xdr:colOff>
      <xdr:row>31</xdr:row>
      <xdr:rowOff>104775</xdr:rowOff>
    </xdr:from>
    <xdr:to>
      <xdr:col>27</xdr:col>
      <xdr:colOff>466725</xdr:colOff>
      <xdr:row>33</xdr:row>
      <xdr:rowOff>38100</xdr:rowOff>
    </xdr:to>
    <xdr:cxnSp macro="">
      <xdr:nvCxnSpPr>
        <xdr:cNvPr id="33" name="Connettore 1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287125" y="7753350"/>
          <a:ext cx="9525" cy="428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31</xdr:row>
      <xdr:rowOff>104775</xdr:rowOff>
    </xdr:from>
    <xdr:to>
      <xdr:col>29</xdr:col>
      <xdr:colOff>171450</xdr:colOff>
      <xdr:row>33</xdr:row>
      <xdr:rowOff>38100</xdr:rowOff>
    </xdr:to>
    <xdr:cxnSp macro="">
      <xdr:nvCxnSpPr>
        <xdr:cNvPr id="36" name="Connettore 1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>
          <a:off x="12249150" y="7753350"/>
          <a:ext cx="9525" cy="428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504825</xdr:colOff>
      <xdr:row>32</xdr:row>
      <xdr:rowOff>219075</xdr:rowOff>
    </xdr:from>
    <xdr:to>
      <xdr:col>29</xdr:col>
      <xdr:colOff>133350</xdr:colOff>
      <xdr:row>32</xdr:row>
      <xdr:rowOff>228598</xdr:rowOff>
    </xdr:to>
    <xdr:cxnSp macro="">
      <xdr:nvCxnSpPr>
        <xdr:cNvPr id="43" name="Connettore 1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11334750" y="8115300"/>
          <a:ext cx="885825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285750</xdr:colOff>
      <xdr:row>33</xdr:row>
      <xdr:rowOff>104775</xdr:rowOff>
    </xdr:from>
    <xdr:to>
      <xdr:col>28</xdr:col>
      <xdr:colOff>295275</xdr:colOff>
      <xdr:row>36</xdr:row>
      <xdr:rowOff>38100</xdr:rowOff>
    </xdr:to>
    <xdr:cxnSp macro="">
      <xdr:nvCxnSpPr>
        <xdr:cNvPr id="46" name="Connettore 1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11763375" y="8248650"/>
          <a:ext cx="9525" cy="571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428625</xdr:colOff>
      <xdr:row>27</xdr:row>
      <xdr:rowOff>38100</xdr:rowOff>
    </xdr:from>
    <xdr:to>
      <xdr:col>28</xdr:col>
      <xdr:colOff>552450</xdr:colOff>
      <xdr:row>28</xdr:row>
      <xdr:rowOff>133350</xdr:rowOff>
    </xdr:to>
    <xdr:cxnSp macro="">
      <xdr:nvCxnSpPr>
        <xdr:cNvPr id="8" name="Connettore 2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11906250" y="6696075"/>
          <a:ext cx="123825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552450</xdr:colOff>
      <xdr:row>27</xdr:row>
      <xdr:rowOff>28575</xdr:rowOff>
    </xdr:from>
    <xdr:to>
      <xdr:col>30</xdr:col>
      <xdr:colOff>314325</xdr:colOff>
      <xdr:row>27</xdr:row>
      <xdr:rowOff>28575</xdr:rowOff>
    </xdr:to>
    <xdr:cxnSp macro="">
      <xdr:nvCxnSpPr>
        <xdr:cNvPr id="14" name="Connettore 1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12030075" y="6686550"/>
          <a:ext cx="981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15240</xdr:colOff>
      <xdr:row>3</xdr:row>
      <xdr:rowOff>0</xdr:rowOff>
    </xdr:from>
    <xdr:to>
      <xdr:col>28</xdr:col>
      <xdr:colOff>586740</xdr:colOff>
      <xdr:row>6</xdr:row>
      <xdr:rowOff>22860</xdr:rowOff>
    </xdr:to>
    <xdr:sp macro="[0]!Scratch" textlink="">
      <xdr:nvSpPr>
        <xdr:cNvPr id="9" name="Fusion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148060" y="723900"/>
          <a:ext cx="1234440" cy="777240"/>
        </a:xfrm>
        <a:prstGeom prst="flowChartMerg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  <a:p>
          <a:pPr algn="l"/>
          <a:r>
            <a:rPr lang="it-IT" sz="800"/>
            <a:t>  SCRATCH</a:t>
          </a:r>
        </a:p>
      </xdr:txBody>
    </xdr:sp>
    <xdr:clientData/>
  </xdr:twoCellAnchor>
  <xdr:twoCellAnchor>
    <xdr:from>
      <xdr:col>28</xdr:col>
      <xdr:colOff>601980</xdr:colOff>
      <xdr:row>0</xdr:row>
      <xdr:rowOff>45720</xdr:rowOff>
    </xdr:from>
    <xdr:to>
      <xdr:col>30</xdr:col>
      <xdr:colOff>15240</xdr:colOff>
      <xdr:row>2</xdr:row>
      <xdr:rowOff>213360</xdr:rowOff>
    </xdr:to>
    <xdr:sp macro="[0]!Importa_Dati" textlink="">
      <xdr:nvSpPr>
        <xdr:cNvPr id="5" name="Connetto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397740" y="45720"/>
          <a:ext cx="1104900" cy="640080"/>
        </a:xfrm>
        <a:prstGeom prst="flowChartConnector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Importa</a:t>
          </a:r>
        </a:p>
        <a:p>
          <a:pPr algn="l"/>
          <a:r>
            <a:rPr lang="it-IT" sz="1100"/>
            <a:t>      Dati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0</xdr:row>
          <xdr:rowOff>238125</xdr:rowOff>
        </xdr:from>
        <xdr:to>
          <xdr:col>30</xdr:col>
          <xdr:colOff>38100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STAMPA</a:t>
              </a:r>
            </a:p>
            <a:p>
              <a:pPr algn="ctr" rtl="0">
                <a:defRPr sz="1000"/>
              </a:pPr>
              <a:r>
                <a:rPr lang="it-IT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Divisore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104775</xdr:rowOff>
        </xdr:from>
        <xdr:to>
          <xdr:col>12</xdr:col>
          <xdr:colOff>647700</xdr:colOff>
          <xdr:row>8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190500</xdr:rowOff>
        </xdr:from>
        <xdr:to>
          <xdr:col>14</xdr:col>
          <xdr:colOff>628650</xdr:colOff>
          <xdr:row>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Re-Init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9</xdr:row>
          <xdr:rowOff>85725</xdr:rowOff>
        </xdr:from>
        <xdr:to>
          <xdr:col>12</xdr:col>
          <xdr:colOff>638175</xdr:colOff>
          <xdr:row>11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5</xdr:row>
          <xdr:rowOff>57150</xdr:rowOff>
        </xdr:from>
        <xdr:to>
          <xdr:col>6</xdr:col>
          <xdr:colOff>533400</xdr:colOff>
          <xdr:row>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STAMPA</a:t>
              </a: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219075</xdr:rowOff>
        </xdr:from>
        <xdr:to>
          <xdr:col>31</xdr:col>
          <xdr:colOff>752475</xdr:colOff>
          <xdr:row>2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Re-Init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220980</xdr:colOff>
      <xdr:row>8</xdr:row>
      <xdr:rowOff>167640</xdr:rowOff>
    </xdr:from>
    <xdr:to>
      <xdr:col>12</xdr:col>
      <xdr:colOff>792480</xdr:colOff>
      <xdr:row>15</xdr:row>
      <xdr:rowOff>152400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6840" y="1889760"/>
          <a:ext cx="105918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6</xdr:row>
          <xdr:rowOff>9525</xdr:rowOff>
        </xdr:from>
        <xdr:to>
          <xdr:col>9</xdr:col>
          <xdr:colOff>552450</xdr:colOff>
          <xdr:row>8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STAMPA DATI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9524</xdr:colOff>
      <xdr:row>8</xdr:row>
      <xdr:rowOff>240505</xdr:rowOff>
    </xdr:from>
    <xdr:to>
      <xdr:col>27</xdr:col>
      <xdr:colOff>130176</xdr:colOff>
      <xdr:row>18</xdr:row>
      <xdr:rowOff>19050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3374" y="2193130"/>
          <a:ext cx="3006727" cy="2255045"/>
        </a:xfrm>
        <a:prstGeom prst="rect">
          <a:avLst/>
        </a:prstGeom>
      </xdr:spPr>
    </xdr:pic>
    <xdr:clientData/>
  </xdr:twoCellAnchor>
  <xdr:twoCellAnchor>
    <xdr:from>
      <xdr:col>8</xdr:col>
      <xdr:colOff>295276</xdr:colOff>
      <xdr:row>2</xdr:row>
      <xdr:rowOff>142875</xdr:rowOff>
    </xdr:from>
    <xdr:to>
      <xdr:col>10</xdr:col>
      <xdr:colOff>619125</xdr:colOff>
      <xdr:row>5</xdr:row>
      <xdr:rowOff>104775</xdr:rowOff>
    </xdr:to>
    <xdr:sp macro="[0]!Trasferisce_prog_in_file_HTB" textlink="">
      <xdr:nvSpPr>
        <xdr:cNvPr id="4" name="Ova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239126" y="609600"/>
          <a:ext cx="2171699" cy="70485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Trasferimento</a:t>
          </a:r>
          <a:r>
            <a:rPr lang="en-US" sz="1400" baseline="0">
              <a:solidFill>
                <a:sysClr val="windowText" lastClr="000000"/>
              </a:solidFill>
            </a:rPr>
            <a:t> Dati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704850</xdr:colOff>
      <xdr:row>6</xdr:row>
      <xdr:rowOff>9525</xdr:rowOff>
    </xdr:from>
    <xdr:to>
      <xdr:col>10</xdr:col>
      <xdr:colOff>962025</xdr:colOff>
      <xdr:row>8</xdr:row>
      <xdr:rowOff>95250</xdr:rowOff>
    </xdr:to>
    <xdr:sp macro="[0]!STAMPA_TUTTO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515475" y="1466850"/>
          <a:ext cx="1238250" cy="5810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ysClr val="windowText" lastClr="000000"/>
            </a:solidFill>
          </a:endParaRPr>
        </a:p>
        <a:p>
          <a:pPr algn="ctr"/>
          <a:r>
            <a:rPr lang="it-IT" sz="1100">
              <a:solidFill>
                <a:sysClr val="windowText" lastClr="000000"/>
              </a:solidFill>
            </a:rPr>
            <a:t>STAMPA TUTTO</a:t>
          </a:r>
        </a:p>
        <a:p>
          <a:pPr algn="l"/>
          <a:endParaRPr lang="it-IT" sz="1100"/>
        </a:p>
      </xdr:txBody>
    </xdr:sp>
    <xdr:clientData/>
  </xdr:twoCellAnchor>
  <xdr:twoCellAnchor>
    <xdr:from>
      <xdr:col>28</xdr:col>
      <xdr:colOff>19049</xdr:colOff>
      <xdr:row>5</xdr:row>
      <xdr:rowOff>171450</xdr:rowOff>
    </xdr:from>
    <xdr:to>
      <xdr:col>29</xdr:col>
      <xdr:colOff>314324</xdr:colOff>
      <xdr:row>8</xdr:row>
      <xdr:rowOff>219076</xdr:rowOff>
    </xdr:to>
    <xdr:sp macro="[0]!ord_alfab_clienti" textlink="">
      <xdr:nvSpPr>
        <xdr:cNvPr id="6" name="Pergamena 1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1496674" y="1381125"/>
          <a:ext cx="904875" cy="790576"/>
        </a:xfrm>
        <a:prstGeom prst="verticalScrol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ORDINE</a:t>
          </a:r>
          <a:endParaRPr lang="it-IT" sz="800" baseline="0"/>
        </a:p>
        <a:p>
          <a:pPr algn="ctr"/>
          <a:r>
            <a:rPr lang="it-IT" sz="800" baseline="0"/>
            <a:t>ALFABETICO</a:t>
          </a:r>
          <a:endParaRPr lang="it-IT" sz="800"/>
        </a:p>
        <a:p>
          <a:pPr algn="ctr"/>
          <a:r>
            <a:rPr lang="it-IT" sz="800"/>
            <a:t>LISTA</a:t>
          </a:r>
        </a:p>
        <a:p>
          <a:pPr algn="ctr"/>
          <a:r>
            <a:rPr lang="it-IT" sz="800"/>
            <a:t>CLIENTI</a:t>
          </a:r>
        </a:p>
      </xdr:txBody>
    </xdr:sp>
    <xdr:clientData/>
  </xdr:twoCellAnchor>
  <xdr:twoCellAnchor>
    <xdr:from>
      <xdr:col>27</xdr:col>
      <xdr:colOff>295276</xdr:colOff>
      <xdr:row>30</xdr:row>
      <xdr:rowOff>39014</xdr:rowOff>
    </xdr:from>
    <xdr:to>
      <xdr:col>27</xdr:col>
      <xdr:colOff>503714</xdr:colOff>
      <xdr:row>33</xdr:row>
      <xdr:rowOff>9525</xdr:rowOff>
    </xdr:to>
    <xdr:cxnSp macro="">
      <xdr:nvCxnSpPr>
        <xdr:cNvPr id="7" name="Connettore 1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>
          <a:stCxn id="10" idx="0"/>
        </xdr:cNvCxnSpPr>
      </xdr:nvCxnSpPr>
      <xdr:spPr>
        <a:xfrm flipH="1">
          <a:off x="11125201" y="7439939"/>
          <a:ext cx="208438" cy="7134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590550</xdr:colOff>
      <xdr:row>29</xdr:row>
      <xdr:rowOff>0</xdr:rowOff>
    </xdr:from>
    <xdr:to>
      <xdr:col>28</xdr:col>
      <xdr:colOff>9525</xdr:colOff>
      <xdr:row>29</xdr:row>
      <xdr:rowOff>0</xdr:rowOff>
    </xdr:to>
    <xdr:cxnSp macro="">
      <xdr:nvCxnSpPr>
        <xdr:cNvPr id="8" name="Connettore 1 1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>
          <a:off x="11420475" y="7153275"/>
          <a:ext cx="66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96285</xdr:colOff>
      <xdr:row>29</xdr:row>
      <xdr:rowOff>204771</xdr:rowOff>
    </xdr:from>
    <xdr:to>
      <xdr:col>29</xdr:col>
      <xdr:colOff>314325</xdr:colOff>
      <xdr:row>33</xdr:row>
      <xdr:rowOff>0</xdr:rowOff>
    </xdr:to>
    <xdr:cxnSp macro="">
      <xdr:nvCxnSpPr>
        <xdr:cNvPr id="9" name="Connettore 1 17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>
          <a:stCxn id="10" idx="2"/>
        </xdr:cNvCxnSpPr>
      </xdr:nvCxnSpPr>
      <xdr:spPr>
        <a:xfrm>
          <a:off x="12183510" y="7358046"/>
          <a:ext cx="218040" cy="7858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495300</xdr:colOff>
      <xdr:row>28</xdr:row>
      <xdr:rowOff>114301</xdr:rowOff>
    </xdr:from>
    <xdr:to>
      <xdr:col>29</xdr:col>
      <xdr:colOff>123825</xdr:colOff>
      <xdr:row>32</xdr:row>
      <xdr:rowOff>171451</xdr:rowOff>
    </xdr:to>
    <xdr:sp macro="" textlink="">
      <xdr:nvSpPr>
        <xdr:cNvPr id="10" name="Arc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11325225" y="7019926"/>
          <a:ext cx="885825" cy="1047750"/>
        </a:xfrm>
        <a:prstGeom prst="arc">
          <a:avLst>
            <a:gd name="adj1" fmla="val 11642175"/>
            <a:gd name="adj2" fmla="val 20093257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152400</xdr:colOff>
      <xdr:row>31</xdr:row>
      <xdr:rowOff>0</xdr:rowOff>
    </xdr:from>
    <xdr:to>
      <xdr:col>29</xdr:col>
      <xdr:colOff>390525</xdr:colOff>
      <xdr:row>31</xdr:row>
      <xdr:rowOff>0</xdr:rowOff>
    </xdr:to>
    <xdr:cxnSp macro="">
      <xdr:nvCxnSpPr>
        <xdr:cNvPr id="11" name="Connettore 1 23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10982325" y="7648575"/>
          <a:ext cx="1495425" cy="0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323851</xdr:colOff>
      <xdr:row>33</xdr:row>
      <xdr:rowOff>0</xdr:rowOff>
    </xdr:from>
    <xdr:to>
      <xdr:col>30</xdr:col>
      <xdr:colOff>104775</xdr:colOff>
      <xdr:row>35</xdr:row>
      <xdr:rowOff>19050</xdr:rowOff>
    </xdr:to>
    <xdr:cxnSp macro="">
      <xdr:nvCxnSpPr>
        <xdr:cNvPr id="12" name="Connettore 1 30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>
          <a:off x="12411076" y="8143875"/>
          <a:ext cx="390524" cy="4095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</xdr:colOff>
      <xdr:row>28</xdr:row>
      <xdr:rowOff>104775</xdr:rowOff>
    </xdr:from>
    <xdr:to>
      <xdr:col>31</xdr:col>
      <xdr:colOff>723900</xdr:colOff>
      <xdr:row>28</xdr:row>
      <xdr:rowOff>104779</xdr:rowOff>
    </xdr:to>
    <xdr:cxnSp macro="">
      <xdr:nvCxnSpPr>
        <xdr:cNvPr id="13" name="Connettore 1 34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CxnSpPr/>
      </xdr:nvCxnSpPr>
      <xdr:spPr>
        <a:xfrm flipV="1">
          <a:off x="12134850" y="7010400"/>
          <a:ext cx="2076450" cy="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33</xdr:row>
      <xdr:rowOff>2</xdr:rowOff>
    </xdr:from>
    <xdr:to>
      <xdr:col>31</xdr:col>
      <xdr:colOff>28575</xdr:colOff>
      <xdr:row>33</xdr:row>
      <xdr:rowOff>9525</xdr:rowOff>
    </xdr:to>
    <xdr:cxnSp macro="">
      <xdr:nvCxnSpPr>
        <xdr:cNvPr id="14" name="Connettore 1 36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CxnSpPr/>
      </xdr:nvCxnSpPr>
      <xdr:spPr>
        <a:xfrm>
          <a:off x="12696825" y="8143877"/>
          <a:ext cx="857250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276225</xdr:colOff>
      <xdr:row>35</xdr:row>
      <xdr:rowOff>2</xdr:rowOff>
    </xdr:from>
    <xdr:to>
      <xdr:col>31</xdr:col>
      <xdr:colOff>714375</xdr:colOff>
      <xdr:row>35</xdr:row>
      <xdr:rowOff>9525</xdr:rowOff>
    </xdr:to>
    <xdr:cxnSp macro="">
      <xdr:nvCxnSpPr>
        <xdr:cNvPr id="15" name="Connettore 1 38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CxnSpPr/>
      </xdr:nvCxnSpPr>
      <xdr:spPr>
        <a:xfrm>
          <a:off x="12973050" y="8534402"/>
          <a:ext cx="1238250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466725</xdr:colOff>
      <xdr:row>30</xdr:row>
      <xdr:rowOff>238125</xdr:rowOff>
    </xdr:from>
    <xdr:to>
      <xdr:col>30</xdr:col>
      <xdr:colOff>276225</xdr:colOff>
      <xdr:row>31</xdr:row>
      <xdr:rowOff>0</xdr:rowOff>
    </xdr:to>
    <xdr:cxnSp macro="">
      <xdr:nvCxnSpPr>
        <xdr:cNvPr id="16" name="Connettore 1 4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CxnSpPr/>
      </xdr:nvCxnSpPr>
      <xdr:spPr>
        <a:xfrm>
          <a:off x="12553950" y="7639050"/>
          <a:ext cx="4191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28</xdr:row>
      <xdr:rowOff>104775</xdr:rowOff>
    </xdr:from>
    <xdr:to>
      <xdr:col>30</xdr:col>
      <xdr:colOff>142875</xdr:colOff>
      <xdr:row>31</xdr:row>
      <xdr:rowOff>0</xdr:rowOff>
    </xdr:to>
    <xdr:cxnSp macro="">
      <xdr:nvCxnSpPr>
        <xdr:cNvPr id="17" name="Connettore 1 1031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>
          <a:off x="12830175" y="7010400"/>
          <a:ext cx="9525" cy="6381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137160</xdr:colOff>
      <xdr:row>33</xdr:row>
      <xdr:rowOff>101504</xdr:rowOff>
    </xdr:from>
    <xdr:to>
      <xdr:col>27</xdr:col>
      <xdr:colOff>267907</xdr:colOff>
      <xdr:row>35</xdr:row>
      <xdr:rowOff>190500</xdr:rowOff>
    </xdr:to>
    <xdr:cxnSp macro="">
      <xdr:nvCxnSpPr>
        <xdr:cNvPr id="18" name="Connettore 1 54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>
          <a:off x="11269980" y="8369204"/>
          <a:ext cx="130747" cy="4623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295275</xdr:colOff>
      <xdr:row>27</xdr:row>
      <xdr:rowOff>171450</xdr:rowOff>
    </xdr:from>
    <xdr:to>
      <xdr:col>28</xdr:col>
      <xdr:colOff>295277</xdr:colOff>
      <xdr:row>32</xdr:row>
      <xdr:rowOff>9525</xdr:rowOff>
    </xdr:to>
    <xdr:cxnSp macro="">
      <xdr:nvCxnSpPr>
        <xdr:cNvPr id="19" name="Connettore 1 5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CxnSpPr/>
      </xdr:nvCxnSpPr>
      <xdr:spPr>
        <a:xfrm flipH="1">
          <a:off x="11772900" y="6829425"/>
          <a:ext cx="2" cy="1076325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752475</xdr:colOff>
      <xdr:row>28</xdr:row>
      <xdr:rowOff>123825</xdr:rowOff>
    </xdr:from>
    <xdr:to>
      <xdr:col>30</xdr:col>
      <xdr:colOff>752475</xdr:colOff>
      <xdr:row>32</xdr:row>
      <xdr:rowOff>238125</xdr:rowOff>
    </xdr:to>
    <xdr:cxnSp macro="">
      <xdr:nvCxnSpPr>
        <xdr:cNvPr id="20" name="Connettore 1 6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CxnSpPr/>
      </xdr:nvCxnSpPr>
      <xdr:spPr>
        <a:xfrm>
          <a:off x="13449300" y="7029450"/>
          <a:ext cx="0" cy="1104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619125</xdr:colOff>
      <xdr:row>28</xdr:row>
      <xdr:rowOff>123825</xdr:rowOff>
    </xdr:from>
    <xdr:to>
      <xdr:col>31</xdr:col>
      <xdr:colOff>619125</xdr:colOff>
      <xdr:row>34</xdr:row>
      <xdr:rowOff>180975</xdr:rowOff>
    </xdr:to>
    <xdr:cxnSp macro="">
      <xdr:nvCxnSpPr>
        <xdr:cNvPr id="21" name="Connettore 1 8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CxnSpPr/>
      </xdr:nvCxnSpPr>
      <xdr:spPr>
        <a:xfrm>
          <a:off x="14144625" y="7029450"/>
          <a:ext cx="0" cy="1485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504825</xdr:colOff>
      <xdr:row>28</xdr:row>
      <xdr:rowOff>76200</xdr:rowOff>
    </xdr:from>
    <xdr:to>
      <xdr:col>30</xdr:col>
      <xdr:colOff>647701</xdr:colOff>
      <xdr:row>35</xdr:row>
      <xdr:rowOff>200025</xdr:rowOff>
    </xdr:to>
    <xdr:sp macro="" textlink="">
      <xdr:nvSpPr>
        <xdr:cNvPr id="22" name="Arc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10570845" y="7086600"/>
          <a:ext cx="3122296" cy="1754505"/>
        </a:xfrm>
        <a:prstGeom prst="arc">
          <a:avLst>
            <a:gd name="adj1" fmla="val 5851476"/>
            <a:gd name="adj2" fmla="val 8229024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542926</xdr:colOff>
      <xdr:row>28</xdr:row>
      <xdr:rowOff>76200</xdr:rowOff>
    </xdr:from>
    <xdr:to>
      <xdr:col>30</xdr:col>
      <xdr:colOff>495301</xdr:colOff>
      <xdr:row>35</xdr:row>
      <xdr:rowOff>200025</xdr:rowOff>
    </xdr:to>
    <xdr:sp macro="" textlink="">
      <xdr:nvSpPr>
        <xdr:cNvPr id="23" name="Arc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0334626" y="6981825"/>
          <a:ext cx="2857500" cy="1752600"/>
        </a:xfrm>
        <a:prstGeom prst="arc">
          <a:avLst>
            <a:gd name="adj1" fmla="val 1932501"/>
            <a:gd name="adj2" fmla="val 5114402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457200</xdr:colOff>
      <xdr:row>31</xdr:row>
      <xdr:rowOff>104775</xdr:rowOff>
    </xdr:from>
    <xdr:to>
      <xdr:col>27</xdr:col>
      <xdr:colOff>466725</xdr:colOff>
      <xdr:row>33</xdr:row>
      <xdr:rowOff>38100</xdr:rowOff>
    </xdr:to>
    <xdr:cxnSp macro="">
      <xdr:nvCxnSpPr>
        <xdr:cNvPr id="24" name="Connettore 1 3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11287125" y="7753350"/>
          <a:ext cx="9525" cy="428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31</xdr:row>
      <xdr:rowOff>104775</xdr:rowOff>
    </xdr:from>
    <xdr:to>
      <xdr:col>29</xdr:col>
      <xdr:colOff>171450</xdr:colOff>
      <xdr:row>33</xdr:row>
      <xdr:rowOff>38100</xdr:rowOff>
    </xdr:to>
    <xdr:cxnSp macro="">
      <xdr:nvCxnSpPr>
        <xdr:cNvPr id="25" name="Connettore 1 35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>
          <a:off x="12249150" y="7753350"/>
          <a:ext cx="9525" cy="428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504825</xdr:colOff>
      <xdr:row>32</xdr:row>
      <xdr:rowOff>219075</xdr:rowOff>
    </xdr:from>
    <xdr:to>
      <xdr:col>29</xdr:col>
      <xdr:colOff>133350</xdr:colOff>
      <xdr:row>32</xdr:row>
      <xdr:rowOff>228598</xdr:rowOff>
    </xdr:to>
    <xdr:cxnSp macro="">
      <xdr:nvCxnSpPr>
        <xdr:cNvPr id="26" name="Connettore 1 42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>
          <a:off x="11334750" y="8115300"/>
          <a:ext cx="885825" cy="9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285750</xdr:colOff>
      <xdr:row>33</xdr:row>
      <xdr:rowOff>104775</xdr:rowOff>
    </xdr:from>
    <xdr:to>
      <xdr:col>28</xdr:col>
      <xdr:colOff>295275</xdr:colOff>
      <xdr:row>36</xdr:row>
      <xdr:rowOff>38100</xdr:rowOff>
    </xdr:to>
    <xdr:cxnSp macro="">
      <xdr:nvCxnSpPr>
        <xdr:cNvPr id="27" name="Connettore 1 45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11763375" y="8248650"/>
          <a:ext cx="9525" cy="571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428625</xdr:colOff>
      <xdr:row>27</xdr:row>
      <xdr:rowOff>38100</xdr:rowOff>
    </xdr:from>
    <xdr:to>
      <xdr:col>28</xdr:col>
      <xdr:colOff>552450</xdr:colOff>
      <xdr:row>28</xdr:row>
      <xdr:rowOff>133350</xdr:rowOff>
    </xdr:to>
    <xdr:cxnSp macro="">
      <xdr:nvCxnSpPr>
        <xdr:cNvPr id="28" name="Connettore 2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H="1">
          <a:off x="11906250" y="6696075"/>
          <a:ext cx="123825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552450</xdr:colOff>
      <xdr:row>27</xdr:row>
      <xdr:rowOff>28575</xdr:rowOff>
    </xdr:from>
    <xdr:to>
      <xdr:col>30</xdr:col>
      <xdr:colOff>314325</xdr:colOff>
      <xdr:row>27</xdr:row>
      <xdr:rowOff>28575</xdr:rowOff>
    </xdr:to>
    <xdr:cxnSp macro="">
      <xdr:nvCxnSpPr>
        <xdr:cNvPr id="29" name="Connettore 1 13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>
          <a:off x="12030075" y="6686550"/>
          <a:ext cx="981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8</xdr:row>
      <xdr:rowOff>0</xdr:rowOff>
    </xdr:from>
    <xdr:to>
      <xdr:col>9</xdr:col>
      <xdr:colOff>971550</xdr:colOff>
      <xdr:row>9</xdr:row>
      <xdr:rowOff>28575</xdr:rowOff>
    </xdr:to>
    <xdr:sp macro="[0]!Stampa_Incisione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62675" y="1722120"/>
          <a:ext cx="1644015" cy="28003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100"/>
            <a:t>STAMPA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1</xdr:row>
      <xdr:rowOff>83820</xdr:rowOff>
    </xdr:from>
    <xdr:to>
      <xdr:col>17</xdr:col>
      <xdr:colOff>480060</xdr:colOff>
      <xdr:row>3</xdr:row>
      <xdr:rowOff>167640</xdr:rowOff>
    </xdr:to>
    <xdr:sp macro="[0]!Stampa_mod_offerte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8801100" y="205740"/>
          <a:ext cx="937260" cy="43434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STAMPA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BA13419"/>
  <sheetViews>
    <sheetView tabSelected="1" topLeftCell="A4" workbookViewId="0">
      <selection activeCell="B12" sqref="B12"/>
    </sheetView>
  </sheetViews>
  <sheetFormatPr defaultRowHeight="15"/>
  <cols>
    <col min="1" max="1" width="12.42578125" style="1" customWidth="1"/>
    <col min="2" max="2" width="19" style="1" customWidth="1"/>
    <col min="3" max="3" width="13.7109375" style="2" customWidth="1"/>
    <col min="4" max="4" width="18.5703125" style="3" customWidth="1"/>
    <col min="5" max="5" width="21" style="3" customWidth="1"/>
    <col min="6" max="6" width="11.28515625" customWidth="1"/>
    <col min="7" max="7" width="10.140625" customWidth="1"/>
    <col min="8" max="9" width="13" customWidth="1"/>
    <col min="10" max="10" width="14.7109375" customWidth="1"/>
    <col min="11" max="11" width="15.5703125" customWidth="1"/>
    <col min="12" max="12" width="9.7109375" hidden="1" customWidth="1"/>
    <col min="13" max="17" width="9.140625" hidden="1" customWidth="1"/>
    <col min="18" max="18" width="11.5703125" hidden="1" customWidth="1"/>
    <col min="19" max="21" width="9.140625" hidden="1" customWidth="1"/>
    <col min="22" max="22" width="17.7109375" hidden="1" customWidth="1"/>
    <col min="23" max="23" width="10.42578125" hidden="1" customWidth="1"/>
    <col min="24" max="24" width="11.42578125" hidden="1" customWidth="1"/>
    <col min="25" max="26" width="9.140625" hidden="1" customWidth="1"/>
    <col min="27" max="27" width="9.7109375" hidden="1" customWidth="1"/>
    <col min="28" max="28" width="9.7109375" bestFit="1" customWidth="1"/>
    <col min="30" max="30" width="15.7109375" customWidth="1"/>
    <col min="31" max="31" width="12.42578125" customWidth="1"/>
    <col min="32" max="32" width="10.28515625" customWidth="1"/>
    <col min="53" max="53" width="32.42578125" style="85" customWidth="1"/>
  </cols>
  <sheetData>
    <row r="1" spans="1:53" ht="17.25">
      <c r="A1" s="16">
        <f ca="1">NOW()</f>
        <v>43524.674062268517</v>
      </c>
      <c r="B1" s="40" t="str">
        <f ca="1">MID(CELL("FILENAME",H78),FIND("[",CELL("FILENAME",H78))+1,FIND("]",CELL("FILENAME",H78))-FIND("[",CELL("FILENAME",H78))-6)</f>
        <v>main powerskyving</v>
      </c>
      <c r="C1" s="41" t="s">
        <v>47</v>
      </c>
      <c r="D1" s="465" t="s">
        <v>19</v>
      </c>
      <c r="E1" s="465"/>
      <c r="F1" s="130" t="s">
        <v>13610</v>
      </c>
      <c r="G1" s="129" t="s">
        <v>14015</v>
      </c>
      <c r="I1" s="294" t="s">
        <v>13931</v>
      </c>
      <c r="V1" s="17"/>
      <c r="AA1" t="s">
        <v>1237</v>
      </c>
      <c r="BA1" s="85" t="s">
        <v>13683</v>
      </c>
    </row>
    <row r="2" spans="1:53" ht="20.100000000000001" customHeight="1">
      <c r="A2" s="4" t="s">
        <v>16</v>
      </c>
      <c r="B2" s="4" t="s">
        <v>1</v>
      </c>
      <c r="C2" s="8"/>
      <c r="D2" s="6" t="s">
        <v>17</v>
      </c>
      <c r="E2" s="6" t="s">
        <v>18</v>
      </c>
      <c r="H2" s="61" t="s">
        <v>107</v>
      </c>
      <c r="V2" s="17" t="s">
        <v>13516</v>
      </c>
      <c r="W2" t="s">
        <v>13922</v>
      </c>
      <c r="X2" s="83"/>
      <c r="AA2" t="s">
        <v>1238</v>
      </c>
      <c r="BA2" s="85" t="s">
        <v>13684</v>
      </c>
    </row>
    <row r="3" spans="1:53" ht="20.100000000000001" customHeight="1" thickBot="1">
      <c r="A3" s="14"/>
      <c r="C3" s="8"/>
      <c r="G3" s="23"/>
      <c r="V3" s="17" t="s">
        <v>13517</v>
      </c>
      <c r="W3" t="s">
        <v>13642</v>
      </c>
      <c r="X3" s="83"/>
      <c r="AA3" t="s">
        <v>1239</v>
      </c>
      <c r="BA3" s="85" t="s">
        <v>13685</v>
      </c>
    </row>
    <row r="4" spans="1:53" ht="20.100000000000001" customHeight="1" thickTop="1">
      <c r="A4" s="14" t="s">
        <v>2</v>
      </c>
      <c r="B4" s="291">
        <v>1.3050999999999999</v>
      </c>
      <c r="C4" s="10">
        <f>C5*COS(C9*PI()/180)</f>
        <v>1.2804492753623189</v>
      </c>
      <c r="D4" s="7">
        <f>D5*COS(D9*PI()/180)</f>
        <v>1.2057551778804803</v>
      </c>
      <c r="E4" s="7">
        <f>D4</f>
        <v>1.2057551778804803</v>
      </c>
      <c r="F4" s="79"/>
      <c r="G4" s="292" t="s">
        <v>13642</v>
      </c>
      <c r="H4" s="293"/>
      <c r="X4" s="83"/>
      <c r="AA4" t="s">
        <v>1240</v>
      </c>
      <c r="BA4" s="85" t="s">
        <v>13686</v>
      </c>
    </row>
    <row r="5" spans="1:53" ht="20.100000000000001" customHeight="1">
      <c r="A5" s="14" t="s">
        <v>10</v>
      </c>
      <c r="B5" s="5">
        <f>B4/COS(B9*PI()/180)</f>
        <v>1.3050999999999999</v>
      </c>
      <c r="C5" s="10">
        <f>C17/C6</f>
        <v>1.2804492753623189</v>
      </c>
      <c r="D5" s="7">
        <f>D17/D6</f>
        <v>1.2057551778804803</v>
      </c>
      <c r="E5" s="7">
        <f>E4/COS(E9*PI()/180)</f>
        <v>1.2057551778804803</v>
      </c>
      <c r="F5" s="79"/>
      <c r="G5" s="79"/>
      <c r="X5" s="83"/>
      <c r="AA5" t="s">
        <v>1241</v>
      </c>
      <c r="BA5" s="85" t="s">
        <v>13687</v>
      </c>
    </row>
    <row r="6" spans="1:53" ht="20.100000000000001" customHeight="1">
      <c r="A6" s="14" t="s">
        <v>0</v>
      </c>
      <c r="B6" s="291">
        <v>138</v>
      </c>
      <c r="C6" s="10">
        <f>B6</f>
        <v>138</v>
      </c>
      <c r="D6" s="7">
        <f>B6</f>
        <v>138</v>
      </c>
      <c r="E6" s="7">
        <f>B6</f>
        <v>138</v>
      </c>
      <c r="F6" s="79"/>
      <c r="G6" s="79"/>
      <c r="X6" s="83"/>
      <c r="AA6" t="s">
        <v>123</v>
      </c>
      <c r="BA6" s="85" t="s">
        <v>13688</v>
      </c>
    </row>
    <row r="7" spans="1:53" ht="20.100000000000001" customHeight="1">
      <c r="A7" s="14" t="s">
        <v>12</v>
      </c>
      <c r="B7" s="291">
        <v>22.5</v>
      </c>
      <c r="C7" s="10">
        <f>ATAN(TAN(C8*PI()/180)*COS(C9*PI()/180))*180/PI()</f>
        <v>19.666800833441727</v>
      </c>
      <c r="D7" s="11"/>
      <c r="E7" s="7">
        <f>D7</f>
        <v>0</v>
      </c>
      <c r="F7" s="79"/>
      <c r="G7" s="79"/>
      <c r="AA7" t="s">
        <v>124</v>
      </c>
      <c r="BA7" s="85" t="s">
        <v>13689</v>
      </c>
    </row>
    <row r="8" spans="1:53" ht="20.100000000000001" customHeight="1">
      <c r="A8" s="14" t="s">
        <v>11</v>
      </c>
      <c r="B8" s="5">
        <f>ATAN(TAN(B7*PI()/180)/COS(B9*PI()/180))*180/PI()</f>
        <v>22.5</v>
      </c>
      <c r="C8" s="10">
        <f>(ACOS(B18/C17)*180/PI())</f>
        <v>19.666800833441727</v>
      </c>
      <c r="D8" s="7">
        <f>ATAN(TAN(D7*PI()/180)/COS(D9*PI()/180))*180/PI()</f>
        <v>0</v>
      </c>
      <c r="E8" s="7">
        <f>ATAN(TAN(E7*PI()/180)/COS(E9*PI()/180))*180/PI()</f>
        <v>0</v>
      </c>
      <c r="F8" s="79"/>
      <c r="G8" s="79"/>
      <c r="AA8" t="s">
        <v>125</v>
      </c>
      <c r="AC8" s="61" t="s">
        <v>13856</v>
      </c>
      <c r="BA8" s="85" t="s">
        <v>13690</v>
      </c>
    </row>
    <row r="9" spans="1:53" ht="20.100000000000001" customHeight="1">
      <c r="A9" s="14" t="s">
        <v>3</v>
      </c>
      <c r="B9" s="13"/>
      <c r="C9" s="10">
        <f>ATAN(PI()*ABS(C17)/B29)*180/PI()</f>
        <v>5.6213577012371063E-14</v>
      </c>
      <c r="D9" s="7">
        <f>ASIN(SIN(B34)/COS((D7*PI()/180)))*180/PI()</f>
        <v>0</v>
      </c>
      <c r="E9" s="12"/>
      <c r="F9" s="82" t="s">
        <v>13518</v>
      </c>
      <c r="G9" s="77"/>
      <c r="AA9" t="s">
        <v>4129</v>
      </c>
      <c r="AC9" s="18" t="s">
        <v>13850</v>
      </c>
      <c r="AD9" s="131"/>
      <c r="BA9" s="85" t="s">
        <v>13801</v>
      </c>
    </row>
    <row r="10" spans="1:53" ht="20.100000000000001" customHeight="1">
      <c r="A10" s="14" t="s">
        <v>4</v>
      </c>
      <c r="B10" s="13">
        <v>180.10400000000001</v>
      </c>
      <c r="C10" s="10">
        <f>B10</f>
        <v>180.10400000000001</v>
      </c>
      <c r="D10" s="7">
        <f>IF($B$6&lt;0,-ABS(B10),ABS(B10))</f>
        <v>180.10400000000001</v>
      </c>
      <c r="E10" s="7">
        <f>E17+2*D25</f>
        <v>180.10400000000001</v>
      </c>
      <c r="F10" s="86" t="s">
        <v>13563</v>
      </c>
      <c r="G10" s="87" t="str">
        <f>IF(G9="","",R213)</f>
        <v/>
      </c>
      <c r="AA10" t="s">
        <v>4130</v>
      </c>
      <c r="AC10" s="18" t="s">
        <v>13851</v>
      </c>
      <c r="AD10" s="129"/>
      <c r="BA10" s="85" t="s">
        <v>13691</v>
      </c>
    </row>
    <row r="11" spans="1:53" ht="20.100000000000001" customHeight="1">
      <c r="A11" s="14" t="s">
        <v>5</v>
      </c>
      <c r="B11" s="13">
        <v>173.3</v>
      </c>
      <c r="C11" s="10">
        <f>B11</f>
        <v>173.3</v>
      </c>
      <c r="D11" s="7">
        <f>IF($B$6&lt;0,-ABS(B11),ABS(B11))</f>
        <v>173.3</v>
      </c>
      <c r="E11" s="7">
        <f>E17-2*D26</f>
        <v>173.3</v>
      </c>
      <c r="F11" s="80"/>
      <c r="G11" s="80"/>
      <c r="AA11" t="s">
        <v>4131</v>
      </c>
      <c r="AC11" s="18" t="s">
        <v>13855</v>
      </c>
      <c r="AD11" s="253"/>
      <c r="BA11" s="85" t="s">
        <v>13692</v>
      </c>
    </row>
    <row r="12" spans="1:53" ht="20.100000000000001" customHeight="1">
      <c r="A12" s="14" t="s">
        <v>6</v>
      </c>
      <c r="B12" s="13"/>
      <c r="C12" s="10"/>
      <c r="D12" s="7">
        <f>IF($B$6&lt;0,-ABS(B12),ABS(B12))</f>
        <v>0</v>
      </c>
      <c r="E12" s="7" t="str">
        <f>IF(B12,E17+2*D27,"")</f>
        <v/>
      </c>
      <c r="F12" s="82" t="str">
        <f>IF(B12,"Ang.Semit. :","")</f>
        <v/>
      </c>
      <c r="G12" s="77"/>
      <c r="AA12" t="s">
        <v>4132</v>
      </c>
      <c r="AC12" s="18"/>
      <c r="AD12" s="18"/>
      <c r="BA12" s="85" t="s">
        <v>13693</v>
      </c>
    </row>
    <row r="13" spans="1:53" ht="20.100000000000001" customHeight="1">
      <c r="A13" s="14" t="s">
        <v>7</v>
      </c>
      <c r="B13" s="42"/>
      <c r="C13" s="10"/>
      <c r="D13" s="7">
        <f>IF($B$6&lt;0,-ABS(B13),ABS(B13))</f>
        <v>0</v>
      </c>
      <c r="E13" s="7" t="str">
        <f>IF(B13,($E$17-2*$D$28)," ")</f>
        <v xml:space="preserve"> </v>
      </c>
      <c r="F13" s="80"/>
      <c r="G13" s="81"/>
      <c r="AA13" t="s">
        <v>1242</v>
      </c>
      <c r="AC13" s="18" t="s">
        <v>13852</v>
      </c>
      <c r="AD13" s="252">
        <f>((B4*B6)/COS(RADIANS(B9))+2*AD11)+2*AD9*B4</f>
        <v>180.10379999999998</v>
      </c>
      <c r="BA13" s="85" t="s">
        <v>13694</v>
      </c>
    </row>
    <row r="14" spans="1:53" ht="20.100000000000001" customHeight="1">
      <c r="A14" s="14"/>
      <c r="B14" s="43"/>
      <c r="C14" s="10"/>
      <c r="D14" s="7"/>
      <c r="E14" s="7"/>
      <c r="F14" s="80"/>
      <c r="G14" s="80"/>
      <c r="AA14" t="s">
        <v>13675</v>
      </c>
      <c r="AC14" s="18" t="s">
        <v>13853</v>
      </c>
      <c r="AD14" s="252">
        <f>((B4*B6)/COS(RADIANS(B9))+2*AD11)-AD10*2*B4</f>
        <v>180.10379999999998</v>
      </c>
      <c r="BA14" s="85" t="s">
        <v>13695</v>
      </c>
    </row>
    <row r="15" spans="1:53" ht="20.100000000000001" customHeight="1">
      <c r="A15" s="14" t="s">
        <v>28</v>
      </c>
      <c r="B15" s="45">
        <v>0.59015525683105885</v>
      </c>
      <c r="C15" s="10"/>
      <c r="D15" s="7">
        <f>'Sp | Ep'!I5</f>
        <v>4.1251174759996054</v>
      </c>
      <c r="E15" s="7">
        <f>IF(E20="EURORICAMBI Scudding",IF(B6&lt;0,D15-E4*0.05,IF(B6&gt;0,D15+E4*0.05)),D15)</f>
        <v>4.1251174759996054</v>
      </c>
      <c r="F15" s="80"/>
      <c r="G15" s="80"/>
      <c r="AA15" t="s">
        <v>4134</v>
      </c>
      <c r="AC15" s="18" t="s">
        <v>13854</v>
      </c>
      <c r="AD15" s="252">
        <f>IF(B6&gt;0,(B4*PI()/2)+2*AD11*TAN(RADIANS(B7)),(B4*PI()/2)-2*AD11*TAN(RADIANS(B7)))</f>
        <v>2.0500462861000193</v>
      </c>
      <c r="BA15" s="85" t="s">
        <v>13860</v>
      </c>
    </row>
    <row r="16" spans="1:53" ht="20.100000000000001" customHeight="1">
      <c r="A16" s="14" t="s">
        <v>29</v>
      </c>
      <c r="B16" s="5">
        <f>B15/COS(B9*PI()/180)</f>
        <v>0.59015525683105885</v>
      </c>
      <c r="C16" s="10"/>
      <c r="D16" s="7">
        <f>'Sp | Ep'!H5</f>
        <v>4.1251174759996054</v>
      </c>
      <c r="E16" s="7">
        <f>E15/COS(E9*PI()/180)</f>
        <v>4.1251174759996054</v>
      </c>
      <c r="F16" s="80"/>
      <c r="G16" s="80"/>
      <c r="AA16" t="s">
        <v>4135</v>
      </c>
      <c r="BA16" s="85" t="s">
        <v>13696</v>
      </c>
    </row>
    <row r="17" spans="1:53" ht="20.100000000000001" customHeight="1">
      <c r="A17" s="14" t="s">
        <v>9</v>
      </c>
      <c r="B17" s="5">
        <f>B4/COS(B9*PI()/180)*B6</f>
        <v>180.10379999999998</v>
      </c>
      <c r="C17" s="10">
        <f>(B10-B11)/2+B11</f>
        <v>176.702</v>
      </c>
      <c r="D17" s="7">
        <f>B18/COS(D8*PI()/180)</f>
        <v>166.39421454750627</v>
      </c>
      <c r="E17" s="7">
        <f>E5*E6</f>
        <v>166.39421454750627</v>
      </c>
      <c r="F17" s="80"/>
      <c r="G17" s="80"/>
      <c r="AA17" t="s">
        <v>4136</v>
      </c>
      <c r="BA17" s="85" t="s">
        <v>13697</v>
      </c>
    </row>
    <row r="18" spans="1:53" ht="20.100000000000001" customHeight="1">
      <c r="A18" s="14" t="s">
        <v>8</v>
      </c>
      <c r="B18" s="5">
        <f>B17*COS(B8*PI()/180)</f>
        <v>166.39421454750627</v>
      </c>
      <c r="C18" s="9">
        <f>C17*COS(C8*PI()/180)</f>
        <v>166.39421454750627</v>
      </c>
      <c r="D18" s="7">
        <f>C18</f>
        <v>166.39421454750627</v>
      </c>
      <c r="E18" s="7">
        <f>E17*COS(E8*PI()/180)</f>
        <v>166.39421454750627</v>
      </c>
      <c r="F18" s="80"/>
      <c r="G18" s="80"/>
      <c r="AA18" t="s">
        <v>4137</v>
      </c>
      <c r="BA18" s="85" t="s">
        <v>13698</v>
      </c>
    </row>
    <row r="19" spans="1:53" ht="20.100000000000001" customHeight="1">
      <c r="A19" s="1" t="s">
        <v>21</v>
      </c>
      <c r="B19" s="47">
        <f>B34*180/PI()</f>
        <v>0</v>
      </c>
      <c r="AA19" t="s">
        <v>4138</v>
      </c>
      <c r="BA19" s="85" t="s">
        <v>13699</v>
      </c>
    </row>
    <row r="20" spans="1:53" ht="20.100000000000001" customHeight="1">
      <c r="A20" s="1" t="s">
        <v>34</v>
      </c>
      <c r="B20" s="47">
        <f>TAN(B8*PI()/180)-B8*PI()/180</f>
        <v>2.1514480674370895E-2</v>
      </c>
      <c r="D20" s="44" t="s">
        <v>13556</v>
      </c>
      <c r="E20" s="32"/>
      <c r="H20" s="61" t="s">
        <v>13605</v>
      </c>
      <c r="AA20" t="s">
        <v>4139</v>
      </c>
      <c r="BA20" s="85" t="s">
        <v>13700</v>
      </c>
    </row>
    <row r="21" spans="1:53" ht="20.100000000000001" customHeight="1">
      <c r="B21" s="47"/>
      <c r="E21" s="84"/>
      <c r="AA21" t="s">
        <v>4140</v>
      </c>
      <c r="AC21" s="18"/>
      <c r="AD21" s="18"/>
      <c r="BA21" s="85" t="s">
        <v>13701</v>
      </c>
    </row>
    <row r="22" spans="1:53" ht="20.100000000000001" customHeight="1">
      <c r="A22" s="1" t="s">
        <v>22</v>
      </c>
      <c r="B22" s="47">
        <f>IF(B9=0,0.000000000000001,+B9*PI()/180)</f>
        <v>1.0000000000000001E-15</v>
      </c>
      <c r="C22" s="128" t="s">
        <v>13606</v>
      </c>
      <c r="D22" s="127">
        <f>'Angolo Incrocio'!I10</f>
        <v>0</v>
      </c>
      <c r="G22" s="46" t="str">
        <f>"Z0     "</f>
        <v xml:space="preserve">Z0     </v>
      </c>
      <c r="H22" s="31"/>
      <c r="J22" t="str">
        <f>"Da0     "</f>
        <v xml:space="preserve">Da0     </v>
      </c>
      <c r="K22" s="44" t="str">
        <f>IF(H22,(E5*H22)+(E17-E11)," ")</f>
        <v xml:space="preserve"> </v>
      </c>
      <c r="AA22" t="s">
        <v>4141</v>
      </c>
      <c r="AC22" s="18"/>
      <c r="AD22" s="18"/>
      <c r="BA22" s="85" t="s">
        <v>13702</v>
      </c>
    </row>
    <row r="23" spans="1:53" ht="20.100000000000001" customHeight="1">
      <c r="A23" s="1" t="s">
        <v>24</v>
      </c>
      <c r="B23" s="47">
        <f>B7*PI()/180</f>
        <v>0.39269908169872414</v>
      </c>
      <c r="G23" s="46"/>
      <c r="J23" t="s">
        <v>109</v>
      </c>
      <c r="K23" s="21" t="e">
        <f>+K22-2*(D25+D26)-2*0.25*E4</f>
        <v>#VALUE!</v>
      </c>
      <c r="AA23" t="s">
        <v>4142</v>
      </c>
      <c r="BA23" s="85" t="s">
        <v>13703</v>
      </c>
    </row>
    <row r="24" spans="1:53" ht="20.100000000000001" customHeight="1">
      <c r="B24" s="47"/>
      <c r="G24" s="46" t="s">
        <v>108</v>
      </c>
      <c r="H24">
        <f>IF(B6&lt;0,E15,(PI()*E4)-E15)</f>
        <v>-0.33712586714243464</v>
      </c>
      <c r="J24" t="str">
        <f>"P_beta0     "</f>
        <v xml:space="preserve">P_beta0     </v>
      </c>
      <c r="K24" t="e">
        <f>(E4*PI()*H22)/SIN(E9*PI()/180)</f>
        <v>#DIV/0!</v>
      </c>
      <c r="AA24" t="s">
        <v>4143</v>
      </c>
      <c r="AC24" s="18"/>
      <c r="AD24" s="129"/>
      <c r="AE24" s="44"/>
      <c r="AF24" s="3"/>
      <c r="BA24" s="85" t="s">
        <v>13704</v>
      </c>
    </row>
    <row r="25" spans="1:53" ht="20.100000000000001" customHeight="1">
      <c r="A25" s="1" t="s">
        <v>13</v>
      </c>
      <c r="B25" s="47"/>
      <c r="D25" s="3">
        <f>(D10-D17)/2</f>
        <v>6.8548927262468737</v>
      </c>
      <c r="J25" t="s">
        <v>111</v>
      </c>
      <c r="K25">
        <f>+E4*H22/COS(RADIANS(E9))</f>
        <v>0</v>
      </c>
      <c r="AA25" t="s">
        <v>4144</v>
      </c>
      <c r="AC25" s="18"/>
      <c r="AD25" s="18"/>
      <c r="AE25" s="18"/>
      <c r="AF25" s="18"/>
      <c r="AG25" s="18"/>
      <c r="AH25" s="18"/>
      <c r="BA25" s="85" t="s">
        <v>13705</v>
      </c>
    </row>
    <row r="26" spans="1:53" ht="20.100000000000001" customHeight="1">
      <c r="A26" s="1" t="s">
        <v>14</v>
      </c>
      <c r="B26" s="47"/>
      <c r="D26" s="3">
        <f>(D17-D11)/2</f>
        <v>-3.4528927262468727</v>
      </c>
      <c r="J26" t="s">
        <v>112</v>
      </c>
      <c r="K26">
        <f>+K25*COS(K27)</f>
        <v>0</v>
      </c>
      <c r="AA26" t="s">
        <v>1243</v>
      </c>
      <c r="AC26" s="18"/>
      <c r="AD26" s="18"/>
      <c r="AE26" s="18"/>
      <c r="AF26" s="18"/>
      <c r="AG26" s="18"/>
      <c r="AH26" s="18"/>
      <c r="BA26" s="85" t="s">
        <v>13706</v>
      </c>
    </row>
    <row r="27" spans="1:53" ht="20.100000000000001" customHeight="1">
      <c r="A27" s="1" t="s">
        <v>15</v>
      </c>
      <c r="B27" s="47"/>
      <c r="D27" s="3">
        <f>(D12-D17)/2</f>
        <v>-83.197107273753133</v>
      </c>
      <c r="E27" s="127" t="str">
        <f>IF(I36,(D27+((K22-I36)/2)),"")</f>
        <v/>
      </c>
      <c r="J27" t="s">
        <v>113</v>
      </c>
      <c r="K27">
        <f>+ATAN(TAN(RADIANS(E7))/COS(RADIANS(E9)))</f>
        <v>0</v>
      </c>
      <c r="AA27" t="s">
        <v>4145</v>
      </c>
      <c r="AC27" s="18"/>
      <c r="AD27" s="62" t="str">
        <f>"R_pieno"</f>
        <v>R_pieno</v>
      </c>
      <c r="AE27" s="143">
        <f>(AC33/2-(AE30*TAN(RADIANS(D7))))/(COS(RADIANS(D7))-TAN(RADIANS(D7))*(1-SIN(RADIANS(D7))))</f>
        <v>2.0625587379998027</v>
      </c>
      <c r="AF27" s="18"/>
      <c r="AG27" s="18"/>
      <c r="AH27" s="18"/>
      <c r="BA27" s="85" t="s">
        <v>13707</v>
      </c>
    </row>
    <row r="28" spans="1:53" ht="20.100000000000001" customHeight="1">
      <c r="A28" s="1" t="s">
        <v>20</v>
      </c>
      <c r="B28" s="47"/>
      <c r="D28" s="3" t="str">
        <f>IF(B13,(D17-D13)/2," ")</f>
        <v xml:space="preserve"> </v>
      </c>
      <c r="AA28" t="s">
        <v>4146</v>
      </c>
      <c r="AB28" s="18"/>
      <c r="AC28" s="18"/>
      <c r="AD28" s="18"/>
      <c r="AE28" s="18"/>
      <c r="AF28" s="18"/>
      <c r="AG28" s="18"/>
      <c r="AH28" s="18"/>
      <c r="BA28" s="85" t="s">
        <v>13708</v>
      </c>
    </row>
    <row r="29" spans="1:53" ht="20.100000000000001" customHeight="1">
      <c r="A29" s="1" t="s">
        <v>26</v>
      </c>
      <c r="B29" s="47">
        <f>PI()*ABS(B17)/TAN(B22)</f>
        <v>5.6581277496360525E+17</v>
      </c>
      <c r="D29" s="3" t="str">
        <f>CONCATENATE(G22,H22)</f>
        <v xml:space="preserve">Z0     </v>
      </c>
      <c r="E29" s="3" t="str">
        <f>CONCATENATE(J22,K22)</f>
        <v xml:space="preserve">Da0      </v>
      </c>
      <c r="AA29" t="s">
        <v>4147</v>
      </c>
      <c r="AB29" s="18"/>
      <c r="AC29" s="18"/>
      <c r="AD29" s="18"/>
      <c r="AE29" s="18"/>
      <c r="AF29" s="18"/>
      <c r="AG29" s="18"/>
      <c r="AH29" s="18"/>
      <c r="BA29" s="85" t="s">
        <v>13911</v>
      </c>
    </row>
    <row r="30" spans="1:53" ht="20.100000000000001" customHeight="1">
      <c r="D30" s="3" t="e">
        <f>CONCATENATE(J24,K24)</f>
        <v>#DIV/0!</v>
      </c>
      <c r="G30" s="18" t="s">
        <v>13603</v>
      </c>
      <c r="H30" t="e">
        <f>(E15-E4*PI()/2)/IF(B6&lt;0,-TAN(RADIANS(E7)),TAN(RADIANS(E7)))/2</f>
        <v>#DIV/0!</v>
      </c>
      <c r="AA30" t="s">
        <v>4148</v>
      </c>
      <c r="AB30" s="18"/>
      <c r="AC30" s="18"/>
      <c r="AD30" s="18"/>
      <c r="AE30" s="134">
        <f>(E17-E11)/2</f>
        <v>-3.4528927262468727</v>
      </c>
      <c r="AF30" s="133"/>
      <c r="AG30" s="18"/>
      <c r="AH30" s="18"/>
      <c r="BA30" s="85" t="s">
        <v>13709</v>
      </c>
    </row>
    <row r="31" spans="1:53" ht="20.100000000000001" customHeight="1">
      <c r="G31" s="18" t="s">
        <v>13604</v>
      </c>
      <c r="H31" t="e">
        <f>H30*-1</f>
        <v>#DIV/0!</v>
      </c>
      <c r="AA31" t="s">
        <v>4149</v>
      </c>
      <c r="AB31" s="18"/>
      <c r="AC31" s="18"/>
      <c r="AD31" s="18"/>
      <c r="AE31" s="18"/>
      <c r="AF31" s="133" t="e">
        <f>(E12-E11)/2</f>
        <v>#VALUE!</v>
      </c>
      <c r="AG31" s="18"/>
      <c r="AH31" s="18"/>
      <c r="BA31" s="85" t="s">
        <v>13803</v>
      </c>
    </row>
    <row r="32" spans="1:53" ht="20.100000000000001" customHeight="1">
      <c r="A32" s="1" t="s">
        <v>22</v>
      </c>
      <c r="B32" s="1">
        <f>+B9*PI()/180</f>
        <v>0</v>
      </c>
      <c r="C32" s="2" t="s">
        <v>25</v>
      </c>
      <c r="AA32" t="s">
        <v>4150</v>
      </c>
      <c r="AB32" s="18"/>
      <c r="AC32" s="18"/>
      <c r="AD32" s="18"/>
      <c r="AE32" s="18"/>
      <c r="AF32" s="18"/>
      <c r="AG32" s="62">
        <f>(E10-E11)/2</f>
        <v>3.402000000000001</v>
      </c>
      <c r="AH32" s="18" t="s">
        <v>13644</v>
      </c>
      <c r="BA32" s="85" t="s">
        <v>13710</v>
      </c>
    </row>
    <row r="33" spans="1:53" ht="20.100000000000001" customHeight="1">
      <c r="A33" s="1" t="s">
        <v>24</v>
      </c>
      <c r="B33" s="1">
        <f>B7*PI()/180</f>
        <v>0.39269908169872414</v>
      </c>
      <c r="C33" s="2" t="s">
        <v>25</v>
      </c>
      <c r="G33" s="18" t="str">
        <f>"Da0_rif.   "</f>
        <v xml:space="preserve">Da0_rif.   </v>
      </c>
      <c r="H33" s="72" t="str">
        <f>'Dati Generali'!C16</f>
        <v/>
      </c>
      <c r="I33" s="44" t="s">
        <v>13607</v>
      </c>
      <c r="J33" s="18" t="e">
        <f>IF(H33='Dati Generali'!C16,'Tab. Punti Contr.'!Z46*E4,"")</f>
        <v>#VALUE!</v>
      </c>
      <c r="AA33" t="s">
        <v>4151</v>
      </c>
      <c r="AB33" s="18"/>
      <c r="AC33" s="135">
        <f>E15</f>
        <v>4.1251174759996054</v>
      </c>
      <c r="AD33" s="18"/>
      <c r="AE33" s="18"/>
      <c r="AF33" s="18"/>
      <c r="AG33" s="18"/>
      <c r="AH33" s="18"/>
      <c r="BA33" s="85" t="s">
        <v>13711</v>
      </c>
    </row>
    <row r="34" spans="1:53">
      <c r="A34" s="1" t="s">
        <v>23</v>
      </c>
      <c r="B34" s="1">
        <f>ASIN(SIN(B32)*COS(B33))</f>
        <v>0</v>
      </c>
      <c r="C34" s="2" t="s">
        <v>25</v>
      </c>
      <c r="AA34" t="s">
        <v>4152</v>
      </c>
      <c r="AB34" s="18"/>
      <c r="AC34" s="18"/>
      <c r="AD34" s="18"/>
      <c r="AE34" s="18"/>
      <c r="AF34" s="18"/>
      <c r="AG34" s="18"/>
      <c r="AH34" s="18"/>
      <c r="BA34" s="85" t="s">
        <v>13712</v>
      </c>
    </row>
    <row r="35" spans="1:53" ht="15.75" thickBot="1">
      <c r="AA35" t="s">
        <v>4153</v>
      </c>
      <c r="AB35" s="18"/>
      <c r="AC35" s="18"/>
      <c r="AD35" s="18"/>
      <c r="AE35" s="18"/>
      <c r="AF35" s="18"/>
      <c r="AG35" s="18"/>
      <c r="AH35" s="18"/>
      <c r="BA35" s="85" t="s">
        <v>13713</v>
      </c>
    </row>
    <row r="36" spans="1:53" ht="19.899999999999999" customHeight="1">
      <c r="A36" s="63" t="s">
        <v>110</v>
      </c>
      <c r="B36" s="64"/>
      <c r="C36" s="65"/>
      <c r="D36" s="284"/>
      <c r="E36" s="288"/>
      <c r="H36" s="72" t="s">
        <v>13616</v>
      </c>
      <c r="I36" s="131"/>
      <c r="AA36" t="s">
        <v>4154</v>
      </c>
      <c r="AB36" s="18"/>
      <c r="AC36" s="18"/>
      <c r="AD36" s="18"/>
      <c r="AE36" s="18"/>
      <c r="AF36" s="18"/>
      <c r="AG36" s="18"/>
      <c r="AH36" s="18"/>
      <c r="BA36" s="85" t="s">
        <v>13714</v>
      </c>
    </row>
    <row r="37" spans="1:53">
      <c r="A37" s="66" t="str">
        <f>+"Zo ="&amp;H22</f>
        <v>Zo =</v>
      </c>
      <c r="B37" s="67"/>
      <c r="C37" s="67" t="str">
        <f>+"Elica="&amp;E9</f>
        <v>Elica=</v>
      </c>
      <c r="D37" s="285"/>
      <c r="E37" s="287"/>
      <c r="F37" s="289"/>
      <c r="H37" s="132" t="s">
        <v>13618</v>
      </c>
      <c r="I37" s="45" t="str">
        <f>IF(I36,(ATAN((I38/I39)*TAN(RADIANS(ABS(D22))))*180/PI()),"")</f>
        <v/>
      </c>
      <c r="AA37" t="s">
        <v>3361</v>
      </c>
      <c r="AB37" s="44" t="str">
        <f>CONCATENATE(D7,AL36)</f>
        <v/>
      </c>
      <c r="AC37" s="18" t="str">
        <f>"°"</f>
        <v>°</v>
      </c>
      <c r="AD37" s="47" t="str">
        <f>CONCATENATE(G12,AC37)</f>
        <v>°</v>
      </c>
      <c r="AE37" s="18"/>
      <c r="AF37" s="18"/>
      <c r="AG37" s="18"/>
      <c r="AH37" s="18"/>
      <c r="BA37" s="85" t="s">
        <v>13715</v>
      </c>
    </row>
    <row r="38" spans="1:53">
      <c r="A38" s="66" t="str">
        <f>+"Dao="&amp;K22</f>
        <v xml:space="preserve">Dao= </v>
      </c>
      <c r="B38" s="67"/>
      <c r="C38" s="67" t="str">
        <f>+"Spn0="&amp;H24</f>
        <v>Spn0=-0.337125867142435</v>
      </c>
      <c r="D38" s="285"/>
      <c r="E38" s="287" t="e">
        <f>+"Sbn0="&amp;'Sp | Ep'!B12</f>
        <v>#DIV/0!</v>
      </c>
      <c r="F38" s="289"/>
      <c r="H38" s="72" t="s">
        <v>13619</v>
      </c>
      <c r="I38" s="18">
        <f>ABS(((E11+I36)/(E6+H22))*H22)</f>
        <v>0</v>
      </c>
      <c r="AA38" t="s">
        <v>4155</v>
      </c>
      <c r="AB38" s="18"/>
      <c r="AC38" s="18"/>
      <c r="AD38" s="18"/>
      <c r="AE38" s="18"/>
      <c r="AF38" s="18"/>
      <c r="AG38" s="18"/>
      <c r="AH38" s="18"/>
      <c r="BA38" s="85" t="s">
        <v>13716</v>
      </c>
    </row>
    <row r="39" spans="1:53" ht="15.75" thickBot="1">
      <c r="A39" s="68" t="e">
        <f>+"Dfo="&amp;K23</f>
        <v>#VALUE!</v>
      </c>
      <c r="B39" s="69"/>
      <c r="C39" s="70" t="e">
        <f>+"Sn0="&amp;'Sp | Ep'!I8</f>
        <v>#VALUE!</v>
      </c>
      <c r="D39" s="286"/>
      <c r="E39" s="287"/>
      <c r="F39" s="289"/>
      <c r="H39" s="72" t="s">
        <v>13617</v>
      </c>
      <c r="I39" s="18">
        <f>ABS(E5*H22)</f>
        <v>0</v>
      </c>
      <c r="AA39" t="s">
        <v>4156</v>
      </c>
      <c r="AB39" s="18"/>
      <c r="AC39" s="18"/>
      <c r="AD39" s="18"/>
      <c r="AE39" s="18"/>
      <c r="AF39" s="18"/>
      <c r="AG39" s="18"/>
      <c r="AH39" s="18"/>
      <c r="BA39" s="85" t="s">
        <v>13717</v>
      </c>
    </row>
    <row r="40" spans="1:53">
      <c r="A40" s="125"/>
      <c r="B40" s="125"/>
      <c r="C40" s="126"/>
      <c r="D40" s="62"/>
      <c r="E40" s="290"/>
      <c r="AA40" t="s">
        <v>4157</v>
      </c>
      <c r="AC40" s="18"/>
      <c r="AD40" s="18"/>
      <c r="AE40" s="18"/>
      <c r="AF40" s="18"/>
      <c r="AG40" s="18"/>
      <c r="AH40" s="18"/>
      <c r="BA40" s="85" t="s">
        <v>13718</v>
      </c>
    </row>
    <row r="41" spans="1:53">
      <c r="A41" s="18" t="str">
        <f>IF('Md_k  |  W'!C10,"Wildhaber","")</f>
        <v>Wildhaber</v>
      </c>
      <c r="B41" s="47">
        <f>'Md_k  |  W'!C9</f>
        <v>57.156999999999996</v>
      </c>
      <c r="C41" s="127" t="str">
        <f>'Md_k  |  W'!D9</f>
        <v>sn</v>
      </c>
      <c r="D41" s="3">
        <f>'Md_k  |  W'!E9</f>
        <v>0.59015525683105885</v>
      </c>
      <c r="AA41" t="s">
        <v>4158</v>
      </c>
      <c r="AC41" s="18"/>
      <c r="AD41" s="18"/>
      <c r="AE41" s="18"/>
      <c r="AF41" s="18"/>
      <c r="AG41" s="18"/>
      <c r="AH41" s="18"/>
      <c r="BA41" s="85" t="s">
        <v>13622</v>
      </c>
    </row>
    <row r="42" spans="1:53">
      <c r="A42" s="18" t="str">
        <f>IF('Md_k  |  W'!C10,"n_z","")</f>
        <v>n_z</v>
      </c>
      <c r="B42" s="47">
        <f>'Md_k  |  W'!C10</f>
        <v>15</v>
      </c>
      <c r="C42" s="126"/>
      <c r="D42" s="62"/>
      <c r="AA42" t="s">
        <v>4159</v>
      </c>
      <c r="BA42" s="85" t="s">
        <v>13719</v>
      </c>
    </row>
    <row r="43" spans="1:53">
      <c r="A43" s="47" t="str">
        <f>IF('Md_k  |  W'!C16,"Quota rulli","")</f>
        <v/>
      </c>
      <c r="B43" s="47">
        <f>'Md_k  |  W'!C15</f>
        <v>0</v>
      </c>
      <c r="C43" s="127" t="str">
        <f>'Md_k  |  W'!D15</f>
        <v>sn</v>
      </c>
      <c r="D43" s="3" t="str">
        <f>'Md_k  |  W'!E15</f>
        <v xml:space="preserve"> </v>
      </c>
      <c r="AA43" t="s">
        <v>4160</v>
      </c>
      <c r="BA43" s="85" t="s">
        <v>13720</v>
      </c>
    </row>
    <row r="44" spans="1:53">
      <c r="A44" s="47" t="str">
        <f>IF('Md_k  |  W'!C16,"diam rulli","")</f>
        <v/>
      </c>
      <c r="B44" s="47">
        <f>'Md_k  |  W'!C16</f>
        <v>0</v>
      </c>
      <c r="C44" s="127"/>
      <c r="AA44" t="s">
        <v>4161</v>
      </c>
      <c r="BA44" s="85" t="s">
        <v>13721</v>
      </c>
    </row>
    <row r="45" spans="1:53">
      <c r="A45" s="47"/>
      <c r="B45" s="47"/>
      <c r="C45" s="127"/>
      <c r="AA45" t="s">
        <v>4162</v>
      </c>
      <c r="BA45" s="85" t="s">
        <v>13722</v>
      </c>
    </row>
    <row r="46" spans="1:53">
      <c r="AA46" t="s">
        <v>4163</v>
      </c>
      <c r="BA46" s="85" t="s">
        <v>13723</v>
      </c>
    </row>
    <row r="47" spans="1:53">
      <c r="AA47" t="s">
        <v>4164</v>
      </c>
      <c r="BA47" s="85" t="s">
        <v>13724</v>
      </c>
    </row>
    <row r="48" spans="1:53">
      <c r="AA48" t="s">
        <v>4165</v>
      </c>
      <c r="BA48" s="85" t="s">
        <v>13725</v>
      </c>
    </row>
    <row r="49" spans="27:53">
      <c r="AA49" t="s">
        <v>4166</v>
      </c>
      <c r="BA49" s="85" t="s">
        <v>13726</v>
      </c>
    </row>
    <row r="50" spans="27:53">
      <c r="AA50" t="s">
        <v>4167</v>
      </c>
      <c r="BA50" s="85" t="s">
        <v>13727</v>
      </c>
    </row>
    <row r="51" spans="27:53">
      <c r="AA51" t="s">
        <v>4168</v>
      </c>
      <c r="BA51" s="85" t="s">
        <v>13728</v>
      </c>
    </row>
    <row r="52" spans="27:53">
      <c r="AA52" t="s">
        <v>4169</v>
      </c>
      <c r="BA52" s="85" t="s">
        <v>13729</v>
      </c>
    </row>
    <row r="53" spans="27:53">
      <c r="AA53" t="s">
        <v>4170</v>
      </c>
      <c r="BA53" s="85" t="s">
        <v>13730</v>
      </c>
    </row>
    <row r="54" spans="27:53">
      <c r="AA54" t="s">
        <v>4171</v>
      </c>
      <c r="BA54" s="85" t="s">
        <v>13731</v>
      </c>
    </row>
    <row r="55" spans="27:53">
      <c r="AA55" t="s">
        <v>4172</v>
      </c>
      <c r="BA55" s="85" t="s">
        <v>13732</v>
      </c>
    </row>
    <row r="56" spans="27:53">
      <c r="AA56" t="s">
        <v>4173</v>
      </c>
      <c r="BA56" s="85" t="s">
        <v>13733</v>
      </c>
    </row>
    <row r="57" spans="27:53">
      <c r="AA57" t="s">
        <v>4174</v>
      </c>
      <c r="BA57" s="85" t="s">
        <v>13734</v>
      </c>
    </row>
    <row r="58" spans="27:53">
      <c r="AA58" t="s">
        <v>4175</v>
      </c>
      <c r="BA58" s="85" t="s">
        <v>13614</v>
      </c>
    </row>
    <row r="59" spans="27:53">
      <c r="AA59" t="s">
        <v>4176</v>
      </c>
      <c r="BA59" s="85" t="s">
        <v>13615</v>
      </c>
    </row>
    <row r="60" spans="27:53">
      <c r="AA60" t="s">
        <v>4177</v>
      </c>
      <c r="BA60" s="85" t="s">
        <v>13735</v>
      </c>
    </row>
    <row r="61" spans="27:53">
      <c r="AA61" t="s">
        <v>4178</v>
      </c>
      <c r="BA61" s="85" t="s">
        <v>13736</v>
      </c>
    </row>
    <row r="62" spans="27:53">
      <c r="AA62" t="s">
        <v>4179</v>
      </c>
      <c r="BA62" s="85" t="s">
        <v>13737</v>
      </c>
    </row>
    <row r="63" spans="27:53">
      <c r="AA63" t="s">
        <v>4180</v>
      </c>
      <c r="BA63" s="85" t="s">
        <v>13738</v>
      </c>
    </row>
    <row r="64" spans="27:53">
      <c r="AA64" t="s">
        <v>4181</v>
      </c>
      <c r="BA64" s="85" t="s">
        <v>13739</v>
      </c>
    </row>
    <row r="65" spans="27:53">
      <c r="AA65" t="s">
        <v>4182</v>
      </c>
      <c r="BA65" s="85" t="s">
        <v>13740</v>
      </c>
    </row>
    <row r="66" spans="27:53">
      <c r="AA66" t="s">
        <v>126</v>
      </c>
      <c r="BA66" s="85" t="s">
        <v>13741</v>
      </c>
    </row>
    <row r="67" spans="27:53">
      <c r="AA67" t="s">
        <v>4183</v>
      </c>
      <c r="BA67" s="85" t="s">
        <v>13804</v>
      </c>
    </row>
    <row r="68" spans="27:53">
      <c r="AA68" t="s">
        <v>13547</v>
      </c>
      <c r="BA68" s="85" t="s">
        <v>13742</v>
      </c>
    </row>
    <row r="69" spans="27:53">
      <c r="AA69" t="s">
        <v>127</v>
      </c>
      <c r="BA69" s="85" t="s">
        <v>13743</v>
      </c>
    </row>
    <row r="70" spans="27:53">
      <c r="AA70" t="s">
        <v>128</v>
      </c>
      <c r="BA70" s="85" t="s">
        <v>13744</v>
      </c>
    </row>
    <row r="71" spans="27:53">
      <c r="AA71" t="s">
        <v>4184</v>
      </c>
      <c r="BA71" s="85" t="s">
        <v>13745</v>
      </c>
    </row>
    <row r="72" spans="27:53">
      <c r="AA72" t="s">
        <v>13548</v>
      </c>
      <c r="BA72" s="85" t="s">
        <v>13746</v>
      </c>
    </row>
    <row r="73" spans="27:53">
      <c r="AA73" t="s">
        <v>4185</v>
      </c>
      <c r="BA73" s="85" t="s">
        <v>13747</v>
      </c>
    </row>
    <row r="74" spans="27:53">
      <c r="AA74" t="s">
        <v>13549</v>
      </c>
      <c r="BA74" s="85" t="s">
        <v>13748</v>
      </c>
    </row>
    <row r="75" spans="27:53">
      <c r="AA75" t="s">
        <v>13524</v>
      </c>
      <c r="BA75" s="85" t="s">
        <v>13749</v>
      </c>
    </row>
    <row r="76" spans="27:53">
      <c r="AA76" t="s">
        <v>13550</v>
      </c>
      <c r="BA76" s="85" t="s">
        <v>13750</v>
      </c>
    </row>
    <row r="77" spans="27:53">
      <c r="AA77" t="s">
        <v>13525</v>
      </c>
      <c r="BA77" s="85" t="s">
        <v>13751</v>
      </c>
    </row>
    <row r="78" spans="27:53">
      <c r="AA78" t="s">
        <v>13526</v>
      </c>
      <c r="BA78" s="85" t="s">
        <v>13752</v>
      </c>
    </row>
    <row r="79" spans="27:53">
      <c r="AA79" t="s">
        <v>13527</v>
      </c>
      <c r="BA79" s="85" t="s">
        <v>13753</v>
      </c>
    </row>
    <row r="80" spans="27:53">
      <c r="AA80" t="s">
        <v>13528</v>
      </c>
      <c r="BA80" s="85" t="s">
        <v>13754</v>
      </c>
    </row>
    <row r="81" spans="27:53">
      <c r="AA81" t="s">
        <v>13529</v>
      </c>
      <c r="BA81" s="85" t="s">
        <v>13625</v>
      </c>
    </row>
    <row r="82" spans="27:53">
      <c r="AA82" t="s">
        <v>13530</v>
      </c>
      <c r="BA82" s="85" t="s">
        <v>13755</v>
      </c>
    </row>
    <row r="83" spans="27:53">
      <c r="AA83" t="s">
        <v>13531</v>
      </c>
      <c r="BA83" s="85" t="s">
        <v>13756</v>
      </c>
    </row>
    <row r="84" spans="27:53">
      <c r="AA84" t="s">
        <v>13532</v>
      </c>
      <c r="BA84" s="85" t="s">
        <v>13757</v>
      </c>
    </row>
    <row r="85" spans="27:53">
      <c r="AA85" t="s">
        <v>13533</v>
      </c>
      <c r="BA85" s="85" t="s">
        <v>13758</v>
      </c>
    </row>
    <row r="86" spans="27:53">
      <c r="AA86" t="s">
        <v>13534</v>
      </c>
      <c r="BA86" s="85" t="s">
        <v>13759</v>
      </c>
    </row>
    <row r="87" spans="27:53">
      <c r="AA87" t="s">
        <v>13535</v>
      </c>
      <c r="BA87" s="85" t="s">
        <v>13760</v>
      </c>
    </row>
    <row r="88" spans="27:53">
      <c r="AA88" t="s">
        <v>13536</v>
      </c>
      <c r="BA88" s="85" t="s">
        <v>13761</v>
      </c>
    </row>
    <row r="89" spans="27:53">
      <c r="AA89" t="s">
        <v>13537</v>
      </c>
      <c r="BA89" s="85" t="s">
        <v>13762</v>
      </c>
    </row>
    <row r="90" spans="27:53">
      <c r="AA90" t="s">
        <v>13538</v>
      </c>
      <c r="BA90" s="85" t="s">
        <v>13763</v>
      </c>
    </row>
    <row r="91" spans="27:53">
      <c r="AA91" t="s">
        <v>13539</v>
      </c>
      <c r="BA91" s="85" t="s">
        <v>13764</v>
      </c>
    </row>
    <row r="92" spans="27:53">
      <c r="AA92" t="s">
        <v>13540</v>
      </c>
      <c r="BA92" s="85" t="s">
        <v>13765</v>
      </c>
    </row>
    <row r="93" spans="27:53">
      <c r="AA93" t="s">
        <v>13541</v>
      </c>
      <c r="BA93" s="85" t="s">
        <v>13766</v>
      </c>
    </row>
    <row r="94" spans="27:53">
      <c r="AA94" t="s">
        <v>13542</v>
      </c>
      <c r="BA94" s="85" t="s">
        <v>13767</v>
      </c>
    </row>
    <row r="95" spans="27:53">
      <c r="AA95" t="s">
        <v>13543</v>
      </c>
      <c r="BA95" s="85" t="s">
        <v>13768</v>
      </c>
    </row>
    <row r="96" spans="27:53">
      <c r="AA96" t="s">
        <v>13544</v>
      </c>
      <c r="BA96" s="85" t="s">
        <v>47</v>
      </c>
    </row>
    <row r="97" spans="27:53">
      <c r="AA97" t="s">
        <v>13545</v>
      </c>
      <c r="BA97" s="85" t="s">
        <v>13845</v>
      </c>
    </row>
    <row r="98" spans="27:53">
      <c r="AA98" t="s">
        <v>129</v>
      </c>
      <c r="BA98" s="85" t="s">
        <v>13769</v>
      </c>
    </row>
    <row r="99" spans="27:53">
      <c r="AA99" t="s">
        <v>4186</v>
      </c>
      <c r="BA99" s="85" t="s">
        <v>13770</v>
      </c>
    </row>
    <row r="100" spans="27:53">
      <c r="AA100" t="s">
        <v>13562</v>
      </c>
      <c r="BA100" s="85" t="s">
        <v>13771</v>
      </c>
    </row>
    <row r="101" spans="27:53">
      <c r="AA101" t="s">
        <v>130</v>
      </c>
      <c r="BA101" s="85" t="s">
        <v>13772</v>
      </c>
    </row>
    <row r="102" spans="27:53">
      <c r="AA102" t="s">
        <v>131</v>
      </c>
      <c r="BA102" s="85" t="s">
        <v>13773</v>
      </c>
    </row>
    <row r="103" spans="27:53">
      <c r="AA103" t="s">
        <v>132</v>
      </c>
      <c r="BA103" s="85" t="s">
        <v>13774</v>
      </c>
    </row>
    <row r="104" spans="27:53">
      <c r="AA104" t="s">
        <v>3362</v>
      </c>
      <c r="BA104" s="85" t="s">
        <v>13776</v>
      </c>
    </row>
    <row r="105" spans="27:53">
      <c r="AA105" t="s">
        <v>1244</v>
      </c>
      <c r="BA105" s="85" t="s">
        <v>13775</v>
      </c>
    </row>
    <row r="106" spans="27:53">
      <c r="AA106" t="s">
        <v>13546</v>
      </c>
      <c r="BA106" s="85" t="s">
        <v>13777</v>
      </c>
    </row>
    <row r="107" spans="27:53">
      <c r="AA107" t="s">
        <v>4187</v>
      </c>
      <c r="BA107" s="85" t="s">
        <v>13778</v>
      </c>
    </row>
    <row r="108" spans="27:53">
      <c r="AA108" t="s">
        <v>4188</v>
      </c>
      <c r="BA108" s="85" t="s">
        <v>13779</v>
      </c>
    </row>
    <row r="109" spans="27:53">
      <c r="AA109" t="s">
        <v>4189</v>
      </c>
      <c r="BA109" s="85" t="s">
        <v>13780</v>
      </c>
    </row>
    <row r="110" spans="27:53">
      <c r="AA110" t="s">
        <v>4190</v>
      </c>
      <c r="BA110" s="85" t="s">
        <v>13781</v>
      </c>
    </row>
    <row r="111" spans="27:53">
      <c r="AA111" t="s">
        <v>4191</v>
      </c>
      <c r="BA111" s="85" t="s">
        <v>13782</v>
      </c>
    </row>
    <row r="112" spans="27:53">
      <c r="AA112" t="s">
        <v>4192</v>
      </c>
      <c r="BA112" s="85" t="s">
        <v>13783</v>
      </c>
    </row>
    <row r="113" spans="22:53">
      <c r="AA113" t="s">
        <v>4193</v>
      </c>
      <c r="BA113" s="85" t="s">
        <v>13784</v>
      </c>
    </row>
    <row r="114" spans="22:53">
      <c r="AA114" t="s">
        <v>4194</v>
      </c>
      <c r="BA114" s="85" t="s">
        <v>13785</v>
      </c>
    </row>
    <row r="115" spans="22:53">
      <c r="AA115" t="s">
        <v>4195</v>
      </c>
      <c r="BA115" s="85" t="s">
        <v>13786</v>
      </c>
    </row>
    <row r="116" spans="22:53">
      <c r="AA116" t="s">
        <v>4196</v>
      </c>
      <c r="BA116" s="85" t="s">
        <v>13787</v>
      </c>
    </row>
    <row r="117" spans="22:53">
      <c r="AA117" t="s">
        <v>4197</v>
      </c>
      <c r="BA117" s="85" t="s">
        <v>13788</v>
      </c>
    </row>
    <row r="118" spans="22:53">
      <c r="AA118" t="s">
        <v>4198</v>
      </c>
      <c r="BA118" s="85" t="s">
        <v>13822</v>
      </c>
    </row>
    <row r="119" spans="22:53">
      <c r="AA119" t="s">
        <v>4199</v>
      </c>
      <c r="BA119" s="85" t="s">
        <v>13789</v>
      </c>
    </row>
    <row r="120" spans="22:53">
      <c r="AA120" t="s">
        <v>4200</v>
      </c>
      <c r="BA120" s="85" t="s">
        <v>13790</v>
      </c>
    </row>
    <row r="121" spans="22:53">
      <c r="AA121" t="s">
        <v>1245</v>
      </c>
      <c r="BA121" s="85" t="s">
        <v>13626</v>
      </c>
    </row>
    <row r="122" spans="22:53">
      <c r="AA122" t="s">
        <v>4201</v>
      </c>
      <c r="BA122" s="85" t="s">
        <v>13791</v>
      </c>
    </row>
    <row r="123" spans="22:53">
      <c r="AA123" t="s">
        <v>1246</v>
      </c>
      <c r="BA123" s="85" t="s">
        <v>13792</v>
      </c>
    </row>
    <row r="124" spans="22:53">
      <c r="AA124" t="s">
        <v>3363</v>
      </c>
      <c r="BA124" s="85" t="s">
        <v>13793</v>
      </c>
    </row>
    <row r="125" spans="22:53">
      <c r="V125" s="73" t="s">
        <v>13611</v>
      </c>
      <c r="W125" t="str">
        <f>G1</f>
        <v>S.Guidolin</v>
      </c>
      <c r="X125" s="73" t="s">
        <v>13503</v>
      </c>
      <c r="AA125" t="str">
        <f>CONCATENATE(V125,W125,X125)</f>
        <v>1210 Trueprg$="S.Guidolin"</v>
      </c>
      <c r="BA125" s="85" t="s">
        <v>13794</v>
      </c>
    </row>
    <row r="126" spans="22:53">
      <c r="AA126" t="s">
        <v>1247</v>
      </c>
      <c r="BA126" s="85" t="s">
        <v>13795</v>
      </c>
    </row>
    <row r="127" spans="22:53">
      <c r="AA127" t="s">
        <v>1248</v>
      </c>
      <c r="BA127" s="85" t="s">
        <v>13796</v>
      </c>
    </row>
    <row r="128" spans="22:53">
      <c r="AA128" t="s">
        <v>4202</v>
      </c>
      <c r="BA128" s="85" t="s">
        <v>13797</v>
      </c>
    </row>
    <row r="129" spans="22:53">
      <c r="V129" s="73" t="s">
        <v>13612</v>
      </c>
      <c r="W129" t="str">
        <f>G1</f>
        <v>S.Guidolin</v>
      </c>
      <c r="X129" s="73" t="s">
        <v>13503</v>
      </c>
      <c r="AA129" t="str">
        <f>CONCATENATE(V129,W129,X129)</f>
        <v>1250 Progettista$="S.Guidolin"</v>
      </c>
      <c r="BA129" s="85" t="s">
        <v>13798</v>
      </c>
    </row>
    <row r="130" spans="22:53">
      <c r="AA130" t="s">
        <v>133</v>
      </c>
      <c r="BA130" s="85" t="s">
        <v>13799</v>
      </c>
    </row>
    <row r="131" spans="22:53">
      <c r="AA131" t="s">
        <v>4203</v>
      </c>
      <c r="BA131" s="85" t="s">
        <v>13800</v>
      </c>
    </row>
    <row r="132" spans="22:53">
      <c r="AA132" t="s">
        <v>3364</v>
      </c>
      <c r="BA132" s="85" t="s">
        <v>13802</v>
      </c>
    </row>
    <row r="133" spans="22:53">
      <c r="AA133" t="s">
        <v>4204</v>
      </c>
      <c r="BA133" s="85" t="s">
        <v>13805</v>
      </c>
    </row>
    <row r="134" spans="22:53">
      <c r="AA134" t="s">
        <v>4205</v>
      </c>
      <c r="BA134" s="85" t="s">
        <v>13806</v>
      </c>
    </row>
    <row r="135" spans="22:53">
      <c r="AA135" t="s">
        <v>4206</v>
      </c>
      <c r="BA135" s="85" t="s">
        <v>13807</v>
      </c>
    </row>
    <row r="136" spans="22:53">
      <c r="AA136" t="s">
        <v>4207</v>
      </c>
      <c r="BA136" s="85" t="s">
        <v>13808</v>
      </c>
    </row>
    <row r="137" spans="22:53">
      <c r="AA137" t="s">
        <v>3365</v>
      </c>
      <c r="BA137" s="85" t="s">
        <v>13809</v>
      </c>
    </row>
    <row r="138" spans="22:53">
      <c r="AA138" t="s">
        <v>1249</v>
      </c>
      <c r="BA138" s="85" t="s">
        <v>13810</v>
      </c>
    </row>
    <row r="139" spans="22:53">
      <c r="AA139" t="s">
        <v>4208</v>
      </c>
      <c r="BA139" s="85" t="s">
        <v>13811</v>
      </c>
    </row>
    <row r="140" spans="22:53">
      <c r="AA140" t="s">
        <v>3366</v>
      </c>
      <c r="BA140" s="85" t="s">
        <v>13812</v>
      </c>
    </row>
    <row r="141" spans="22:53">
      <c r="AA141" t="s">
        <v>4209</v>
      </c>
      <c r="BA141" s="85" t="s">
        <v>13813</v>
      </c>
    </row>
    <row r="142" spans="22:53">
      <c r="AA142" t="s">
        <v>3367</v>
      </c>
      <c r="BA142" s="85" t="s">
        <v>13814</v>
      </c>
    </row>
    <row r="143" spans="22:53">
      <c r="AA143" t="s">
        <v>4210</v>
      </c>
      <c r="BA143" s="85" t="s">
        <v>13815</v>
      </c>
    </row>
    <row r="144" spans="22:53">
      <c r="AA144" t="s">
        <v>3368</v>
      </c>
      <c r="BA144" s="85" t="s">
        <v>13816</v>
      </c>
    </row>
    <row r="145" spans="17:53">
      <c r="AA145" t="s">
        <v>134</v>
      </c>
      <c r="BA145" s="85" t="s">
        <v>13817</v>
      </c>
    </row>
    <row r="146" spans="17:53">
      <c r="AA146" t="s">
        <v>3369</v>
      </c>
      <c r="BA146" s="85" t="s">
        <v>13818</v>
      </c>
    </row>
    <row r="147" spans="17:53">
      <c r="AA147" t="s">
        <v>1250</v>
      </c>
      <c r="BA147" s="85" t="s">
        <v>13819</v>
      </c>
    </row>
    <row r="148" spans="17:53">
      <c r="AA148" t="s">
        <v>4211</v>
      </c>
      <c r="BA148" s="85" t="s">
        <v>13820</v>
      </c>
    </row>
    <row r="149" spans="17:53">
      <c r="AA149" t="s">
        <v>4212</v>
      </c>
      <c r="BA149" s="85" t="s">
        <v>13821</v>
      </c>
    </row>
    <row r="150" spans="17:53">
      <c r="AA150" t="s">
        <v>4213</v>
      </c>
      <c r="BA150" s="85" t="s">
        <v>13823</v>
      </c>
    </row>
    <row r="151" spans="17:53">
      <c r="AA151" t="s">
        <v>4214</v>
      </c>
      <c r="BA151" s="85" t="s">
        <v>13824</v>
      </c>
    </row>
    <row r="152" spans="17:53">
      <c r="AA152" t="s">
        <v>3370</v>
      </c>
      <c r="BA152" s="85" t="s">
        <v>13825</v>
      </c>
    </row>
    <row r="153" spans="17:53">
      <c r="AA153" t="s">
        <v>1251</v>
      </c>
      <c r="BA153" s="85" t="s">
        <v>13826</v>
      </c>
    </row>
    <row r="154" spans="17:53">
      <c r="AA154" t="s">
        <v>1252</v>
      </c>
      <c r="BA154" s="85" t="s">
        <v>13827</v>
      </c>
    </row>
    <row r="155" spans="17:53">
      <c r="AA155" t="s">
        <v>4215</v>
      </c>
      <c r="BA155" s="85" t="s">
        <v>13828</v>
      </c>
    </row>
    <row r="156" spans="17:53">
      <c r="AA156" t="s">
        <v>3371</v>
      </c>
      <c r="BA156" s="85" t="s">
        <v>13620</v>
      </c>
    </row>
    <row r="157" spans="17:53">
      <c r="AA157" t="s">
        <v>1253</v>
      </c>
      <c r="BA157" s="85" t="s">
        <v>13829</v>
      </c>
    </row>
    <row r="158" spans="17:53">
      <c r="AA158" t="s">
        <v>3372</v>
      </c>
      <c r="BA158" s="85" t="s">
        <v>13830</v>
      </c>
    </row>
    <row r="159" spans="17:53">
      <c r="Q159">
        <v>1530</v>
      </c>
      <c r="R159" s="73" t="s">
        <v>13670</v>
      </c>
      <c r="S159" s="73" t="s">
        <v>3329</v>
      </c>
      <c r="T159" s="73" t="s">
        <v>13503</v>
      </c>
      <c r="U159" t="str">
        <f>IF(E20=0,"",E20)</f>
        <v/>
      </c>
      <c r="V159" s="73" t="s">
        <v>13671</v>
      </c>
      <c r="W159" s="73"/>
      <c r="X159" s="73"/>
      <c r="AA159" t="str">
        <f>CONCATENATE(Q159,R159,S159,T159,U159,V159)</f>
        <v>1530 Cliente$=" "</v>
      </c>
      <c r="AH159" t="s">
        <v>13669</v>
      </c>
      <c r="BA159" s="85" t="s">
        <v>13831</v>
      </c>
    </row>
    <row r="160" spans="17:53">
      <c r="AA160" t="s">
        <v>1254</v>
      </c>
      <c r="BA160" s="85" t="s">
        <v>13832</v>
      </c>
    </row>
    <row r="161" spans="17:53">
      <c r="AA161" t="s">
        <v>1255</v>
      </c>
      <c r="BA161" s="85" t="s">
        <v>13833</v>
      </c>
    </row>
    <row r="162" spans="17:53">
      <c r="AA162" t="s">
        <v>1256</v>
      </c>
      <c r="BA162" s="85" t="s">
        <v>13834</v>
      </c>
    </row>
    <row r="163" spans="17:53">
      <c r="AA163" t="s">
        <v>4217</v>
      </c>
      <c r="BA163" s="85" t="s">
        <v>13835</v>
      </c>
    </row>
    <row r="164" spans="17:53">
      <c r="Q164">
        <v>1580</v>
      </c>
      <c r="R164" s="73" t="s">
        <v>13673</v>
      </c>
      <c r="S164" s="73" t="s">
        <v>3329</v>
      </c>
      <c r="T164" s="73" t="s">
        <v>13503</v>
      </c>
      <c r="U164" t="str">
        <f ca="1">IF(B1=0,"",B1)</f>
        <v>main powerskyving</v>
      </c>
      <c r="V164" s="73" t="s">
        <v>13503</v>
      </c>
      <c r="AA164" t="str">
        <f ca="1">CONCATENATE(Q164,R164,S164,T164,U164,V164)</f>
        <v>1580Dis$="main powerskyving"</v>
      </c>
      <c r="AH164" t="s">
        <v>13672</v>
      </c>
      <c r="BA164" s="85" t="s">
        <v>13835</v>
      </c>
    </row>
    <row r="165" spans="17:53">
      <c r="AA165" t="s">
        <v>3373</v>
      </c>
      <c r="BA165" s="85" t="s">
        <v>13836</v>
      </c>
    </row>
    <row r="166" spans="17:53">
      <c r="AA166" t="s">
        <v>4219</v>
      </c>
      <c r="BA166" s="85" t="s">
        <v>13837</v>
      </c>
    </row>
    <row r="167" spans="17:53">
      <c r="AA167" t="s">
        <v>4220</v>
      </c>
      <c r="BA167" s="85" t="s">
        <v>13838</v>
      </c>
    </row>
    <row r="168" spans="17:53">
      <c r="AA168" t="s">
        <v>4221</v>
      </c>
      <c r="BA168" s="85" t="s">
        <v>13839</v>
      </c>
    </row>
    <row r="169" spans="17:53">
      <c r="AA169" t="s">
        <v>4222</v>
      </c>
      <c r="BA169" s="85" t="s">
        <v>13840</v>
      </c>
    </row>
    <row r="170" spans="17:53">
      <c r="AA170" t="s">
        <v>4223</v>
      </c>
      <c r="BA170" s="85" t="s">
        <v>13841</v>
      </c>
    </row>
    <row r="171" spans="17:53">
      <c r="AA171" t="s">
        <v>4224</v>
      </c>
      <c r="BA171" s="85" t="s">
        <v>13608</v>
      </c>
    </row>
    <row r="172" spans="17:53">
      <c r="AA172" t="s">
        <v>4225</v>
      </c>
      <c r="BA172" s="85" t="s">
        <v>13842</v>
      </c>
    </row>
    <row r="173" spans="17:53">
      <c r="AA173" t="s">
        <v>4226</v>
      </c>
      <c r="BA173" s="85" t="s">
        <v>13843</v>
      </c>
    </row>
    <row r="174" spans="17:53">
      <c r="AA174" t="s">
        <v>4227</v>
      </c>
      <c r="BA174" s="85" t="s">
        <v>13844</v>
      </c>
    </row>
    <row r="175" spans="17:53">
      <c r="AA175" t="s">
        <v>4228</v>
      </c>
    </row>
    <row r="176" spans="17:53">
      <c r="AA176" t="s">
        <v>4229</v>
      </c>
    </row>
    <row r="177" spans="27:27">
      <c r="AA177" t="s">
        <v>4230</v>
      </c>
    </row>
    <row r="178" spans="27:27">
      <c r="AA178" t="s">
        <v>4231</v>
      </c>
    </row>
    <row r="179" spans="27:27">
      <c r="AA179" t="s">
        <v>4232</v>
      </c>
    </row>
    <row r="180" spans="27:27">
      <c r="AA180" t="s">
        <v>4233</v>
      </c>
    </row>
    <row r="181" spans="27:27">
      <c r="AA181" t="s">
        <v>4234</v>
      </c>
    </row>
    <row r="182" spans="27:27">
      <c r="AA182" t="s">
        <v>4235</v>
      </c>
    </row>
    <row r="183" spans="27:27">
      <c r="AA183" t="s">
        <v>4236</v>
      </c>
    </row>
    <row r="184" spans="27:27">
      <c r="AA184" t="s">
        <v>4237</v>
      </c>
    </row>
    <row r="185" spans="27:27">
      <c r="AA185" t="s">
        <v>4238</v>
      </c>
    </row>
    <row r="186" spans="27:27">
      <c r="AA186" t="s">
        <v>4239</v>
      </c>
    </row>
    <row r="187" spans="27:27">
      <c r="AA187" t="s">
        <v>1257</v>
      </c>
    </row>
    <row r="188" spans="27:27">
      <c r="AA188" t="s">
        <v>4240</v>
      </c>
    </row>
    <row r="189" spans="27:27">
      <c r="AA189" t="s">
        <v>4241</v>
      </c>
    </row>
    <row r="190" spans="27:27">
      <c r="AA190" t="s">
        <v>4242</v>
      </c>
    </row>
    <row r="191" spans="27:27">
      <c r="AA191" t="s">
        <v>4243</v>
      </c>
    </row>
    <row r="192" spans="27:27">
      <c r="AA192" t="s">
        <v>4244</v>
      </c>
    </row>
    <row r="193" spans="18:27">
      <c r="AA193" t="s">
        <v>4245</v>
      </c>
    </row>
    <row r="194" spans="18:27">
      <c r="AA194" t="s">
        <v>4246</v>
      </c>
    </row>
    <row r="195" spans="18:27">
      <c r="AA195" t="s">
        <v>4247</v>
      </c>
    </row>
    <row r="196" spans="18:27">
      <c r="AA196" t="s">
        <v>1258</v>
      </c>
    </row>
    <row r="197" spans="18:27">
      <c r="AA197" t="s">
        <v>4248</v>
      </c>
    </row>
    <row r="198" spans="18:27">
      <c r="AA198" t="s">
        <v>4249</v>
      </c>
    </row>
    <row r="199" spans="18:27">
      <c r="AA199" t="s">
        <v>1259</v>
      </c>
    </row>
    <row r="200" spans="18:27">
      <c r="AA200" t="s">
        <v>1260</v>
      </c>
    </row>
    <row r="201" spans="18:27">
      <c r="AA201" t="s">
        <v>3374</v>
      </c>
    </row>
    <row r="202" spans="18:27">
      <c r="AA202" t="s">
        <v>1261</v>
      </c>
    </row>
    <row r="203" spans="18:27">
      <c r="AA203" t="s">
        <v>3375</v>
      </c>
    </row>
    <row r="204" spans="18:27">
      <c r="AA204" t="s">
        <v>1262</v>
      </c>
    </row>
    <row r="205" spans="18:27">
      <c r="U205">
        <v>1963</v>
      </c>
      <c r="V205" s="73" t="s">
        <v>3330</v>
      </c>
      <c r="W205" s="73" t="s">
        <v>3329</v>
      </c>
      <c r="X205">
        <v>1</v>
      </c>
      <c r="AA205" t="str">
        <f>CONCATENATE(U205,V205,W205,X205)</f>
        <v>1963  Part=1</v>
      </c>
    </row>
    <row r="206" spans="18:27">
      <c r="U206" t="s">
        <v>1263</v>
      </c>
      <c r="W206" s="73"/>
      <c r="AA206" t="str">
        <f t="shared" ref="AA206:AA268" si="0">CONCATENATE(U206,V206,W206,X206)</f>
        <v>1964 !</v>
      </c>
    </row>
    <row r="207" spans="18:27">
      <c r="R207" s="73" t="s">
        <v>13551</v>
      </c>
      <c r="S207" s="73" t="s">
        <v>13519</v>
      </c>
      <c r="U207">
        <v>1965</v>
      </c>
      <c r="V207" s="73" t="str">
        <f>IF(E9,R207,S207)</f>
        <v xml:space="preserve"> !</v>
      </c>
      <c r="W207" s="73" t="s">
        <v>3329</v>
      </c>
      <c r="X207" t="str">
        <f>IF(E9,"1","")</f>
        <v/>
      </c>
      <c r="AA207" t="str">
        <f t="shared" si="0"/>
        <v>1965 !=</v>
      </c>
    </row>
    <row r="208" spans="18:27">
      <c r="U208" t="s">
        <v>1264</v>
      </c>
      <c r="W208" s="73"/>
      <c r="AA208" t="str">
        <f t="shared" si="0"/>
        <v>1966 !</v>
      </c>
    </row>
    <row r="209" spans="17:27">
      <c r="R209" s="73" t="s">
        <v>13552</v>
      </c>
      <c r="S209" s="73" t="s">
        <v>13519</v>
      </c>
      <c r="U209">
        <v>1967</v>
      </c>
      <c r="V209" s="73" t="str">
        <f>IF(B6&lt;0,R209,S209)</f>
        <v xml:space="preserve"> !</v>
      </c>
      <c r="W209" s="73" t="s">
        <v>3329</v>
      </c>
      <c r="X209" t="str">
        <f>IF(E6,"1","")</f>
        <v>1</v>
      </c>
      <c r="AA209" t="str">
        <f t="shared" si="0"/>
        <v>1967 !=1</v>
      </c>
    </row>
    <row r="210" spans="17:27">
      <c r="U210" t="s">
        <v>1265</v>
      </c>
      <c r="V210" s="73"/>
      <c r="W210" s="73"/>
      <c r="AA210" t="str">
        <f t="shared" si="0"/>
        <v>1968 !</v>
      </c>
    </row>
    <row r="211" spans="17:27">
      <c r="Q211" t="s">
        <v>13503</v>
      </c>
      <c r="R211">
        <f>G9</f>
        <v>0</v>
      </c>
      <c r="S211" t="s">
        <v>13503</v>
      </c>
      <c r="U211">
        <v>1969</v>
      </c>
      <c r="V211" s="73" t="s">
        <v>3331</v>
      </c>
      <c r="W211" s="73" t="s">
        <v>3329</v>
      </c>
      <c r="X211" s="73" t="str">
        <f>CONCATENATE(Q211,R211,S211)</f>
        <v>"0"</v>
      </c>
      <c r="AA211" t="str">
        <f t="shared" si="0"/>
        <v>1969  Sen_el$="0"</v>
      </c>
    </row>
    <row r="212" spans="17:27">
      <c r="U212" t="s">
        <v>1266</v>
      </c>
      <c r="V212" s="73"/>
      <c r="W212" s="73"/>
      <c r="AA212" t="str">
        <f t="shared" si="0"/>
        <v>1970 !</v>
      </c>
    </row>
    <row r="213" spans="17:27">
      <c r="Q213" t="s">
        <v>13503</v>
      </c>
      <c r="R213" t="str">
        <f>IF(E6&lt;0,R211,IF(G9="SINISTRO","DESTRO","SINISTRO"))</f>
        <v>SINISTRO</v>
      </c>
      <c r="S213" t="s">
        <v>13503</v>
      </c>
      <c r="U213">
        <v>1971</v>
      </c>
      <c r="V213" s="73" t="s">
        <v>3332</v>
      </c>
      <c r="W213" s="73" t="s">
        <v>3329</v>
      </c>
      <c r="X213" s="73" t="str">
        <f>CONCATENATE(Q213,R213,S213)</f>
        <v>"SINISTRO"</v>
      </c>
      <c r="AA213" t="str">
        <f t="shared" si="0"/>
        <v>1971  Senso$="SINISTRO"</v>
      </c>
    </row>
    <row r="214" spans="17:27">
      <c r="U214" t="s">
        <v>1267</v>
      </c>
      <c r="V214" s="73"/>
      <c r="W214" s="73"/>
      <c r="AA214" t="str">
        <f t="shared" si="0"/>
        <v>1972 !</v>
      </c>
    </row>
    <row r="215" spans="17:27">
      <c r="U215">
        <v>1973</v>
      </c>
      <c r="V215" s="73" t="s">
        <v>3333</v>
      </c>
      <c r="W215" s="73" t="s">
        <v>3329</v>
      </c>
      <c r="X215" s="78">
        <f>E4</f>
        <v>1.2057551778804803</v>
      </c>
      <c r="AA215" t="str">
        <f>CONCATENATE(U215,V215,W215,TRUNC(X215*1000000000)/1000000000)</f>
        <v>1973  Mn=1.205755177</v>
      </c>
    </row>
    <row r="216" spans="17:27">
      <c r="U216" t="s">
        <v>13499</v>
      </c>
      <c r="AA216" t="str">
        <f t="shared" si="0"/>
        <v>1974!</v>
      </c>
    </row>
    <row r="217" spans="17:27">
      <c r="Q217" t="s">
        <v>13503</v>
      </c>
      <c r="R217" s="78">
        <f>X215</f>
        <v>1.2057551778804803</v>
      </c>
      <c r="S217" t="s">
        <v>13503</v>
      </c>
      <c r="U217">
        <v>1975</v>
      </c>
      <c r="V217" s="73" t="s">
        <v>13504</v>
      </c>
      <c r="W217" s="73" t="s">
        <v>3329</v>
      </c>
      <c r="X217" t="str">
        <f>CONCATENATE(Q217,TRUNC(R217*1000000000)/1000000000,S217)</f>
        <v>"1.205755177"</v>
      </c>
      <c r="AA217" t="str">
        <f t="shared" si="0"/>
        <v>1975  Mn$="1.205755177"</v>
      </c>
    </row>
    <row r="218" spans="17:27">
      <c r="U218" t="s">
        <v>3376</v>
      </c>
      <c r="AA218" t="str">
        <f t="shared" si="0"/>
        <v>1977 !</v>
      </c>
    </row>
    <row r="219" spans="17:27">
      <c r="U219">
        <v>1978</v>
      </c>
      <c r="V219" s="73" t="s">
        <v>3334</v>
      </c>
      <c r="W219" s="73" t="s">
        <v>3329</v>
      </c>
      <c r="X219">
        <f>E6</f>
        <v>138</v>
      </c>
      <c r="AA219" t="str">
        <f t="shared" si="0"/>
        <v>1978  Z1=138</v>
      </c>
    </row>
    <row r="220" spans="17:27">
      <c r="U220" t="s">
        <v>3377</v>
      </c>
      <c r="V220" s="73"/>
      <c r="W220" s="73"/>
      <c r="AA220" t="str">
        <f t="shared" si="0"/>
        <v>1979 !</v>
      </c>
    </row>
    <row r="221" spans="17:27">
      <c r="U221">
        <v>1980</v>
      </c>
      <c r="V221" s="73" t="s">
        <v>3335</v>
      </c>
      <c r="W221" s="73" t="s">
        <v>3329</v>
      </c>
      <c r="X221">
        <f>E7</f>
        <v>0</v>
      </c>
      <c r="AA221" t="str">
        <f t="shared" si="0"/>
        <v>1980  Apni=0</v>
      </c>
    </row>
    <row r="222" spans="17:27">
      <c r="U222">
        <v>1981</v>
      </c>
      <c r="V222" s="73"/>
      <c r="W222" s="73"/>
      <c r="AA222" t="s">
        <v>3378</v>
      </c>
    </row>
    <row r="223" spans="17:27">
      <c r="U223">
        <v>1984</v>
      </c>
      <c r="V223" s="73" t="s">
        <v>3336</v>
      </c>
      <c r="W223" s="73" t="s">
        <v>3329</v>
      </c>
      <c r="X223" s="73" t="s">
        <v>3337</v>
      </c>
      <c r="AA223" t="str">
        <f t="shared" si="0"/>
        <v>1984  Apn=Apni*PI/180</v>
      </c>
    </row>
    <row r="224" spans="17:27">
      <c r="U224">
        <v>1985</v>
      </c>
      <c r="V224" s="73"/>
      <c r="W224" s="73"/>
      <c r="AA224" t="s">
        <v>3379</v>
      </c>
    </row>
    <row r="225" spans="12:27">
      <c r="L225">
        <f>TRUNC(R225)</f>
        <v>0</v>
      </c>
      <c r="M225">
        <f>TRUNC((R225-L225)*60)</f>
        <v>0</v>
      </c>
      <c r="N225">
        <f>TRUNC(((R225-L225)*60-M225)*60)</f>
        <v>0</v>
      </c>
      <c r="O225" t="s">
        <v>13559</v>
      </c>
      <c r="P225" s="73" t="s">
        <v>13560</v>
      </c>
      <c r="Q225" s="73" t="s">
        <v>13503</v>
      </c>
      <c r="R225">
        <f>X221</f>
        <v>0</v>
      </c>
      <c r="S225" s="73" t="s">
        <v>13503</v>
      </c>
      <c r="T225" s="73" t="s">
        <v>13561</v>
      </c>
      <c r="U225">
        <v>1986</v>
      </c>
      <c r="V225" s="73" t="s">
        <v>13505</v>
      </c>
      <c r="W225" t="s">
        <v>3329</v>
      </c>
      <c r="X225" t="str">
        <f>CONCATENATE(S225,L225,S225,T225,S225,O225,S225,T225,S225,M225,S225,T225,S225,P225,S225,T225,S225,N225,S225,T225,S225,P225,P225,S225)</f>
        <v>"0"&amp;"°"&amp;"0"&amp;"'"&amp;"0"&amp;"''"</v>
      </c>
      <c r="AA225" t="str">
        <f t="shared" si="0"/>
        <v>1986  Apn$="0"&amp;"°"&amp;"0"&amp;"'"&amp;"0"&amp;"''"</v>
      </c>
    </row>
    <row r="226" spans="12:27">
      <c r="U226">
        <v>1987</v>
      </c>
      <c r="AA226" t="s">
        <v>3380</v>
      </c>
    </row>
    <row r="227" spans="12:27">
      <c r="L227">
        <f>TRUNC(R227)</f>
        <v>0</v>
      </c>
      <c r="M227">
        <f>TRUNC((R227-L227)*60)</f>
        <v>0</v>
      </c>
      <c r="N227">
        <f>TRUNC(((R227-L227)*60-M227)*60)</f>
        <v>0</v>
      </c>
      <c r="O227" t="s">
        <v>13559</v>
      </c>
      <c r="P227" s="73" t="s">
        <v>13560</v>
      </c>
      <c r="Q227" s="73" t="s">
        <v>13503</v>
      </c>
      <c r="R227" s="76">
        <f>ATAN(TAN(RADIANS(X221))/COS(RADIANS(X229)))*180/PI()</f>
        <v>0</v>
      </c>
      <c r="S227" s="73" t="s">
        <v>13503</v>
      </c>
      <c r="T227" s="73" t="s">
        <v>13561</v>
      </c>
      <c r="U227">
        <v>1988</v>
      </c>
      <c r="V227" s="73" t="s">
        <v>13506</v>
      </c>
      <c r="W227" t="s">
        <v>3329</v>
      </c>
      <c r="X227" t="str">
        <f>CONCATENATE(S227,L227,S227,T227,S227,O227,S227,T227,S227,M227,S227,T227,S227,P227,S227,T227,S227,N227,S227,T227,S227,P227,P227,S227)</f>
        <v>"0"&amp;"°"&amp;"0"&amp;"'"&amp;"0"&amp;"''"</v>
      </c>
      <c r="AA227" t="str">
        <f t="shared" si="0"/>
        <v>1988  Apt$="0"&amp;"°"&amp;"0"&amp;"'"&amp;"0"&amp;"''"</v>
      </c>
    </row>
    <row r="228" spans="12:27">
      <c r="U228">
        <v>1989</v>
      </c>
      <c r="AA228" t="s">
        <v>3381</v>
      </c>
    </row>
    <row r="229" spans="12:27">
      <c r="U229" s="73">
        <v>1990</v>
      </c>
      <c r="V229" s="73" t="s">
        <v>3338</v>
      </c>
      <c r="W229" s="73" t="s">
        <v>3329</v>
      </c>
      <c r="X229">
        <f>E9</f>
        <v>0</v>
      </c>
      <c r="AA229" t="str">
        <f t="shared" si="0"/>
        <v>1990  Aeli=0</v>
      </c>
    </row>
    <row r="230" spans="12:27">
      <c r="L230">
        <f>TRUNC(R230)</f>
        <v>0</v>
      </c>
      <c r="M230">
        <f>TRUNC((R230-L230)*60)</f>
        <v>0</v>
      </c>
      <c r="N230">
        <f>TRUNC(((R230-L230)*60-M230)*60)</f>
        <v>0</v>
      </c>
      <c r="O230" t="s">
        <v>13559</v>
      </c>
      <c r="P230" s="73" t="s">
        <v>13560</v>
      </c>
      <c r="Q230" s="73" t="s">
        <v>13503</v>
      </c>
      <c r="R230">
        <f>X229</f>
        <v>0</v>
      </c>
      <c r="S230" s="73" t="s">
        <v>13503</v>
      </c>
      <c r="T230" s="73" t="s">
        <v>13561</v>
      </c>
      <c r="U230">
        <v>1991</v>
      </c>
      <c r="V230" s="73" t="s">
        <v>13507</v>
      </c>
      <c r="W230" t="s">
        <v>3329</v>
      </c>
      <c r="X230" t="str">
        <f>CONCATENATE(S230,L230,S230,T230,S230,O230,S230,T230,S230,M230,S230,T230,S230,P230,S230,T230,S230,N230,S230,T230,S230,P230,P230,S230)</f>
        <v>"0"&amp;"°"&amp;"0"&amp;"'"&amp;"0"&amp;"''"</v>
      </c>
      <c r="AA230" t="str">
        <f t="shared" si="0"/>
        <v>1991  Ael$="0"&amp;"°"&amp;"0"&amp;"'"&amp;"0"&amp;"''"</v>
      </c>
    </row>
    <row r="231" spans="12:27">
      <c r="U231" t="s">
        <v>3382</v>
      </c>
      <c r="AA231" t="str">
        <f t="shared" si="0"/>
        <v>1993 !</v>
      </c>
    </row>
    <row r="232" spans="12:27">
      <c r="U232">
        <v>1994</v>
      </c>
      <c r="V232" s="73" t="s">
        <v>3339</v>
      </c>
      <c r="W232" s="73" t="s">
        <v>3329</v>
      </c>
      <c r="X232" s="73" t="s">
        <v>3340</v>
      </c>
      <c r="AA232" t="str">
        <f t="shared" si="0"/>
        <v>1994  Ael=Aeli*PI/180</v>
      </c>
    </row>
    <row r="233" spans="12:27">
      <c r="U233" t="s">
        <v>3383</v>
      </c>
      <c r="V233" s="73"/>
      <c r="W233" s="73"/>
      <c r="AA233" t="str">
        <f t="shared" si="0"/>
        <v>1995 !</v>
      </c>
    </row>
    <row r="234" spans="12:27">
      <c r="U234">
        <v>1996</v>
      </c>
      <c r="V234" s="73" t="s">
        <v>3345</v>
      </c>
      <c r="W234" s="73" t="s">
        <v>3329</v>
      </c>
      <c r="X234" s="73" t="s">
        <v>3342</v>
      </c>
      <c r="AA234" t="str">
        <f t="shared" si="0"/>
        <v>1996  Apt=ATN(TAN(Apn)/COS(Ael))</v>
      </c>
    </row>
    <row r="235" spans="12:27">
      <c r="U235" t="s">
        <v>3384</v>
      </c>
      <c r="V235" s="73"/>
      <c r="W235" s="73"/>
      <c r="AA235" t="str">
        <f t="shared" si="0"/>
        <v>1997 !</v>
      </c>
    </row>
    <row r="236" spans="12:27">
      <c r="U236">
        <v>1998</v>
      </c>
      <c r="V236" s="73" t="s">
        <v>3346</v>
      </c>
      <c r="W236" s="73" t="s">
        <v>3329</v>
      </c>
      <c r="X236" s="73" t="s">
        <v>3344</v>
      </c>
      <c r="AA236" t="str">
        <f t="shared" si="0"/>
        <v>1998  Mt=Mn/COS(Ael)</v>
      </c>
    </row>
    <row r="237" spans="12:27">
      <c r="Q237" t="s">
        <v>13503</v>
      </c>
      <c r="R237">
        <f>X215/COS(RADIANS(X229))</f>
        <v>1.2057551778804803</v>
      </c>
      <c r="S237" t="s">
        <v>13503</v>
      </c>
      <c r="U237" t="s">
        <v>3385</v>
      </c>
      <c r="V237" s="73" t="s">
        <v>13919</v>
      </c>
      <c r="W237" s="73" t="s">
        <v>3329</v>
      </c>
      <c r="X237" t="str">
        <f>CONCATENATE(Q237,TRUNC(R237*1000000000)/1000000000,S237)</f>
        <v>"1.205755177"</v>
      </c>
      <c r="AA237" t="str">
        <f t="shared" si="0"/>
        <v>1999 !  Mt$="1.205755177"</v>
      </c>
    </row>
    <row r="238" spans="12:27">
      <c r="U238">
        <v>2000</v>
      </c>
      <c r="V238" s="73" t="s">
        <v>3347</v>
      </c>
      <c r="W238" s="73" t="s">
        <v>3329</v>
      </c>
      <c r="X238" s="73" t="s">
        <v>3343</v>
      </c>
      <c r="AA238" t="str">
        <f t="shared" si="0"/>
        <v>2000  M=Mt</v>
      </c>
    </row>
    <row r="239" spans="12:27">
      <c r="U239" t="s">
        <v>3386</v>
      </c>
      <c r="V239" s="73"/>
      <c r="W239" s="73"/>
      <c r="AA239" t="str">
        <f t="shared" si="0"/>
        <v>2001 !</v>
      </c>
    </row>
    <row r="240" spans="12:27">
      <c r="U240">
        <v>2002</v>
      </c>
      <c r="V240" s="73" t="s">
        <v>3348</v>
      </c>
      <c r="W240" s="73" t="s">
        <v>3329</v>
      </c>
      <c r="X240" s="73" t="s">
        <v>3341</v>
      </c>
      <c r="AA240" t="str">
        <f t="shared" si="0"/>
        <v>2002  Ap=Apt</v>
      </c>
    </row>
    <row r="241" spans="12:27">
      <c r="U241" t="s">
        <v>3387</v>
      </c>
      <c r="V241" s="73"/>
      <c r="W241" s="73"/>
      <c r="AA241" t="str">
        <f t="shared" si="0"/>
        <v>2003 !</v>
      </c>
    </row>
    <row r="242" spans="12:27">
      <c r="U242">
        <v>2004</v>
      </c>
      <c r="V242" s="73" t="s">
        <v>3349</v>
      </c>
      <c r="W242" s="73" t="s">
        <v>3329</v>
      </c>
      <c r="X242" s="73" t="s">
        <v>3350</v>
      </c>
      <c r="AA242" t="str">
        <f t="shared" si="0"/>
        <v>2004  D1=M*Z1</v>
      </c>
    </row>
    <row r="243" spans="12:27">
      <c r="U243" t="s">
        <v>3388</v>
      </c>
      <c r="V243" s="73"/>
      <c r="W243" s="73"/>
      <c r="AA243" t="str">
        <f t="shared" si="0"/>
        <v>2005 !</v>
      </c>
    </row>
    <row r="244" spans="12:27">
      <c r="U244">
        <v>2006</v>
      </c>
      <c r="V244" s="73" t="s">
        <v>3351</v>
      </c>
      <c r="W244" s="73" t="s">
        <v>3329</v>
      </c>
      <c r="X244" s="73" t="s">
        <v>3352</v>
      </c>
      <c r="AA244" t="str">
        <f t="shared" si="0"/>
        <v>2006  Db1=D1*COS(Ap)</v>
      </c>
    </row>
    <row r="245" spans="12:27">
      <c r="U245" t="s">
        <v>3389</v>
      </c>
      <c r="V245" s="73"/>
      <c r="W245" s="73"/>
      <c r="AA245" t="str">
        <f t="shared" si="0"/>
        <v>2007 !</v>
      </c>
    </row>
    <row r="246" spans="12:27">
      <c r="U246">
        <v>2008</v>
      </c>
      <c r="V246" s="73" t="s">
        <v>3353</v>
      </c>
      <c r="W246" s="73" t="s">
        <v>3329</v>
      </c>
      <c r="X246" s="75">
        <f>E10</f>
        <v>180.10400000000001</v>
      </c>
      <c r="AA246" t="str">
        <f t="shared" si="0"/>
        <v>2008  Da1=180.104</v>
      </c>
    </row>
    <row r="247" spans="12:27">
      <c r="U247" t="s">
        <v>3390</v>
      </c>
      <c r="V247" s="73"/>
      <c r="W247" s="73"/>
      <c r="AA247" t="str">
        <f t="shared" si="0"/>
        <v>2009 !</v>
      </c>
    </row>
    <row r="248" spans="12:27">
      <c r="U248">
        <v>2010</v>
      </c>
      <c r="V248" s="73" t="s">
        <v>13508</v>
      </c>
      <c r="W248" s="73" t="s">
        <v>3329</v>
      </c>
      <c r="X248" s="75">
        <f>E11</f>
        <v>173.3</v>
      </c>
      <c r="AA248" t="str">
        <f t="shared" si="0"/>
        <v>2010  Df1=173.3</v>
      </c>
    </row>
    <row r="249" spans="12:27">
      <c r="U249" t="s">
        <v>3391</v>
      </c>
      <c r="V249" s="73"/>
      <c r="W249" s="73"/>
      <c r="AA249" t="str">
        <f t="shared" si="0"/>
        <v>2011 !</v>
      </c>
    </row>
    <row r="250" spans="12:27">
      <c r="Q250" s="73"/>
      <c r="R250" s="73" t="s">
        <v>13520</v>
      </c>
      <c r="S250" s="73" t="s">
        <v>13519</v>
      </c>
      <c r="U250">
        <v>2012</v>
      </c>
      <c r="V250" s="73" t="str">
        <f>IF(G12,R250,S250)</f>
        <v xml:space="preserve"> !</v>
      </c>
      <c r="W250" s="73" t="s">
        <v>3329</v>
      </c>
      <c r="X250" s="75" t="str">
        <f>E12</f>
        <v/>
      </c>
      <c r="AA250" t="str">
        <f t="shared" si="0"/>
        <v>2012 !=</v>
      </c>
    </row>
    <row r="251" spans="12:27">
      <c r="U251" t="s">
        <v>3392</v>
      </c>
      <c r="V251" s="73"/>
      <c r="W251" s="73"/>
      <c r="AA251" t="str">
        <f t="shared" si="0"/>
        <v>2013 !</v>
      </c>
    </row>
    <row r="252" spans="12:27">
      <c r="R252" s="73" t="s">
        <v>13521</v>
      </c>
      <c r="S252" s="73" t="s">
        <v>13519</v>
      </c>
      <c r="U252">
        <v>2014</v>
      </c>
      <c r="V252" s="73" t="str">
        <f>IF(G12,R252,S252)</f>
        <v xml:space="preserve"> !</v>
      </c>
      <c r="W252" s="73" t="s">
        <v>3329</v>
      </c>
      <c r="X252">
        <f>G12</f>
        <v>0</v>
      </c>
      <c r="AA252" t="str">
        <f t="shared" si="0"/>
        <v>2014 !=0</v>
      </c>
    </row>
    <row r="253" spans="12:27">
      <c r="U253" t="s">
        <v>3393</v>
      </c>
      <c r="V253" s="73"/>
      <c r="W253" s="73"/>
      <c r="AA253" t="str">
        <f t="shared" si="0"/>
        <v>2015 !</v>
      </c>
    </row>
    <row r="254" spans="12:27">
      <c r="U254">
        <v>2016</v>
      </c>
      <c r="V254" s="73" t="s">
        <v>13509</v>
      </c>
      <c r="W254" s="73" t="s">
        <v>3329</v>
      </c>
      <c r="X254" t="s">
        <v>13500</v>
      </c>
      <c r="AA254" t="str">
        <f t="shared" si="0"/>
        <v>2016  Apkn=Apkni*PI/180</v>
      </c>
    </row>
    <row r="255" spans="12:27">
      <c r="U255" t="s">
        <v>3394</v>
      </c>
      <c r="V255" s="73"/>
      <c r="W255" s="73"/>
      <c r="AA255" t="str">
        <f t="shared" si="0"/>
        <v>2017 !</v>
      </c>
    </row>
    <row r="256" spans="12:27">
      <c r="L256">
        <f>TRUNC(R256)</f>
        <v>0</v>
      </c>
      <c r="M256">
        <f>TRUNC((R256-L256)*60)</f>
        <v>0</v>
      </c>
      <c r="N256">
        <f>TRUNC(((R256-L256)*60-M256)*60)</f>
        <v>0</v>
      </c>
      <c r="O256" t="s">
        <v>13559</v>
      </c>
      <c r="P256" s="73" t="s">
        <v>13560</v>
      </c>
      <c r="Q256" s="73"/>
      <c r="R256">
        <f>X252</f>
        <v>0</v>
      </c>
      <c r="S256" s="73" t="s">
        <v>13503</v>
      </c>
      <c r="T256" s="73" t="s">
        <v>13561</v>
      </c>
      <c r="U256">
        <v>2018</v>
      </c>
      <c r="V256" s="73" t="s">
        <v>13510</v>
      </c>
      <c r="W256" s="73" t="s">
        <v>3329</v>
      </c>
      <c r="X256" t="str">
        <f>CONCATENATE(S256,L256,S256,T256,S256,O256,S256,T256,S256,M256,S256,T256,S256,P256,S256)</f>
        <v>"0"&amp;"°"&amp;"0"&amp;"'"</v>
      </c>
      <c r="AA256" t="str">
        <f t="shared" si="0"/>
        <v>2018  Apkn$="0"&amp;"°"&amp;"0"&amp;"'"</v>
      </c>
    </row>
    <row r="257" spans="12:27">
      <c r="U257" t="s">
        <v>3395</v>
      </c>
      <c r="V257" s="73"/>
      <c r="W257" s="73"/>
      <c r="AA257" t="str">
        <f t="shared" si="0"/>
        <v>2019 !</v>
      </c>
    </row>
    <row r="258" spans="12:27">
      <c r="L258">
        <f>TRUNC(R258)</f>
        <v>0</v>
      </c>
      <c r="M258">
        <f>TRUNC((R258-L258)*60)</f>
        <v>0</v>
      </c>
      <c r="N258">
        <f>TRUNC(((R258-L258)*60-M258)*60)</f>
        <v>0</v>
      </c>
      <c r="O258" t="s">
        <v>13559</v>
      </c>
      <c r="P258" s="73" t="s">
        <v>13560</v>
      </c>
      <c r="Q258" s="73"/>
      <c r="R258">
        <f>ATAN(TAN(RADIANS(X252))/COS(RADIANS(X229)))*180/PI()</f>
        <v>0</v>
      </c>
      <c r="S258" s="73" t="s">
        <v>13503</v>
      </c>
      <c r="T258" s="73" t="s">
        <v>13561</v>
      </c>
      <c r="U258">
        <v>2020</v>
      </c>
      <c r="V258" s="73" t="s">
        <v>13511</v>
      </c>
      <c r="W258" s="73" t="s">
        <v>3329</v>
      </c>
      <c r="X258" t="str">
        <f>CONCATENATE(S258,L258,S258,T258,S258,O258,S258,T258,S258,M258,S258,T258,S258,P258,S258)</f>
        <v>"0"&amp;"°"&amp;"0"&amp;"'"</v>
      </c>
      <c r="AA258" t="str">
        <f t="shared" si="0"/>
        <v>2020  Apktprt$="0"&amp;"°"&amp;"0"&amp;"'"</v>
      </c>
    </row>
    <row r="259" spans="12:27">
      <c r="U259" t="s">
        <v>3396</v>
      </c>
      <c r="V259" s="73"/>
      <c r="W259" s="73"/>
      <c r="AA259" t="str">
        <f t="shared" si="0"/>
        <v>2021 !</v>
      </c>
    </row>
    <row r="260" spans="12:27">
      <c r="U260">
        <v>2022</v>
      </c>
      <c r="V260" s="73" t="s">
        <v>13512</v>
      </c>
      <c r="W260" s="73" t="s">
        <v>3329</v>
      </c>
      <c r="X260" t="s">
        <v>13515</v>
      </c>
      <c r="AA260" t="str">
        <f t="shared" si="0"/>
        <v>2022  Apkt=ATN(TAN(Apkn)/COS(Ael))</v>
      </c>
    </row>
    <row r="261" spans="12:27">
      <c r="U261" t="s">
        <v>3397</v>
      </c>
      <c r="V261" s="73"/>
      <c r="W261" s="73"/>
      <c r="AA261" t="str">
        <f t="shared" si="0"/>
        <v>2023 !</v>
      </c>
    </row>
    <row r="262" spans="12:27">
      <c r="U262">
        <v>2024</v>
      </c>
      <c r="V262" s="73" t="s">
        <v>13513</v>
      </c>
      <c r="W262" s="73" t="s">
        <v>3329</v>
      </c>
      <c r="X262" t="s">
        <v>13501</v>
      </c>
      <c r="AA262" t="str">
        <f t="shared" si="0"/>
        <v>2024  Ang=Apkt</v>
      </c>
    </row>
    <row r="263" spans="12:27">
      <c r="U263" t="s">
        <v>3398</v>
      </c>
      <c r="V263" s="73"/>
      <c r="W263" s="73"/>
      <c r="AA263" t="str">
        <f t="shared" si="0"/>
        <v>2025 !</v>
      </c>
    </row>
    <row r="264" spans="12:27">
      <c r="R264" s="73" t="s">
        <v>13553</v>
      </c>
      <c r="S264" s="73" t="s">
        <v>13519</v>
      </c>
      <c r="U264">
        <v>2026</v>
      </c>
      <c r="V264" s="73" t="str">
        <f>IF(B6&lt;0,R264,S264)</f>
        <v xml:space="preserve"> !</v>
      </c>
      <c r="W264" s="73" t="s">
        <v>3329</v>
      </c>
      <c r="X264">
        <f>TRUNC(E15*10000)/10000</f>
        <v>4.1250999999999998</v>
      </c>
      <c r="AA264" t="str">
        <f t="shared" si="0"/>
        <v>2026 !=4.1251</v>
      </c>
    </row>
    <row r="265" spans="12:27">
      <c r="U265" t="s">
        <v>3399</v>
      </c>
      <c r="V265" s="73"/>
      <c r="W265" s="73"/>
      <c r="AA265" t="str">
        <f t="shared" si="0"/>
        <v>2027 !</v>
      </c>
    </row>
    <row r="266" spans="12:27">
      <c r="R266" s="73" t="s">
        <v>13554</v>
      </c>
      <c r="S266" s="73" t="s">
        <v>13519</v>
      </c>
      <c r="U266">
        <v>2028</v>
      </c>
      <c r="V266" s="73" t="str">
        <f>IF(B6&lt;0,R266,S266)</f>
        <v xml:space="preserve"> !</v>
      </c>
      <c r="W266" s="73" t="s">
        <v>3329</v>
      </c>
      <c r="X266" t="s">
        <v>13502</v>
      </c>
      <c r="AA266" t="str">
        <f t="shared" si="0"/>
        <v>2028 !=En1s/COS(Ael)</v>
      </c>
    </row>
    <row r="267" spans="12:27">
      <c r="U267" t="s">
        <v>3400</v>
      </c>
      <c r="AA267" t="str">
        <f t="shared" si="0"/>
        <v>2029 !</v>
      </c>
    </row>
    <row r="268" spans="12:27">
      <c r="R268" s="73" t="s">
        <v>13555</v>
      </c>
      <c r="U268">
        <v>2030</v>
      </c>
      <c r="V268" s="73" t="s">
        <v>13514</v>
      </c>
      <c r="W268" t="s">
        <v>3329</v>
      </c>
      <c r="X268">
        <f>IF(B6&lt;0,R268,E15)</f>
        <v>4.1251174759996054</v>
      </c>
      <c r="AA268" t="str">
        <f t="shared" si="0"/>
        <v>2030  Sn1s=4.12511747599961</v>
      </c>
    </row>
    <row r="269" spans="12:27">
      <c r="U269" t="s">
        <v>3401</v>
      </c>
      <c r="AA269" t="s">
        <v>3401</v>
      </c>
    </row>
    <row r="270" spans="12:27">
      <c r="AA270" t="s">
        <v>3402</v>
      </c>
    </row>
    <row r="271" spans="12:27">
      <c r="AA271" t="s">
        <v>3403</v>
      </c>
    </row>
    <row r="272" spans="12:27">
      <c r="AA272" t="s">
        <v>3404</v>
      </c>
    </row>
    <row r="273" spans="27:27">
      <c r="AA273" t="s">
        <v>3405</v>
      </c>
    </row>
    <row r="274" spans="27:27">
      <c r="AA274" t="s">
        <v>3406</v>
      </c>
    </row>
    <row r="275" spans="27:27">
      <c r="AA275" t="s">
        <v>3407</v>
      </c>
    </row>
    <row r="276" spans="27:27">
      <c r="AA276" t="s">
        <v>3408</v>
      </c>
    </row>
    <row r="277" spans="27:27">
      <c r="AA277" t="s">
        <v>3409</v>
      </c>
    </row>
    <row r="278" spans="27:27">
      <c r="AA278" t="s">
        <v>3410</v>
      </c>
    </row>
    <row r="279" spans="27:27">
      <c r="AA279" t="s">
        <v>3411</v>
      </c>
    </row>
    <row r="280" spans="27:27">
      <c r="AA280" t="s">
        <v>3412</v>
      </c>
    </row>
    <row r="281" spans="27:27">
      <c r="AA281" t="s">
        <v>3413</v>
      </c>
    </row>
    <row r="282" spans="27:27">
      <c r="AA282" t="s">
        <v>3414</v>
      </c>
    </row>
    <row r="283" spans="27:27">
      <c r="AA283" t="s">
        <v>4250</v>
      </c>
    </row>
    <row r="284" spans="27:27">
      <c r="AA284" t="s">
        <v>4251</v>
      </c>
    </row>
    <row r="285" spans="27:27">
      <c r="AA285" t="s">
        <v>4252</v>
      </c>
    </row>
    <row r="286" spans="27:27">
      <c r="AA286" t="s">
        <v>4253</v>
      </c>
    </row>
    <row r="287" spans="27:27">
      <c r="AA287" t="s">
        <v>4254</v>
      </c>
    </row>
    <row r="288" spans="27:27">
      <c r="AA288" t="s">
        <v>4255</v>
      </c>
    </row>
    <row r="289" spans="27:27">
      <c r="AA289" t="s">
        <v>4256</v>
      </c>
    </row>
    <row r="290" spans="27:27">
      <c r="AA290" t="s">
        <v>4257</v>
      </c>
    </row>
    <row r="291" spans="27:27">
      <c r="AA291" t="s">
        <v>4258</v>
      </c>
    </row>
    <row r="292" spans="27:27">
      <c r="AA292" t="s">
        <v>4259</v>
      </c>
    </row>
    <row r="293" spans="27:27">
      <c r="AA293" t="s">
        <v>4260</v>
      </c>
    </row>
    <row r="294" spans="27:27">
      <c r="AA294" t="s">
        <v>4261</v>
      </c>
    </row>
    <row r="295" spans="27:27">
      <c r="AA295" t="s">
        <v>4262</v>
      </c>
    </row>
    <row r="296" spans="27:27">
      <c r="AA296" t="s">
        <v>4263</v>
      </c>
    </row>
    <row r="297" spans="27:27">
      <c r="AA297" t="s">
        <v>4264</v>
      </c>
    </row>
    <row r="298" spans="27:27">
      <c r="AA298" t="s">
        <v>4265</v>
      </c>
    </row>
    <row r="299" spans="27:27">
      <c r="AA299" t="s">
        <v>4266</v>
      </c>
    </row>
    <row r="300" spans="27:27">
      <c r="AA300" t="s">
        <v>4267</v>
      </c>
    </row>
    <row r="301" spans="27:27">
      <c r="AA301" t="s">
        <v>3415</v>
      </c>
    </row>
    <row r="302" spans="27:27">
      <c r="AA302" t="s">
        <v>4268</v>
      </c>
    </row>
    <row r="303" spans="27:27">
      <c r="AA303" t="s">
        <v>4269</v>
      </c>
    </row>
    <row r="304" spans="27:27">
      <c r="AA304" t="s">
        <v>4270</v>
      </c>
    </row>
    <row r="305" spans="18:27">
      <c r="AA305" t="s">
        <v>4271</v>
      </c>
    </row>
    <row r="306" spans="18:27">
      <c r="R306" s="73" t="s">
        <v>13522</v>
      </c>
      <c r="S306" s="73" t="s">
        <v>13519</v>
      </c>
      <c r="U306">
        <v>2068</v>
      </c>
      <c r="V306" s="73" t="str">
        <f>IF(B13,R306,S306)</f>
        <v xml:space="preserve"> !</v>
      </c>
      <c r="W306" t="str">
        <f>IF(B13,"=","")</f>
        <v/>
      </c>
      <c r="X306" s="74" t="str">
        <f>IF(B13,ABS(E13),"")</f>
        <v/>
      </c>
      <c r="AA306" t="str">
        <f>CONCATENATE(U306,V306,W306,X306)</f>
        <v>2068 !</v>
      </c>
    </row>
    <row r="307" spans="18:27">
      <c r="R307" s="73" t="s">
        <v>13655</v>
      </c>
      <c r="S307" s="73" t="s">
        <v>13519</v>
      </c>
      <c r="U307">
        <v>2069</v>
      </c>
      <c r="V307" s="73" t="str">
        <f>IF('Md_k  |  W'!C15,R307,S307)</f>
        <v xml:space="preserve"> !</v>
      </c>
      <c r="W307" t="str">
        <f>IF('Md_k  |  W'!C15,"=","")</f>
        <v/>
      </c>
      <c r="X307" t="str">
        <f>IF('Md_k  |  W'!C15,ABS('Md_k  |  W'!C15),"")</f>
        <v/>
      </c>
      <c r="AA307" t="str">
        <f>CONCATENATE(U307,V307,W307,X307)</f>
        <v>2069 !</v>
      </c>
    </row>
    <row r="308" spans="18:27">
      <c r="R308" s="73" t="s">
        <v>13656</v>
      </c>
      <c r="S308" s="73" t="s">
        <v>13519</v>
      </c>
      <c r="U308">
        <v>2070</v>
      </c>
      <c r="V308" s="73" t="str">
        <f>IF('Md_k  |  W'!C16,R308,S308)</f>
        <v xml:space="preserve"> !</v>
      </c>
      <c r="W308" t="str">
        <f>IF('Md_k  |  W'!C16,"=","")</f>
        <v/>
      </c>
      <c r="X308" t="str">
        <f>IF('Md_k  |  W'!C16,ABS('Md_k  |  W'!C16),"")</f>
        <v/>
      </c>
      <c r="AA308" t="str">
        <f>CONCATENATE(U308,V308,W308,X308)</f>
        <v>2070 !</v>
      </c>
    </row>
    <row r="309" spans="18:27">
      <c r="AA309" t="s">
        <v>3418</v>
      </c>
    </row>
    <row r="310" spans="18:27">
      <c r="R310" t="s">
        <v>13523</v>
      </c>
      <c r="T310" t="s">
        <v>4272</v>
      </c>
      <c r="AA310" t="str">
        <f>IF($B$13,T310,R310)</f>
        <v>2072 !</v>
      </c>
    </row>
    <row r="311" spans="18:27">
      <c r="R311" t="s">
        <v>13523</v>
      </c>
      <c r="T311" t="s">
        <v>4273</v>
      </c>
      <c r="AA311" t="str">
        <f t="shared" ref="AA311:AA326" si="1">IF($B$13,T311,R311)</f>
        <v>2072 !</v>
      </c>
    </row>
    <row r="312" spans="18:27">
      <c r="R312" t="s">
        <v>13523</v>
      </c>
      <c r="T312" t="s">
        <v>4274</v>
      </c>
      <c r="AA312" t="str">
        <f t="shared" si="1"/>
        <v>2072 !</v>
      </c>
    </row>
    <row r="313" spans="18:27">
      <c r="R313" t="s">
        <v>13523</v>
      </c>
      <c r="T313" t="s">
        <v>4275</v>
      </c>
      <c r="AA313" t="str">
        <f t="shared" si="1"/>
        <v>2072 !</v>
      </c>
    </row>
    <row r="314" spans="18:27">
      <c r="R314" t="s">
        <v>13523</v>
      </c>
      <c r="T314" t="s">
        <v>4276</v>
      </c>
      <c r="AA314" t="str">
        <f t="shared" si="1"/>
        <v>2072 !</v>
      </c>
    </row>
    <row r="315" spans="18:27">
      <c r="R315" t="s">
        <v>13523</v>
      </c>
      <c r="T315" t="s">
        <v>4277</v>
      </c>
      <c r="AA315" t="str">
        <f t="shared" si="1"/>
        <v>2072 !</v>
      </c>
    </row>
    <row r="316" spans="18:27">
      <c r="R316" t="s">
        <v>13523</v>
      </c>
      <c r="T316" t="s">
        <v>4278</v>
      </c>
      <c r="AA316" t="str">
        <f t="shared" si="1"/>
        <v>2072 !</v>
      </c>
    </row>
    <row r="317" spans="18:27">
      <c r="R317" t="s">
        <v>13523</v>
      </c>
      <c r="T317" t="s">
        <v>4279</v>
      </c>
      <c r="AA317" t="str">
        <f t="shared" si="1"/>
        <v>2072 !</v>
      </c>
    </row>
    <row r="318" spans="18:27">
      <c r="R318" t="s">
        <v>13523</v>
      </c>
      <c r="T318" t="s">
        <v>4280</v>
      </c>
      <c r="AA318" t="str">
        <f t="shared" si="1"/>
        <v>2072 !</v>
      </c>
    </row>
    <row r="319" spans="18:27">
      <c r="R319" t="s">
        <v>13523</v>
      </c>
      <c r="T319" t="s">
        <v>4281</v>
      </c>
      <c r="AA319" t="str">
        <f t="shared" si="1"/>
        <v>2072 !</v>
      </c>
    </row>
    <row r="320" spans="18:27">
      <c r="R320" t="s">
        <v>13523</v>
      </c>
      <c r="T320" t="s">
        <v>4282</v>
      </c>
      <c r="AA320" t="str">
        <f t="shared" si="1"/>
        <v>2072 !</v>
      </c>
    </row>
    <row r="321" spans="18:27">
      <c r="R321" t="s">
        <v>13523</v>
      </c>
      <c r="T321" t="s">
        <v>4283</v>
      </c>
      <c r="AA321" t="str">
        <f t="shared" si="1"/>
        <v>2072 !</v>
      </c>
    </row>
    <row r="322" spans="18:27">
      <c r="R322" t="s">
        <v>13523</v>
      </c>
      <c r="T322" t="s">
        <v>4284</v>
      </c>
      <c r="AA322" t="str">
        <f t="shared" si="1"/>
        <v>2072 !</v>
      </c>
    </row>
    <row r="323" spans="18:27">
      <c r="R323" t="s">
        <v>13523</v>
      </c>
      <c r="T323" t="s">
        <v>4285</v>
      </c>
      <c r="AA323" t="str">
        <f t="shared" si="1"/>
        <v>2072 !</v>
      </c>
    </row>
    <row r="324" spans="18:27">
      <c r="R324" t="s">
        <v>13523</v>
      </c>
      <c r="T324" t="s">
        <v>3419</v>
      </c>
      <c r="AA324" t="str">
        <f t="shared" si="1"/>
        <v>2072 !</v>
      </c>
    </row>
    <row r="325" spans="18:27">
      <c r="R325" t="s">
        <v>13523</v>
      </c>
      <c r="T325" t="s">
        <v>4286</v>
      </c>
      <c r="AA325" t="str">
        <f t="shared" si="1"/>
        <v>2072 !</v>
      </c>
    </row>
    <row r="326" spans="18:27">
      <c r="R326" t="s">
        <v>13523</v>
      </c>
      <c r="T326" t="s">
        <v>4287</v>
      </c>
      <c r="AA326" t="str">
        <f t="shared" si="1"/>
        <v>2072 !</v>
      </c>
    </row>
    <row r="327" spans="18:27">
      <c r="AA327" t="s">
        <v>3420</v>
      </c>
    </row>
    <row r="328" spans="18:27">
      <c r="AA328" t="s">
        <v>3421</v>
      </c>
    </row>
    <row r="329" spans="18:27">
      <c r="AA329" t="s">
        <v>3422</v>
      </c>
    </row>
    <row r="330" spans="18:27">
      <c r="AA330" t="s">
        <v>3423</v>
      </c>
    </row>
    <row r="331" spans="18:27">
      <c r="AA331" t="s">
        <v>3424</v>
      </c>
    </row>
    <row r="332" spans="18:27">
      <c r="AA332" t="s">
        <v>3425</v>
      </c>
    </row>
    <row r="333" spans="18:27">
      <c r="AA333" t="s">
        <v>3426</v>
      </c>
    </row>
    <row r="334" spans="18:27">
      <c r="AA334" t="s">
        <v>3427</v>
      </c>
    </row>
    <row r="335" spans="18:27">
      <c r="AA335" t="s">
        <v>3428</v>
      </c>
    </row>
    <row r="336" spans="18:27">
      <c r="AA336" t="s">
        <v>3429</v>
      </c>
    </row>
    <row r="337" spans="27:27">
      <c r="AA337" t="s">
        <v>4288</v>
      </c>
    </row>
    <row r="338" spans="27:27">
      <c r="AA338" t="s">
        <v>4289</v>
      </c>
    </row>
    <row r="339" spans="27:27">
      <c r="AA339" t="s">
        <v>3430</v>
      </c>
    </row>
    <row r="340" spans="27:27">
      <c r="AA340" t="s">
        <v>3431</v>
      </c>
    </row>
    <row r="341" spans="27:27">
      <c r="AA341" t="s">
        <v>4290</v>
      </c>
    </row>
    <row r="342" spans="27:27">
      <c r="AA342" t="s">
        <v>4291</v>
      </c>
    </row>
    <row r="343" spans="27:27">
      <c r="AA343" t="s">
        <v>4292</v>
      </c>
    </row>
    <row r="344" spans="27:27">
      <c r="AA344" t="s">
        <v>4293</v>
      </c>
    </row>
    <row r="345" spans="27:27">
      <c r="AA345" t="s">
        <v>4294</v>
      </c>
    </row>
    <row r="346" spans="27:27">
      <c r="AA346" t="s">
        <v>3432</v>
      </c>
    </row>
    <row r="347" spans="27:27">
      <c r="AA347" t="s">
        <v>3433</v>
      </c>
    </row>
    <row r="348" spans="27:27">
      <c r="AA348" t="s">
        <v>4295</v>
      </c>
    </row>
    <row r="349" spans="27:27">
      <c r="AA349" t="s">
        <v>4296</v>
      </c>
    </row>
    <row r="350" spans="27:27">
      <c r="AA350" t="s">
        <v>4297</v>
      </c>
    </row>
    <row r="351" spans="27:27">
      <c r="AA351" t="s">
        <v>4298</v>
      </c>
    </row>
    <row r="352" spans="27:27">
      <c r="AA352" t="s">
        <v>4299</v>
      </c>
    </row>
    <row r="353" spans="27:27">
      <c r="AA353" t="s">
        <v>4300</v>
      </c>
    </row>
    <row r="354" spans="27:27">
      <c r="AA354" t="s">
        <v>4301</v>
      </c>
    </row>
    <row r="355" spans="27:27">
      <c r="AA355" t="s">
        <v>4302</v>
      </c>
    </row>
    <row r="356" spans="27:27">
      <c r="AA356" t="s">
        <v>1268</v>
      </c>
    </row>
    <row r="357" spans="27:27">
      <c r="AA357" t="s">
        <v>3434</v>
      </c>
    </row>
    <row r="358" spans="27:27">
      <c r="AA358" t="s">
        <v>4303</v>
      </c>
    </row>
    <row r="359" spans="27:27">
      <c r="AA359" t="s">
        <v>4304</v>
      </c>
    </row>
    <row r="360" spans="27:27">
      <c r="AA360" t="s">
        <v>4305</v>
      </c>
    </row>
    <row r="361" spans="27:27">
      <c r="AA361" t="s">
        <v>4306</v>
      </c>
    </row>
    <row r="362" spans="27:27">
      <c r="AA362" t="s">
        <v>4307</v>
      </c>
    </row>
    <row r="363" spans="27:27">
      <c r="AA363" t="s">
        <v>4308</v>
      </c>
    </row>
    <row r="364" spans="27:27">
      <c r="AA364" t="s">
        <v>4309</v>
      </c>
    </row>
    <row r="365" spans="27:27">
      <c r="AA365" t="s">
        <v>4310</v>
      </c>
    </row>
    <row r="366" spans="27:27">
      <c r="AA366" t="s">
        <v>4311</v>
      </c>
    </row>
    <row r="367" spans="27:27">
      <c r="AA367" t="s">
        <v>1269</v>
      </c>
    </row>
    <row r="368" spans="27:27">
      <c r="AA368" t="s">
        <v>3435</v>
      </c>
    </row>
    <row r="369" spans="27:27">
      <c r="AA369" t="s">
        <v>4312</v>
      </c>
    </row>
    <row r="370" spans="27:27">
      <c r="AA370" t="s">
        <v>4313</v>
      </c>
    </row>
    <row r="371" spans="27:27">
      <c r="AA371" t="s">
        <v>4314</v>
      </c>
    </row>
    <row r="372" spans="27:27">
      <c r="AA372" t="s">
        <v>4315</v>
      </c>
    </row>
    <row r="373" spans="27:27">
      <c r="AA373" t="s">
        <v>4316</v>
      </c>
    </row>
    <row r="374" spans="27:27">
      <c r="AA374" t="s">
        <v>4317</v>
      </c>
    </row>
    <row r="375" spans="27:27">
      <c r="AA375" t="s">
        <v>4318</v>
      </c>
    </row>
    <row r="376" spans="27:27">
      <c r="AA376" t="s">
        <v>4319</v>
      </c>
    </row>
    <row r="377" spans="27:27">
      <c r="AA377" t="s">
        <v>1270</v>
      </c>
    </row>
    <row r="378" spans="27:27">
      <c r="AA378" t="s">
        <v>3436</v>
      </c>
    </row>
    <row r="379" spans="27:27">
      <c r="AA379" t="s">
        <v>4320</v>
      </c>
    </row>
    <row r="380" spans="27:27">
      <c r="AA380" t="s">
        <v>4321</v>
      </c>
    </row>
    <row r="381" spans="27:27">
      <c r="AA381" t="s">
        <v>4322</v>
      </c>
    </row>
    <row r="382" spans="27:27">
      <c r="AA382" t="s">
        <v>4323</v>
      </c>
    </row>
    <row r="383" spans="27:27">
      <c r="AA383" t="s">
        <v>4324</v>
      </c>
    </row>
    <row r="384" spans="27:27">
      <c r="AA384" t="s">
        <v>4325</v>
      </c>
    </row>
    <row r="385" spans="27:27">
      <c r="AA385" t="s">
        <v>4326</v>
      </c>
    </row>
    <row r="386" spans="27:27">
      <c r="AA386" t="s">
        <v>4327</v>
      </c>
    </row>
    <row r="387" spans="27:27">
      <c r="AA387" t="s">
        <v>1271</v>
      </c>
    </row>
    <row r="388" spans="27:27">
      <c r="AA388" t="s">
        <v>3437</v>
      </c>
    </row>
    <row r="389" spans="27:27">
      <c r="AA389" t="s">
        <v>4328</v>
      </c>
    </row>
    <row r="390" spans="27:27">
      <c r="AA390" t="s">
        <v>4329</v>
      </c>
    </row>
    <row r="391" spans="27:27">
      <c r="AA391" t="s">
        <v>4330</v>
      </c>
    </row>
    <row r="392" spans="27:27">
      <c r="AA392" t="s">
        <v>4331</v>
      </c>
    </row>
    <row r="393" spans="27:27">
      <c r="AA393" t="s">
        <v>4332</v>
      </c>
    </row>
    <row r="394" spans="27:27">
      <c r="AA394" t="s">
        <v>4333</v>
      </c>
    </row>
    <row r="395" spans="27:27">
      <c r="AA395" t="s">
        <v>4334</v>
      </c>
    </row>
    <row r="396" spans="27:27">
      <c r="AA396" t="s">
        <v>4335</v>
      </c>
    </row>
    <row r="397" spans="27:27">
      <c r="AA397" t="s">
        <v>1272</v>
      </c>
    </row>
    <row r="398" spans="27:27">
      <c r="AA398" t="s">
        <v>3438</v>
      </c>
    </row>
    <row r="399" spans="27:27">
      <c r="AA399" t="s">
        <v>4336</v>
      </c>
    </row>
    <row r="400" spans="27:27">
      <c r="AA400" t="s">
        <v>4337</v>
      </c>
    </row>
    <row r="401" spans="27:27">
      <c r="AA401" t="s">
        <v>4338</v>
      </c>
    </row>
    <row r="402" spans="27:27">
      <c r="AA402" t="s">
        <v>4339</v>
      </c>
    </row>
    <row r="403" spans="27:27">
      <c r="AA403" t="s">
        <v>4340</v>
      </c>
    </row>
    <row r="404" spans="27:27">
      <c r="AA404" t="s">
        <v>4341</v>
      </c>
    </row>
    <row r="405" spans="27:27">
      <c r="AA405" t="s">
        <v>4342</v>
      </c>
    </row>
    <row r="406" spans="27:27">
      <c r="AA406" t="s">
        <v>1273</v>
      </c>
    </row>
    <row r="407" spans="27:27">
      <c r="AA407" t="s">
        <v>3439</v>
      </c>
    </row>
    <row r="408" spans="27:27">
      <c r="AA408" t="s">
        <v>4343</v>
      </c>
    </row>
    <row r="409" spans="27:27">
      <c r="AA409" t="s">
        <v>4344</v>
      </c>
    </row>
    <row r="410" spans="27:27">
      <c r="AA410" t="s">
        <v>4345</v>
      </c>
    </row>
    <row r="411" spans="27:27">
      <c r="AA411" t="s">
        <v>1274</v>
      </c>
    </row>
    <row r="412" spans="27:27">
      <c r="AA412" t="s">
        <v>3440</v>
      </c>
    </row>
    <row r="413" spans="27:27">
      <c r="AA413" t="s">
        <v>4346</v>
      </c>
    </row>
    <row r="414" spans="27:27">
      <c r="AA414" t="s">
        <v>4347</v>
      </c>
    </row>
    <row r="415" spans="27:27">
      <c r="AA415" t="s">
        <v>4348</v>
      </c>
    </row>
    <row r="416" spans="27:27">
      <c r="AA416" t="s">
        <v>4349</v>
      </c>
    </row>
    <row r="417" spans="27:27">
      <c r="AA417" t="s">
        <v>4350</v>
      </c>
    </row>
    <row r="418" spans="27:27">
      <c r="AA418" t="s">
        <v>4351</v>
      </c>
    </row>
    <row r="419" spans="27:27">
      <c r="AA419" t="s">
        <v>4352</v>
      </c>
    </row>
    <row r="420" spans="27:27">
      <c r="AA420" t="s">
        <v>3441</v>
      </c>
    </row>
    <row r="421" spans="27:27">
      <c r="AA421" t="s">
        <v>135</v>
      </c>
    </row>
    <row r="422" spans="27:27">
      <c r="AA422" t="s">
        <v>4353</v>
      </c>
    </row>
    <row r="423" spans="27:27">
      <c r="AA423" t="s">
        <v>4354</v>
      </c>
    </row>
    <row r="424" spans="27:27">
      <c r="AA424" t="s">
        <v>4355</v>
      </c>
    </row>
    <row r="425" spans="27:27">
      <c r="AA425" t="s">
        <v>4356</v>
      </c>
    </row>
    <row r="426" spans="27:27">
      <c r="AA426" t="s">
        <v>4357</v>
      </c>
    </row>
    <row r="427" spans="27:27">
      <c r="AA427" t="s">
        <v>4358</v>
      </c>
    </row>
    <row r="428" spans="27:27">
      <c r="AA428" t="s">
        <v>4359</v>
      </c>
    </row>
    <row r="429" spans="27:27">
      <c r="AA429" t="s">
        <v>4360</v>
      </c>
    </row>
    <row r="430" spans="27:27">
      <c r="AA430" t="s">
        <v>4361</v>
      </c>
    </row>
    <row r="431" spans="27:27">
      <c r="AA431" t="s">
        <v>4362</v>
      </c>
    </row>
    <row r="432" spans="27:27">
      <c r="AA432" t="s">
        <v>4363</v>
      </c>
    </row>
    <row r="433" spans="27:27">
      <c r="AA433" t="s">
        <v>4364</v>
      </c>
    </row>
    <row r="434" spans="27:27">
      <c r="AA434" t="s">
        <v>4365</v>
      </c>
    </row>
    <row r="435" spans="27:27">
      <c r="AA435" t="s">
        <v>4366</v>
      </c>
    </row>
    <row r="436" spans="27:27">
      <c r="AA436" t="s">
        <v>1275</v>
      </c>
    </row>
    <row r="437" spans="27:27">
      <c r="AA437" t="s">
        <v>1276</v>
      </c>
    </row>
    <row r="438" spans="27:27">
      <c r="AA438" t="s">
        <v>4367</v>
      </c>
    </row>
    <row r="439" spans="27:27">
      <c r="AA439" t="s">
        <v>1277</v>
      </c>
    </row>
    <row r="440" spans="27:27">
      <c r="AA440" t="s">
        <v>4368</v>
      </c>
    </row>
    <row r="441" spans="27:27">
      <c r="AA441" t="s">
        <v>4369</v>
      </c>
    </row>
    <row r="442" spans="27:27">
      <c r="AA442" t="s">
        <v>4370</v>
      </c>
    </row>
    <row r="443" spans="27:27">
      <c r="AA443" t="s">
        <v>4371</v>
      </c>
    </row>
    <row r="444" spans="27:27">
      <c r="AA444" t="s">
        <v>4372</v>
      </c>
    </row>
    <row r="445" spans="27:27">
      <c r="AA445" t="s">
        <v>4373</v>
      </c>
    </row>
    <row r="446" spans="27:27">
      <c r="AA446" t="s">
        <v>4374</v>
      </c>
    </row>
    <row r="447" spans="27:27">
      <c r="AA447" t="s">
        <v>4375</v>
      </c>
    </row>
    <row r="448" spans="27:27">
      <c r="AA448" t="s">
        <v>4376</v>
      </c>
    </row>
    <row r="449" spans="27:27">
      <c r="AA449" t="s">
        <v>4377</v>
      </c>
    </row>
    <row r="450" spans="27:27">
      <c r="AA450" t="s">
        <v>4378</v>
      </c>
    </row>
    <row r="451" spans="27:27">
      <c r="AA451" t="s">
        <v>4379</v>
      </c>
    </row>
    <row r="452" spans="27:27">
      <c r="AA452" t="s">
        <v>4380</v>
      </c>
    </row>
    <row r="453" spans="27:27">
      <c r="AA453" t="s">
        <v>4381</v>
      </c>
    </row>
    <row r="454" spans="27:27">
      <c r="AA454" t="s">
        <v>4382</v>
      </c>
    </row>
    <row r="455" spans="27:27">
      <c r="AA455" t="s">
        <v>4383</v>
      </c>
    </row>
    <row r="456" spans="27:27">
      <c r="AA456" t="s">
        <v>4384</v>
      </c>
    </row>
    <row r="457" spans="27:27">
      <c r="AA457" t="s">
        <v>4385</v>
      </c>
    </row>
    <row r="458" spans="27:27">
      <c r="AA458" t="s">
        <v>4386</v>
      </c>
    </row>
    <row r="459" spans="27:27">
      <c r="AA459" t="s">
        <v>4387</v>
      </c>
    </row>
    <row r="460" spans="27:27">
      <c r="AA460" t="s">
        <v>4388</v>
      </c>
    </row>
    <row r="461" spans="27:27">
      <c r="AA461" t="s">
        <v>4389</v>
      </c>
    </row>
    <row r="462" spans="27:27">
      <c r="AA462" t="s">
        <v>4390</v>
      </c>
    </row>
    <row r="463" spans="27:27">
      <c r="AA463" t="s">
        <v>1278</v>
      </c>
    </row>
    <row r="464" spans="27:27">
      <c r="AA464" t="s">
        <v>4391</v>
      </c>
    </row>
    <row r="465" spans="27:27">
      <c r="AA465" t="s">
        <v>1279</v>
      </c>
    </row>
    <row r="466" spans="27:27">
      <c r="AA466" t="s">
        <v>4392</v>
      </c>
    </row>
    <row r="467" spans="27:27">
      <c r="AA467" t="s">
        <v>4393</v>
      </c>
    </row>
    <row r="468" spans="27:27">
      <c r="AA468" t="s">
        <v>4394</v>
      </c>
    </row>
    <row r="469" spans="27:27">
      <c r="AA469" t="s">
        <v>4395</v>
      </c>
    </row>
    <row r="470" spans="27:27">
      <c r="AA470" t="s">
        <v>4396</v>
      </c>
    </row>
    <row r="471" spans="27:27">
      <c r="AA471" t="s">
        <v>4397</v>
      </c>
    </row>
    <row r="472" spans="27:27">
      <c r="AA472" t="s">
        <v>1280</v>
      </c>
    </row>
    <row r="473" spans="27:27">
      <c r="AA473" t="s">
        <v>4398</v>
      </c>
    </row>
    <row r="474" spans="27:27">
      <c r="AA474" t="s">
        <v>1281</v>
      </c>
    </row>
    <row r="475" spans="27:27">
      <c r="AA475" t="s">
        <v>4399</v>
      </c>
    </row>
    <row r="476" spans="27:27">
      <c r="AA476" t="s">
        <v>1282</v>
      </c>
    </row>
    <row r="477" spans="27:27">
      <c r="AA477" t="s">
        <v>4400</v>
      </c>
    </row>
    <row r="478" spans="27:27">
      <c r="AA478" t="s">
        <v>4401</v>
      </c>
    </row>
    <row r="479" spans="27:27">
      <c r="AA479" t="s">
        <v>4402</v>
      </c>
    </row>
    <row r="480" spans="27:27">
      <c r="AA480" t="s">
        <v>4403</v>
      </c>
    </row>
    <row r="481" spans="27:27">
      <c r="AA481" t="s">
        <v>4404</v>
      </c>
    </row>
    <row r="482" spans="27:27">
      <c r="AA482" t="s">
        <v>4405</v>
      </c>
    </row>
    <row r="483" spans="27:27">
      <c r="AA483" t="s">
        <v>4406</v>
      </c>
    </row>
    <row r="484" spans="27:27">
      <c r="AA484" t="s">
        <v>3442</v>
      </c>
    </row>
    <row r="485" spans="27:27">
      <c r="AA485" t="s">
        <v>4407</v>
      </c>
    </row>
    <row r="486" spans="27:27">
      <c r="AA486" t="s">
        <v>4408</v>
      </c>
    </row>
    <row r="487" spans="27:27">
      <c r="AA487" t="s">
        <v>4409</v>
      </c>
    </row>
    <row r="488" spans="27:27">
      <c r="AA488" t="s">
        <v>4410</v>
      </c>
    </row>
    <row r="489" spans="27:27">
      <c r="AA489" t="s">
        <v>4411</v>
      </c>
    </row>
    <row r="490" spans="27:27">
      <c r="AA490" t="s">
        <v>1283</v>
      </c>
    </row>
    <row r="491" spans="27:27">
      <c r="AA491" t="s">
        <v>4412</v>
      </c>
    </row>
    <row r="492" spans="27:27">
      <c r="AA492" t="s">
        <v>4413</v>
      </c>
    </row>
    <row r="493" spans="27:27">
      <c r="AA493" t="s">
        <v>4414</v>
      </c>
    </row>
    <row r="494" spans="27:27">
      <c r="AA494" t="s">
        <v>4415</v>
      </c>
    </row>
    <row r="495" spans="27:27">
      <c r="AA495" t="s">
        <v>4416</v>
      </c>
    </row>
    <row r="496" spans="27:27">
      <c r="AA496" t="s">
        <v>4417</v>
      </c>
    </row>
    <row r="497" spans="27:27">
      <c r="AA497" t="s">
        <v>4418</v>
      </c>
    </row>
    <row r="498" spans="27:27">
      <c r="AA498" t="s">
        <v>4419</v>
      </c>
    </row>
    <row r="499" spans="27:27">
      <c r="AA499" t="s">
        <v>4420</v>
      </c>
    </row>
    <row r="500" spans="27:27">
      <c r="AA500" t="s">
        <v>4421</v>
      </c>
    </row>
    <row r="501" spans="27:27">
      <c r="AA501" t="s">
        <v>4422</v>
      </c>
    </row>
    <row r="502" spans="27:27">
      <c r="AA502" t="s">
        <v>4423</v>
      </c>
    </row>
    <row r="503" spans="27:27">
      <c r="AA503" t="s">
        <v>4424</v>
      </c>
    </row>
    <row r="504" spans="27:27">
      <c r="AA504" t="s">
        <v>4425</v>
      </c>
    </row>
    <row r="505" spans="27:27">
      <c r="AA505" t="s">
        <v>4426</v>
      </c>
    </row>
    <row r="506" spans="27:27">
      <c r="AA506" t="s">
        <v>4427</v>
      </c>
    </row>
    <row r="507" spans="27:27">
      <c r="AA507" t="s">
        <v>4428</v>
      </c>
    </row>
    <row r="508" spans="27:27">
      <c r="AA508" t="s">
        <v>4429</v>
      </c>
    </row>
    <row r="509" spans="27:27">
      <c r="AA509" t="s">
        <v>3443</v>
      </c>
    </row>
    <row r="510" spans="27:27">
      <c r="AA510" t="s">
        <v>4430</v>
      </c>
    </row>
    <row r="511" spans="27:27">
      <c r="AA511" t="s">
        <v>4431</v>
      </c>
    </row>
    <row r="512" spans="27:27">
      <c r="AA512" t="s">
        <v>4432</v>
      </c>
    </row>
    <row r="513" spans="27:27">
      <c r="AA513" t="s">
        <v>4433</v>
      </c>
    </row>
    <row r="514" spans="27:27">
      <c r="AA514" t="s">
        <v>4434</v>
      </c>
    </row>
    <row r="515" spans="27:27">
      <c r="AA515" t="s">
        <v>4435</v>
      </c>
    </row>
    <row r="516" spans="27:27">
      <c r="AA516" t="s">
        <v>4436</v>
      </c>
    </row>
    <row r="517" spans="27:27">
      <c r="AA517" t="s">
        <v>4437</v>
      </c>
    </row>
    <row r="518" spans="27:27">
      <c r="AA518" t="s">
        <v>4438</v>
      </c>
    </row>
    <row r="519" spans="27:27">
      <c r="AA519" t="s">
        <v>4439</v>
      </c>
    </row>
    <row r="520" spans="27:27">
      <c r="AA520" t="s">
        <v>4440</v>
      </c>
    </row>
    <row r="521" spans="27:27">
      <c r="AA521" t="s">
        <v>4441</v>
      </c>
    </row>
    <row r="522" spans="27:27">
      <c r="AA522" t="s">
        <v>3444</v>
      </c>
    </row>
    <row r="523" spans="27:27">
      <c r="AA523" t="s">
        <v>4442</v>
      </c>
    </row>
    <row r="524" spans="27:27">
      <c r="AA524" t="s">
        <v>4443</v>
      </c>
    </row>
    <row r="525" spans="27:27">
      <c r="AA525" t="s">
        <v>4444</v>
      </c>
    </row>
    <row r="526" spans="27:27">
      <c r="AA526" t="s">
        <v>4445</v>
      </c>
    </row>
    <row r="527" spans="27:27">
      <c r="AA527" t="s">
        <v>3445</v>
      </c>
    </row>
    <row r="528" spans="27:27">
      <c r="AA528" t="s">
        <v>4446</v>
      </c>
    </row>
    <row r="529" spans="27:27">
      <c r="AA529" t="s">
        <v>4447</v>
      </c>
    </row>
    <row r="530" spans="27:27">
      <c r="AA530" t="s">
        <v>4448</v>
      </c>
    </row>
    <row r="531" spans="27:27">
      <c r="AA531" t="s">
        <v>4449</v>
      </c>
    </row>
    <row r="532" spans="27:27">
      <c r="AA532" t="s">
        <v>4450</v>
      </c>
    </row>
    <row r="533" spans="27:27">
      <c r="AA533" t="s">
        <v>4451</v>
      </c>
    </row>
    <row r="534" spans="27:27">
      <c r="AA534" t="s">
        <v>4452</v>
      </c>
    </row>
    <row r="535" spans="27:27">
      <c r="AA535" t="s">
        <v>4453</v>
      </c>
    </row>
    <row r="536" spans="27:27">
      <c r="AA536" t="s">
        <v>3446</v>
      </c>
    </row>
    <row r="537" spans="27:27">
      <c r="AA537" t="s">
        <v>4454</v>
      </c>
    </row>
    <row r="538" spans="27:27">
      <c r="AA538" t="s">
        <v>4455</v>
      </c>
    </row>
    <row r="539" spans="27:27">
      <c r="AA539" t="s">
        <v>4456</v>
      </c>
    </row>
    <row r="540" spans="27:27">
      <c r="AA540" t="s">
        <v>4457</v>
      </c>
    </row>
    <row r="541" spans="27:27">
      <c r="AA541" t="s">
        <v>4458</v>
      </c>
    </row>
    <row r="542" spans="27:27">
      <c r="AA542" t="s">
        <v>4459</v>
      </c>
    </row>
    <row r="543" spans="27:27">
      <c r="AA543" t="s">
        <v>4460</v>
      </c>
    </row>
    <row r="544" spans="27:27">
      <c r="AA544" t="s">
        <v>4461</v>
      </c>
    </row>
    <row r="545" spans="27:27">
      <c r="AA545" t="s">
        <v>4462</v>
      </c>
    </row>
    <row r="546" spans="27:27">
      <c r="AA546" t="s">
        <v>4463</v>
      </c>
    </row>
    <row r="547" spans="27:27">
      <c r="AA547" t="s">
        <v>4464</v>
      </c>
    </row>
    <row r="548" spans="27:27">
      <c r="AA548" t="s">
        <v>4465</v>
      </c>
    </row>
    <row r="549" spans="27:27">
      <c r="AA549" t="s">
        <v>4466</v>
      </c>
    </row>
    <row r="550" spans="27:27">
      <c r="AA550" t="s">
        <v>4467</v>
      </c>
    </row>
    <row r="551" spans="27:27">
      <c r="AA551" t="s">
        <v>4468</v>
      </c>
    </row>
    <row r="552" spans="27:27">
      <c r="AA552" t="s">
        <v>4469</v>
      </c>
    </row>
    <row r="553" spans="27:27">
      <c r="AA553" t="s">
        <v>4470</v>
      </c>
    </row>
    <row r="554" spans="27:27">
      <c r="AA554" t="s">
        <v>4471</v>
      </c>
    </row>
    <row r="555" spans="27:27">
      <c r="AA555" t="s">
        <v>4472</v>
      </c>
    </row>
    <row r="556" spans="27:27">
      <c r="AA556" t="s">
        <v>4473</v>
      </c>
    </row>
    <row r="557" spans="27:27">
      <c r="AA557" t="s">
        <v>4474</v>
      </c>
    </row>
    <row r="558" spans="27:27">
      <c r="AA558" t="s">
        <v>4475</v>
      </c>
    </row>
    <row r="559" spans="27:27">
      <c r="AA559" t="s">
        <v>4476</v>
      </c>
    </row>
    <row r="560" spans="27:27">
      <c r="AA560" t="s">
        <v>4477</v>
      </c>
    </row>
    <row r="561" spans="27:27">
      <c r="AA561" t="s">
        <v>4478</v>
      </c>
    </row>
    <row r="562" spans="27:27">
      <c r="AA562" t="s">
        <v>4479</v>
      </c>
    </row>
    <row r="563" spans="27:27">
      <c r="AA563" t="s">
        <v>4480</v>
      </c>
    </row>
    <row r="564" spans="27:27">
      <c r="AA564" t="s">
        <v>3447</v>
      </c>
    </row>
    <row r="565" spans="27:27">
      <c r="AA565" t="s">
        <v>4481</v>
      </c>
    </row>
    <row r="566" spans="27:27">
      <c r="AA566" t="s">
        <v>4482</v>
      </c>
    </row>
    <row r="567" spans="27:27">
      <c r="AA567" t="s">
        <v>4483</v>
      </c>
    </row>
    <row r="568" spans="27:27">
      <c r="AA568" t="s">
        <v>3448</v>
      </c>
    </row>
    <row r="569" spans="27:27">
      <c r="AA569" t="s">
        <v>4484</v>
      </c>
    </row>
    <row r="570" spans="27:27">
      <c r="AA570" t="s">
        <v>4485</v>
      </c>
    </row>
    <row r="571" spans="27:27">
      <c r="AA571" t="s">
        <v>4486</v>
      </c>
    </row>
    <row r="572" spans="27:27">
      <c r="AA572" t="s">
        <v>4487</v>
      </c>
    </row>
    <row r="573" spans="27:27">
      <c r="AA573" t="s">
        <v>4488</v>
      </c>
    </row>
    <row r="574" spans="27:27">
      <c r="AA574" t="s">
        <v>4489</v>
      </c>
    </row>
    <row r="575" spans="27:27">
      <c r="AA575" t="s">
        <v>4490</v>
      </c>
    </row>
    <row r="576" spans="27:27">
      <c r="AA576" t="s">
        <v>3449</v>
      </c>
    </row>
    <row r="577" spans="27:27">
      <c r="AA577" t="s">
        <v>4491</v>
      </c>
    </row>
    <row r="578" spans="27:27">
      <c r="AA578" t="s">
        <v>4492</v>
      </c>
    </row>
    <row r="579" spans="27:27">
      <c r="AA579" t="s">
        <v>4493</v>
      </c>
    </row>
    <row r="580" spans="27:27">
      <c r="AA580" t="s">
        <v>3450</v>
      </c>
    </row>
    <row r="581" spans="27:27">
      <c r="AA581" t="s">
        <v>4494</v>
      </c>
    </row>
    <row r="582" spans="27:27">
      <c r="AA582" t="s">
        <v>4495</v>
      </c>
    </row>
    <row r="583" spans="27:27">
      <c r="AA583" t="s">
        <v>1284</v>
      </c>
    </row>
    <row r="584" spans="27:27">
      <c r="AA584" t="s">
        <v>4496</v>
      </c>
    </row>
    <row r="585" spans="27:27">
      <c r="AA585" t="s">
        <v>3451</v>
      </c>
    </row>
    <row r="586" spans="27:27">
      <c r="AA586" t="s">
        <v>4497</v>
      </c>
    </row>
    <row r="587" spans="27:27">
      <c r="AA587" t="s">
        <v>4498</v>
      </c>
    </row>
    <row r="588" spans="27:27">
      <c r="AA588" t="s">
        <v>1285</v>
      </c>
    </row>
    <row r="589" spans="27:27">
      <c r="AA589" t="s">
        <v>4499</v>
      </c>
    </row>
    <row r="590" spans="27:27">
      <c r="AA590" t="s">
        <v>4500</v>
      </c>
    </row>
    <row r="591" spans="27:27">
      <c r="AA591" t="s">
        <v>3452</v>
      </c>
    </row>
    <row r="592" spans="27:27">
      <c r="AA592" t="s">
        <v>4501</v>
      </c>
    </row>
    <row r="593" spans="27:27">
      <c r="AA593" t="s">
        <v>4502</v>
      </c>
    </row>
    <row r="594" spans="27:27">
      <c r="AA594" t="s">
        <v>1286</v>
      </c>
    </row>
    <row r="595" spans="27:27">
      <c r="AA595" t="s">
        <v>4503</v>
      </c>
    </row>
    <row r="596" spans="27:27">
      <c r="AA596" t="s">
        <v>4504</v>
      </c>
    </row>
    <row r="597" spans="27:27">
      <c r="AA597" t="s">
        <v>3453</v>
      </c>
    </row>
    <row r="598" spans="27:27">
      <c r="AA598" t="s">
        <v>4505</v>
      </c>
    </row>
    <row r="599" spans="27:27">
      <c r="AA599" t="s">
        <v>4506</v>
      </c>
    </row>
    <row r="600" spans="27:27">
      <c r="AA600" t="s">
        <v>1287</v>
      </c>
    </row>
    <row r="601" spans="27:27">
      <c r="AA601" t="s">
        <v>4507</v>
      </c>
    </row>
    <row r="602" spans="27:27">
      <c r="AA602" t="s">
        <v>4508</v>
      </c>
    </row>
    <row r="603" spans="27:27">
      <c r="AA603" t="s">
        <v>4509</v>
      </c>
    </row>
    <row r="604" spans="27:27">
      <c r="AA604" t="s">
        <v>3454</v>
      </c>
    </row>
    <row r="605" spans="27:27">
      <c r="AA605" t="s">
        <v>4510</v>
      </c>
    </row>
    <row r="606" spans="27:27">
      <c r="AA606" t="s">
        <v>4511</v>
      </c>
    </row>
    <row r="607" spans="27:27">
      <c r="AA607" t="s">
        <v>1288</v>
      </c>
    </row>
    <row r="608" spans="27:27">
      <c r="AA608" t="s">
        <v>4512</v>
      </c>
    </row>
    <row r="609" spans="27:27">
      <c r="AA609" t="s">
        <v>1289</v>
      </c>
    </row>
    <row r="610" spans="27:27">
      <c r="AA610" t="s">
        <v>4513</v>
      </c>
    </row>
    <row r="611" spans="27:27">
      <c r="AA611" t="s">
        <v>4514</v>
      </c>
    </row>
    <row r="612" spans="27:27">
      <c r="AA612" t="s">
        <v>4515</v>
      </c>
    </row>
    <row r="613" spans="27:27">
      <c r="AA613" t="s">
        <v>4516</v>
      </c>
    </row>
    <row r="614" spans="27:27">
      <c r="AA614" t="s">
        <v>4517</v>
      </c>
    </row>
    <row r="615" spans="27:27">
      <c r="AA615" t="s">
        <v>4518</v>
      </c>
    </row>
    <row r="616" spans="27:27">
      <c r="AA616" t="s">
        <v>4519</v>
      </c>
    </row>
    <row r="617" spans="27:27">
      <c r="AA617" t="s">
        <v>4520</v>
      </c>
    </row>
    <row r="618" spans="27:27">
      <c r="AA618" t="s">
        <v>3455</v>
      </c>
    </row>
    <row r="619" spans="27:27">
      <c r="AA619" t="s">
        <v>4521</v>
      </c>
    </row>
    <row r="620" spans="27:27">
      <c r="AA620" t="s">
        <v>4522</v>
      </c>
    </row>
    <row r="621" spans="27:27">
      <c r="AA621" t="s">
        <v>1290</v>
      </c>
    </row>
    <row r="622" spans="27:27">
      <c r="AA622" t="s">
        <v>4523</v>
      </c>
    </row>
    <row r="623" spans="27:27">
      <c r="AA623" t="s">
        <v>1291</v>
      </c>
    </row>
    <row r="624" spans="27:27">
      <c r="AA624" t="s">
        <v>3456</v>
      </c>
    </row>
    <row r="625" spans="27:27">
      <c r="AA625" t="s">
        <v>4524</v>
      </c>
    </row>
    <row r="626" spans="27:27">
      <c r="AA626" t="s">
        <v>4525</v>
      </c>
    </row>
    <row r="627" spans="27:27">
      <c r="AA627" t="s">
        <v>1292</v>
      </c>
    </row>
    <row r="628" spans="27:27">
      <c r="AA628" t="s">
        <v>4526</v>
      </c>
    </row>
    <row r="629" spans="27:27">
      <c r="AA629" t="s">
        <v>1293</v>
      </c>
    </row>
    <row r="630" spans="27:27">
      <c r="AA630" t="s">
        <v>4527</v>
      </c>
    </row>
    <row r="631" spans="27:27">
      <c r="AA631" t="s">
        <v>4528</v>
      </c>
    </row>
    <row r="632" spans="27:27">
      <c r="AA632" t="s">
        <v>4529</v>
      </c>
    </row>
    <row r="633" spans="27:27">
      <c r="AA633" t="s">
        <v>4530</v>
      </c>
    </row>
    <row r="634" spans="27:27">
      <c r="AA634" t="s">
        <v>4531</v>
      </c>
    </row>
    <row r="635" spans="27:27">
      <c r="AA635" t="s">
        <v>4532</v>
      </c>
    </row>
    <row r="636" spans="27:27">
      <c r="AA636" t="s">
        <v>4533</v>
      </c>
    </row>
    <row r="637" spans="27:27">
      <c r="AA637" t="s">
        <v>4534</v>
      </c>
    </row>
    <row r="638" spans="27:27">
      <c r="AA638" t="s">
        <v>4535</v>
      </c>
    </row>
    <row r="639" spans="27:27">
      <c r="AA639" t="s">
        <v>4536</v>
      </c>
    </row>
    <row r="640" spans="27:27">
      <c r="AA640" t="s">
        <v>4537</v>
      </c>
    </row>
    <row r="641" spans="27:27">
      <c r="AA641" t="s">
        <v>4538</v>
      </c>
    </row>
    <row r="642" spans="27:27">
      <c r="AA642" t="s">
        <v>4539</v>
      </c>
    </row>
    <row r="643" spans="27:27">
      <c r="AA643" t="s">
        <v>4540</v>
      </c>
    </row>
    <row r="644" spans="27:27">
      <c r="AA644" t="s">
        <v>4541</v>
      </c>
    </row>
    <row r="645" spans="27:27">
      <c r="AA645" t="s">
        <v>4542</v>
      </c>
    </row>
    <row r="646" spans="27:27">
      <c r="AA646" t="s">
        <v>4543</v>
      </c>
    </row>
    <row r="647" spans="27:27">
      <c r="AA647" t="s">
        <v>1294</v>
      </c>
    </row>
    <row r="648" spans="27:27">
      <c r="AA648" t="s">
        <v>3457</v>
      </c>
    </row>
    <row r="649" spans="27:27">
      <c r="AA649" t="s">
        <v>4544</v>
      </c>
    </row>
    <row r="650" spans="27:27">
      <c r="AA650" t="s">
        <v>4545</v>
      </c>
    </row>
    <row r="651" spans="27:27">
      <c r="AA651" t="s">
        <v>1295</v>
      </c>
    </row>
    <row r="652" spans="27:27">
      <c r="AA652" t="s">
        <v>4546</v>
      </c>
    </row>
    <row r="653" spans="27:27">
      <c r="AA653" t="s">
        <v>1296</v>
      </c>
    </row>
    <row r="654" spans="27:27">
      <c r="AA654" t="s">
        <v>3458</v>
      </c>
    </row>
    <row r="655" spans="27:27">
      <c r="AA655" t="s">
        <v>4547</v>
      </c>
    </row>
    <row r="656" spans="27:27">
      <c r="AA656" t="s">
        <v>4548</v>
      </c>
    </row>
    <row r="657" spans="27:27">
      <c r="AA657" t="s">
        <v>1297</v>
      </c>
    </row>
    <row r="658" spans="27:27">
      <c r="AA658" t="s">
        <v>4549</v>
      </c>
    </row>
    <row r="659" spans="27:27">
      <c r="AA659" t="s">
        <v>1298</v>
      </c>
    </row>
    <row r="660" spans="27:27">
      <c r="AA660" t="s">
        <v>4550</v>
      </c>
    </row>
    <row r="661" spans="27:27">
      <c r="AA661" t="s">
        <v>4551</v>
      </c>
    </row>
    <row r="662" spans="27:27">
      <c r="AA662" t="s">
        <v>1299</v>
      </c>
    </row>
    <row r="663" spans="27:27">
      <c r="AA663" t="s">
        <v>4552</v>
      </c>
    </row>
    <row r="664" spans="27:27">
      <c r="AA664" t="s">
        <v>4553</v>
      </c>
    </row>
    <row r="665" spans="27:27">
      <c r="AA665" t="s">
        <v>1300</v>
      </c>
    </row>
    <row r="666" spans="27:27">
      <c r="AA666" t="s">
        <v>3459</v>
      </c>
    </row>
    <row r="667" spans="27:27">
      <c r="AA667" t="s">
        <v>4554</v>
      </c>
    </row>
    <row r="668" spans="27:27">
      <c r="AA668" t="s">
        <v>4555</v>
      </c>
    </row>
    <row r="669" spans="27:27">
      <c r="AA669" t="s">
        <v>1301</v>
      </c>
    </row>
    <row r="670" spans="27:27">
      <c r="AA670" t="s">
        <v>4556</v>
      </c>
    </row>
    <row r="671" spans="27:27">
      <c r="AA671" t="s">
        <v>1302</v>
      </c>
    </row>
    <row r="672" spans="27:27">
      <c r="AA672" t="s">
        <v>4557</v>
      </c>
    </row>
    <row r="673" spans="27:27">
      <c r="AA673" t="s">
        <v>1303</v>
      </c>
    </row>
    <row r="674" spans="27:27">
      <c r="AA674" t="s">
        <v>4558</v>
      </c>
    </row>
    <row r="675" spans="27:27">
      <c r="AA675" t="s">
        <v>1304</v>
      </c>
    </row>
    <row r="676" spans="27:27">
      <c r="AA676" t="s">
        <v>4559</v>
      </c>
    </row>
    <row r="677" spans="27:27">
      <c r="AA677" t="s">
        <v>4560</v>
      </c>
    </row>
    <row r="678" spans="27:27">
      <c r="AA678" t="s">
        <v>4561</v>
      </c>
    </row>
    <row r="679" spans="27:27">
      <c r="AA679" t="s">
        <v>4562</v>
      </c>
    </row>
    <row r="680" spans="27:27">
      <c r="AA680" t="s">
        <v>4563</v>
      </c>
    </row>
    <row r="681" spans="27:27">
      <c r="AA681" t="s">
        <v>1305</v>
      </c>
    </row>
    <row r="682" spans="27:27">
      <c r="AA682" t="s">
        <v>4564</v>
      </c>
    </row>
    <row r="683" spans="27:27">
      <c r="AA683" t="s">
        <v>4565</v>
      </c>
    </row>
    <row r="684" spans="27:27">
      <c r="AA684" t="s">
        <v>4566</v>
      </c>
    </row>
    <row r="685" spans="27:27">
      <c r="AA685" t="s">
        <v>1306</v>
      </c>
    </row>
    <row r="686" spans="27:27">
      <c r="AA686" t="s">
        <v>4567</v>
      </c>
    </row>
    <row r="687" spans="27:27">
      <c r="AA687" t="s">
        <v>4568</v>
      </c>
    </row>
    <row r="688" spans="27:27">
      <c r="AA688" t="s">
        <v>1307</v>
      </c>
    </row>
    <row r="689" spans="27:27">
      <c r="AA689" t="s">
        <v>4569</v>
      </c>
    </row>
    <row r="690" spans="27:27">
      <c r="AA690" t="s">
        <v>1308</v>
      </c>
    </row>
    <row r="691" spans="27:27">
      <c r="AA691" t="s">
        <v>4570</v>
      </c>
    </row>
    <row r="692" spans="27:27">
      <c r="AA692" t="s">
        <v>4571</v>
      </c>
    </row>
    <row r="693" spans="27:27">
      <c r="AA693" t="s">
        <v>4572</v>
      </c>
    </row>
    <row r="694" spans="27:27">
      <c r="AA694" t="s">
        <v>4573</v>
      </c>
    </row>
    <row r="695" spans="27:27">
      <c r="AA695" t="s">
        <v>4574</v>
      </c>
    </row>
    <row r="696" spans="27:27">
      <c r="AA696" t="s">
        <v>4575</v>
      </c>
    </row>
    <row r="697" spans="27:27">
      <c r="AA697" t="s">
        <v>4576</v>
      </c>
    </row>
    <row r="698" spans="27:27">
      <c r="AA698" t="s">
        <v>4577</v>
      </c>
    </row>
    <row r="699" spans="27:27">
      <c r="AA699" t="s">
        <v>4578</v>
      </c>
    </row>
    <row r="700" spans="27:27">
      <c r="AA700" t="s">
        <v>4579</v>
      </c>
    </row>
    <row r="701" spans="27:27">
      <c r="AA701" t="s">
        <v>4580</v>
      </c>
    </row>
    <row r="702" spans="27:27">
      <c r="AA702" t="s">
        <v>4581</v>
      </c>
    </row>
    <row r="703" spans="27:27">
      <c r="AA703" t="s">
        <v>4582</v>
      </c>
    </row>
    <row r="704" spans="27:27">
      <c r="AA704" t="s">
        <v>1309</v>
      </c>
    </row>
    <row r="705" spans="27:27">
      <c r="AA705" t="s">
        <v>3460</v>
      </c>
    </row>
    <row r="706" spans="27:27">
      <c r="AA706" t="s">
        <v>4583</v>
      </c>
    </row>
    <row r="707" spans="27:27">
      <c r="AA707" t="s">
        <v>4584</v>
      </c>
    </row>
    <row r="708" spans="27:27">
      <c r="AA708" t="s">
        <v>4585</v>
      </c>
    </row>
    <row r="709" spans="27:27">
      <c r="AA709" t="s">
        <v>4586</v>
      </c>
    </row>
    <row r="710" spans="27:27">
      <c r="AA710" t="s">
        <v>4587</v>
      </c>
    </row>
    <row r="711" spans="27:27">
      <c r="AA711" t="s">
        <v>4588</v>
      </c>
    </row>
    <row r="712" spans="27:27">
      <c r="AA712" t="s">
        <v>4589</v>
      </c>
    </row>
    <row r="713" spans="27:27">
      <c r="AA713" t="s">
        <v>4590</v>
      </c>
    </row>
    <row r="714" spans="27:27">
      <c r="AA714" t="s">
        <v>4591</v>
      </c>
    </row>
    <row r="715" spans="27:27">
      <c r="AA715" t="s">
        <v>4592</v>
      </c>
    </row>
    <row r="716" spans="27:27">
      <c r="AA716" t="s">
        <v>4593</v>
      </c>
    </row>
    <row r="717" spans="27:27">
      <c r="AA717" t="s">
        <v>4594</v>
      </c>
    </row>
    <row r="718" spans="27:27">
      <c r="AA718" t="s">
        <v>4595</v>
      </c>
    </row>
    <row r="719" spans="27:27">
      <c r="AA719" t="s">
        <v>4596</v>
      </c>
    </row>
    <row r="720" spans="27:27">
      <c r="AA720" t="s">
        <v>1310</v>
      </c>
    </row>
    <row r="721" spans="27:27">
      <c r="AA721" t="s">
        <v>1311</v>
      </c>
    </row>
    <row r="722" spans="27:27">
      <c r="AA722" t="s">
        <v>4597</v>
      </c>
    </row>
    <row r="723" spans="27:27">
      <c r="AA723" t="s">
        <v>1312</v>
      </c>
    </row>
    <row r="724" spans="27:27">
      <c r="AA724" t="s">
        <v>1313</v>
      </c>
    </row>
    <row r="725" spans="27:27">
      <c r="AA725" t="s">
        <v>4598</v>
      </c>
    </row>
    <row r="726" spans="27:27">
      <c r="AA726" t="s">
        <v>4599</v>
      </c>
    </row>
    <row r="727" spans="27:27">
      <c r="AA727" t="s">
        <v>4600</v>
      </c>
    </row>
    <row r="728" spans="27:27">
      <c r="AA728" t="s">
        <v>4601</v>
      </c>
    </row>
    <row r="729" spans="27:27">
      <c r="AA729" t="s">
        <v>1314</v>
      </c>
    </row>
    <row r="730" spans="27:27">
      <c r="AA730" t="s">
        <v>3461</v>
      </c>
    </row>
    <row r="731" spans="27:27">
      <c r="AA731" t="s">
        <v>1315</v>
      </c>
    </row>
    <row r="732" spans="27:27">
      <c r="AA732" t="s">
        <v>3462</v>
      </c>
    </row>
    <row r="733" spans="27:27">
      <c r="AA733" t="s">
        <v>4602</v>
      </c>
    </row>
    <row r="734" spans="27:27">
      <c r="AA734" t="s">
        <v>4603</v>
      </c>
    </row>
    <row r="735" spans="27:27">
      <c r="AA735" t="s">
        <v>4604</v>
      </c>
    </row>
    <row r="736" spans="27:27">
      <c r="AA736" t="s">
        <v>4605</v>
      </c>
    </row>
    <row r="737" spans="27:27">
      <c r="AA737" t="s">
        <v>3463</v>
      </c>
    </row>
    <row r="738" spans="27:27">
      <c r="AA738" t="s">
        <v>4606</v>
      </c>
    </row>
    <row r="739" spans="27:27">
      <c r="AA739" t="s">
        <v>4607</v>
      </c>
    </row>
    <row r="740" spans="27:27">
      <c r="AA740" t="s">
        <v>4608</v>
      </c>
    </row>
    <row r="741" spans="27:27">
      <c r="AA741" t="s">
        <v>4609</v>
      </c>
    </row>
    <row r="742" spans="27:27">
      <c r="AA742" t="s">
        <v>4610</v>
      </c>
    </row>
    <row r="743" spans="27:27">
      <c r="AA743" t="s">
        <v>3464</v>
      </c>
    </row>
    <row r="744" spans="27:27">
      <c r="AA744" t="s">
        <v>4611</v>
      </c>
    </row>
    <row r="745" spans="27:27">
      <c r="AA745" t="s">
        <v>4612</v>
      </c>
    </row>
    <row r="746" spans="27:27">
      <c r="AA746" t="s">
        <v>4613</v>
      </c>
    </row>
    <row r="747" spans="27:27">
      <c r="AA747" t="s">
        <v>4614</v>
      </c>
    </row>
    <row r="748" spans="27:27">
      <c r="AA748" t="s">
        <v>4615</v>
      </c>
    </row>
    <row r="749" spans="27:27">
      <c r="AA749" t="s">
        <v>3465</v>
      </c>
    </row>
    <row r="750" spans="27:27">
      <c r="AA750" t="s">
        <v>4616</v>
      </c>
    </row>
    <row r="751" spans="27:27">
      <c r="AA751" t="s">
        <v>4617</v>
      </c>
    </row>
    <row r="752" spans="27:27">
      <c r="AA752" t="s">
        <v>4618</v>
      </c>
    </row>
    <row r="753" spans="27:27">
      <c r="AA753" t="s">
        <v>4619</v>
      </c>
    </row>
    <row r="754" spans="27:27">
      <c r="AA754" t="s">
        <v>4620</v>
      </c>
    </row>
    <row r="755" spans="27:27">
      <c r="AA755" t="s">
        <v>4621</v>
      </c>
    </row>
    <row r="756" spans="27:27">
      <c r="AA756" t="s">
        <v>1316</v>
      </c>
    </row>
    <row r="757" spans="27:27">
      <c r="AA757" t="s">
        <v>3466</v>
      </c>
    </row>
    <row r="758" spans="27:27">
      <c r="AA758" t="s">
        <v>4622</v>
      </c>
    </row>
    <row r="759" spans="27:27">
      <c r="AA759" t="s">
        <v>1317</v>
      </c>
    </row>
    <row r="760" spans="27:27">
      <c r="AA760" t="s">
        <v>4623</v>
      </c>
    </row>
    <row r="761" spans="27:27">
      <c r="AA761" t="s">
        <v>4624</v>
      </c>
    </row>
    <row r="762" spans="27:27">
      <c r="AA762" t="s">
        <v>4625</v>
      </c>
    </row>
    <row r="763" spans="27:27">
      <c r="AA763" t="s">
        <v>1318</v>
      </c>
    </row>
    <row r="764" spans="27:27">
      <c r="AA764" t="s">
        <v>3467</v>
      </c>
    </row>
    <row r="765" spans="27:27">
      <c r="AA765" t="s">
        <v>1319</v>
      </c>
    </row>
    <row r="766" spans="27:27">
      <c r="AA766" t="s">
        <v>3468</v>
      </c>
    </row>
    <row r="767" spans="27:27">
      <c r="AA767" t="s">
        <v>4626</v>
      </c>
    </row>
    <row r="768" spans="27:27">
      <c r="AA768" t="s">
        <v>4627</v>
      </c>
    </row>
    <row r="769" spans="27:27">
      <c r="AA769" t="s">
        <v>4628</v>
      </c>
    </row>
    <row r="770" spans="27:27">
      <c r="AA770" t="s">
        <v>4629</v>
      </c>
    </row>
    <row r="771" spans="27:27">
      <c r="AA771" t="s">
        <v>4630</v>
      </c>
    </row>
    <row r="772" spans="27:27">
      <c r="AA772" t="s">
        <v>4631</v>
      </c>
    </row>
    <row r="773" spans="27:27">
      <c r="AA773" t="s">
        <v>4632</v>
      </c>
    </row>
    <row r="774" spans="27:27">
      <c r="AA774" t="s">
        <v>4633</v>
      </c>
    </row>
    <row r="775" spans="27:27">
      <c r="AA775" t="s">
        <v>1320</v>
      </c>
    </row>
    <row r="776" spans="27:27">
      <c r="AA776" t="s">
        <v>3469</v>
      </c>
    </row>
    <row r="777" spans="27:27">
      <c r="AA777" t="s">
        <v>4634</v>
      </c>
    </row>
    <row r="778" spans="27:27">
      <c r="AA778" t="s">
        <v>4635</v>
      </c>
    </row>
    <row r="779" spans="27:27">
      <c r="AA779" t="s">
        <v>4636</v>
      </c>
    </row>
    <row r="780" spans="27:27">
      <c r="AA780" t="s">
        <v>4637</v>
      </c>
    </row>
    <row r="781" spans="27:27">
      <c r="AA781" t="s">
        <v>4638</v>
      </c>
    </row>
    <row r="782" spans="27:27">
      <c r="AA782" t="s">
        <v>4639</v>
      </c>
    </row>
    <row r="783" spans="27:27">
      <c r="AA783" t="s">
        <v>4640</v>
      </c>
    </row>
    <row r="784" spans="27:27">
      <c r="AA784" t="s">
        <v>4641</v>
      </c>
    </row>
    <row r="785" spans="27:27">
      <c r="AA785" t="s">
        <v>1321</v>
      </c>
    </row>
    <row r="786" spans="27:27">
      <c r="AA786" t="s">
        <v>3470</v>
      </c>
    </row>
    <row r="787" spans="27:27">
      <c r="AA787" t="s">
        <v>4642</v>
      </c>
    </row>
    <row r="788" spans="27:27">
      <c r="AA788" t="s">
        <v>4643</v>
      </c>
    </row>
    <row r="789" spans="27:27">
      <c r="AA789" t="s">
        <v>4644</v>
      </c>
    </row>
    <row r="790" spans="27:27">
      <c r="AA790" t="s">
        <v>4645</v>
      </c>
    </row>
    <row r="791" spans="27:27">
      <c r="AA791" t="s">
        <v>4646</v>
      </c>
    </row>
    <row r="792" spans="27:27">
      <c r="AA792" t="s">
        <v>4647</v>
      </c>
    </row>
    <row r="793" spans="27:27">
      <c r="AA793" t="s">
        <v>4648</v>
      </c>
    </row>
    <row r="794" spans="27:27">
      <c r="AA794" t="s">
        <v>4649</v>
      </c>
    </row>
    <row r="795" spans="27:27">
      <c r="AA795" t="s">
        <v>4650</v>
      </c>
    </row>
    <row r="796" spans="27:27">
      <c r="AA796" t="s">
        <v>4651</v>
      </c>
    </row>
    <row r="797" spans="27:27">
      <c r="AA797" t="s">
        <v>4652</v>
      </c>
    </row>
    <row r="798" spans="27:27">
      <c r="AA798" t="s">
        <v>4653</v>
      </c>
    </row>
    <row r="799" spans="27:27">
      <c r="AA799" t="s">
        <v>4654</v>
      </c>
    </row>
    <row r="800" spans="27:27">
      <c r="AA800" t="s">
        <v>4655</v>
      </c>
    </row>
    <row r="801" spans="27:27">
      <c r="AA801" t="s">
        <v>4656</v>
      </c>
    </row>
    <row r="802" spans="27:27">
      <c r="AA802" t="s">
        <v>4657</v>
      </c>
    </row>
    <row r="803" spans="27:27">
      <c r="AA803" t="s">
        <v>4658</v>
      </c>
    </row>
    <row r="804" spans="27:27">
      <c r="AA804" t="s">
        <v>4659</v>
      </c>
    </row>
    <row r="805" spans="27:27">
      <c r="AA805" t="s">
        <v>4660</v>
      </c>
    </row>
    <row r="806" spans="27:27">
      <c r="AA806" t="s">
        <v>4661</v>
      </c>
    </row>
    <row r="807" spans="27:27">
      <c r="AA807" t="s">
        <v>4662</v>
      </c>
    </row>
    <row r="808" spans="27:27">
      <c r="AA808" t="s">
        <v>4663</v>
      </c>
    </row>
    <row r="809" spans="27:27">
      <c r="AA809" t="s">
        <v>4664</v>
      </c>
    </row>
    <row r="810" spans="27:27">
      <c r="AA810" t="s">
        <v>1322</v>
      </c>
    </row>
    <row r="811" spans="27:27">
      <c r="AA811" t="s">
        <v>3471</v>
      </c>
    </row>
    <row r="812" spans="27:27">
      <c r="AA812" t="s">
        <v>1323</v>
      </c>
    </row>
    <row r="813" spans="27:27">
      <c r="AA813" t="s">
        <v>4665</v>
      </c>
    </row>
    <row r="814" spans="27:27">
      <c r="AA814" t="s">
        <v>4666</v>
      </c>
    </row>
    <row r="815" spans="27:27">
      <c r="AA815" t="s">
        <v>4667</v>
      </c>
    </row>
    <row r="816" spans="27:27">
      <c r="AA816" t="s">
        <v>4668</v>
      </c>
    </row>
    <row r="817" spans="27:27">
      <c r="AA817" t="s">
        <v>4669</v>
      </c>
    </row>
    <row r="818" spans="27:27">
      <c r="AA818" t="s">
        <v>4670</v>
      </c>
    </row>
    <row r="819" spans="27:27">
      <c r="AA819" t="s">
        <v>4671</v>
      </c>
    </row>
    <row r="820" spans="27:27">
      <c r="AA820" t="s">
        <v>4672</v>
      </c>
    </row>
    <row r="821" spans="27:27">
      <c r="AA821" t="s">
        <v>4673</v>
      </c>
    </row>
    <row r="822" spans="27:27">
      <c r="AA822" t="s">
        <v>4674</v>
      </c>
    </row>
    <row r="823" spans="27:27">
      <c r="AA823" t="s">
        <v>4675</v>
      </c>
    </row>
    <row r="824" spans="27:27">
      <c r="AA824" t="s">
        <v>4676</v>
      </c>
    </row>
    <row r="825" spans="27:27">
      <c r="AA825" t="s">
        <v>4677</v>
      </c>
    </row>
    <row r="826" spans="27:27">
      <c r="AA826" t="s">
        <v>4678</v>
      </c>
    </row>
    <row r="827" spans="27:27">
      <c r="AA827" t="s">
        <v>4679</v>
      </c>
    </row>
    <row r="828" spans="27:27">
      <c r="AA828" t="s">
        <v>4680</v>
      </c>
    </row>
    <row r="829" spans="27:27">
      <c r="AA829" t="s">
        <v>4681</v>
      </c>
    </row>
    <row r="830" spans="27:27">
      <c r="AA830" t="s">
        <v>4682</v>
      </c>
    </row>
    <row r="831" spans="27:27">
      <c r="AA831" t="s">
        <v>4683</v>
      </c>
    </row>
    <row r="832" spans="27:27">
      <c r="AA832" t="s">
        <v>4684</v>
      </c>
    </row>
    <row r="833" spans="27:27">
      <c r="AA833" t="s">
        <v>4685</v>
      </c>
    </row>
    <row r="834" spans="27:27">
      <c r="AA834" t="s">
        <v>4686</v>
      </c>
    </row>
    <row r="835" spans="27:27">
      <c r="AA835" t="s">
        <v>4687</v>
      </c>
    </row>
    <row r="836" spans="27:27">
      <c r="AA836" t="s">
        <v>4688</v>
      </c>
    </row>
    <row r="837" spans="27:27">
      <c r="AA837" t="s">
        <v>4689</v>
      </c>
    </row>
    <row r="838" spans="27:27">
      <c r="AA838" t="s">
        <v>4690</v>
      </c>
    </row>
    <row r="839" spans="27:27">
      <c r="AA839" t="s">
        <v>4691</v>
      </c>
    </row>
    <row r="840" spans="27:27">
      <c r="AA840" t="s">
        <v>4692</v>
      </c>
    </row>
    <row r="841" spans="27:27">
      <c r="AA841" t="s">
        <v>4693</v>
      </c>
    </row>
    <row r="842" spans="27:27">
      <c r="AA842" t="s">
        <v>4694</v>
      </c>
    </row>
    <row r="843" spans="27:27">
      <c r="AA843" t="s">
        <v>4695</v>
      </c>
    </row>
    <row r="844" spans="27:27">
      <c r="AA844" t="s">
        <v>4696</v>
      </c>
    </row>
    <row r="845" spans="27:27">
      <c r="AA845" t="s">
        <v>4697</v>
      </c>
    </row>
    <row r="846" spans="27:27">
      <c r="AA846" t="s">
        <v>4698</v>
      </c>
    </row>
    <row r="847" spans="27:27">
      <c r="AA847" t="s">
        <v>4699</v>
      </c>
    </row>
    <row r="848" spans="27:27">
      <c r="AA848" t="s">
        <v>1324</v>
      </c>
    </row>
    <row r="849" spans="27:27">
      <c r="AA849" t="s">
        <v>4700</v>
      </c>
    </row>
    <row r="850" spans="27:27">
      <c r="AA850" t="s">
        <v>3472</v>
      </c>
    </row>
    <row r="851" spans="27:27">
      <c r="AA851" t="s">
        <v>4701</v>
      </c>
    </row>
    <row r="852" spans="27:27">
      <c r="AA852" t="s">
        <v>4702</v>
      </c>
    </row>
    <row r="853" spans="27:27">
      <c r="AA853" t="s">
        <v>4703</v>
      </c>
    </row>
    <row r="854" spans="27:27">
      <c r="AA854" t="s">
        <v>4704</v>
      </c>
    </row>
    <row r="855" spans="27:27">
      <c r="AA855" t="s">
        <v>4705</v>
      </c>
    </row>
    <row r="856" spans="27:27">
      <c r="AA856" t="s">
        <v>4706</v>
      </c>
    </row>
    <row r="857" spans="27:27">
      <c r="AA857" t="s">
        <v>4707</v>
      </c>
    </row>
    <row r="858" spans="27:27">
      <c r="AA858" t="s">
        <v>4708</v>
      </c>
    </row>
    <row r="859" spans="27:27">
      <c r="AA859" t="s">
        <v>4709</v>
      </c>
    </row>
    <row r="860" spans="27:27">
      <c r="AA860" t="s">
        <v>4710</v>
      </c>
    </row>
    <row r="861" spans="27:27">
      <c r="AA861" t="s">
        <v>4711</v>
      </c>
    </row>
    <row r="862" spans="27:27">
      <c r="AA862" t="s">
        <v>4712</v>
      </c>
    </row>
    <row r="863" spans="27:27">
      <c r="AA863" t="s">
        <v>4713</v>
      </c>
    </row>
    <row r="864" spans="27:27">
      <c r="AA864" t="s">
        <v>4714</v>
      </c>
    </row>
    <row r="865" spans="27:27">
      <c r="AA865" t="s">
        <v>4715</v>
      </c>
    </row>
    <row r="866" spans="27:27">
      <c r="AA866" t="s">
        <v>3473</v>
      </c>
    </row>
    <row r="867" spans="27:27">
      <c r="AA867" t="s">
        <v>4716</v>
      </c>
    </row>
    <row r="868" spans="27:27">
      <c r="AA868" t="s">
        <v>4717</v>
      </c>
    </row>
    <row r="869" spans="27:27">
      <c r="AA869" t="s">
        <v>4718</v>
      </c>
    </row>
    <row r="870" spans="27:27">
      <c r="AA870" t="s">
        <v>4719</v>
      </c>
    </row>
    <row r="871" spans="27:27">
      <c r="AA871" t="s">
        <v>4720</v>
      </c>
    </row>
    <row r="872" spans="27:27">
      <c r="AA872" t="s">
        <v>3474</v>
      </c>
    </row>
    <row r="873" spans="27:27">
      <c r="AA873" t="s">
        <v>4721</v>
      </c>
    </row>
    <row r="874" spans="27:27">
      <c r="AA874" t="s">
        <v>4722</v>
      </c>
    </row>
    <row r="875" spans="27:27">
      <c r="AA875" t="s">
        <v>4723</v>
      </c>
    </row>
    <row r="876" spans="27:27">
      <c r="AA876" t="s">
        <v>4724</v>
      </c>
    </row>
    <row r="877" spans="27:27">
      <c r="AA877" t="s">
        <v>4725</v>
      </c>
    </row>
    <row r="878" spans="27:27">
      <c r="AA878" t="s">
        <v>4726</v>
      </c>
    </row>
    <row r="879" spans="27:27">
      <c r="AA879" t="s">
        <v>4727</v>
      </c>
    </row>
    <row r="880" spans="27:27">
      <c r="AA880" t="s">
        <v>4728</v>
      </c>
    </row>
    <row r="881" spans="27:27">
      <c r="AA881" t="s">
        <v>4729</v>
      </c>
    </row>
    <row r="882" spans="27:27">
      <c r="AA882" t="s">
        <v>4730</v>
      </c>
    </row>
    <row r="883" spans="27:27">
      <c r="AA883" t="s">
        <v>4731</v>
      </c>
    </row>
    <row r="884" spans="27:27">
      <c r="AA884" t="s">
        <v>4732</v>
      </c>
    </row>
    <row r="885" spans="27:27">
      <c r="AA885" t="s">
        <v>4733</v>
      </c>
    </row>
    <row r="886" spans="27:27">
      <c r="AA886" t="s">
        <v>4734</v>
      </c>
    </row>
    <row r="887" spans="27:27">
      <c r="AA887" t="s">
        <v>3475</v>
      </c>
    </row>
    <row r="888" spans="27:27">
      <c r="AA888" t="s">
        <v>4735</v>
      </c>
    </row>
    <row r="889" spans="27:27">
      <c r="AA889" t="s">
        <v>4736</v>
      </c>
    </row>
    <row r="890" spans="27:27">
      <c r="AA890" t="s">
        <v>4737</v>
      </c>
    </row>
    <row r="891" spans="27:27">
      <c r="AA891" t="s">
        <v>4738</v>
      </c>
    </row>
    <row r="892" spans="27:27">
      <c r="AA892" t="s">
        <v>4739</v>
      </c>
    </row>
    <row r="893" spans="27:27">
      <c r="AA893" t="s">
        <v>4740</v>
      </c>
    </row>
    <row r="894" spans="27:27">
      <c r="AA894" t="s">
        <v>4741</v>
      </c>
    </row>
    <row r="895" spans="27:27">
      <c r="AA895" t="s">
        <v>4742</v>
      </c>
    </row>
    <row r="896" spans="27:27">
      <c r="AA896" t="s">
        <v>4743</v>
      </c>
    </row>
    <row r="897" spans="27:27">
      <c r="AA897" t="s">
        <v>4744</v>
      </c>
    </row>
    <row r="898" spans="27:27">
      <c r="AA898" t="s">
        <v>1325</v>
      </c>
    </row>
    <row r="899" spans="27:27">
      <c r="AA899" t="s">
        <v>4745</v>
      </c>
    </row>
    <row r="900" spans="27:27">
      <c r="AA900" t="s">
        <v>4746</v>
      </c>
    </row>
    <row r="901" spans="27:27">
      <c r="AA901" t="s">
        <v>4747</v>
      </c>
    </row>
    <row r="902" spans="27:27">
      <c r="AA902" t="s">
        <v>1326</v>
      </c>
    </row>
    <row r="903" spans="27:27">
      <c r="AA903" t="s">
        <v>3476</v>
      </c>
    </row>
    <row r="904" spans="27:27">
      <c r="AA904" t="s">
        <v>1327</v>
      </c>
    </row>
    <row r="905" spans="27:27">
      <c r="AA905" t="s">
        <v>3477</v>
      </c>
    </row>
    <row r="906" spans="27:27">
      <c r="AA906" t="s">
        <v>4748</v>
      </c>
    </row>
    <row r="907" spans="27:27">
      <c r="AA907" t="s">
        <v>4749</v>
      </c>
    </row>
    <row r="908" spans="27:27">
      <c r="AA908" t="s">
        <v>4750</v>
      </c>
    </row>
    <row r="909" spans="27:27">
      <c r="AA909" t="s">
        <v>4751</v>
      </c>
    </row>
    <row r="910" spans="27:27">
      <c r="AA910" t="s">
        <v>4752</v>
      </c>
    </row>
    <row r="911" spans="27:27">
      <c r="AA911" t="s">
        <v>4753</v>
      </c>
    </row>
    <row r="912" spans="27:27">
      <c r="AA912" t="s">
        <v>4754</v>
      </c>
    </row>
    <row r="913" spans="27:27">
      <c r="AA913" t="s">
        <v>4755</v>
      </c>
    </row>
    <row r="914" spans="27:27">
      <c r="AA914" t="s">
        <v>4756</v>
      </c>
    </row>
    <row r="915" spans="27:27">
      <c r="AA915" t="s">
        <v>4757</v>
      </c>
    </row>
    <row r="916" spans="27:27">
      <c r="AA916" t="s">
        <v>4758</v>
      </c>
    </row>
    <row r="917" spans="27:27">
      <c r="AA917" t="s">
        <v>4759</v>
      </c>
    </row>
    <row r="918" spans="27:27">
      <c r="AA918" t="s">
        <v>4760</v>
      </c>
    </row>
    <row r="919" spans="27:27">
      <c r="AA919" t="s">
        <v>4761</v>
      </c>
    </row>
    <row r="920" spans="27:27">
      <c r="AA920" t="s">
        <v>4762</v>
      </c>
    </row>
    <row r="921" spans="27:27">
      <c r="AA921" t="s">
        <v>4763</v>
      </c>
    </row>
    <row r="922" spans="27:27">
      <c r="AA922" t="s">
        <v>4764</v>
      </c>
    </row>
    <row r="923" spans="27:27">
      <c r="AA923" t="s">
        <v>4765</v>
      </c>
    </row>
    <row r="924" spans="27:27">
      <c r="AA924" t="s">
        <v>4766</v>
      </c>
    </row>
    <row r="925" spans="27:27">
      <c r="AA925" t="s">
        <v>3478</v>
      </c>
    </row>
    <row r="926" spans="27:27">
      <c r="AA926" t="s">
        <v>1328</v>
      </c>
    </row>
    <row r="927" spans="27:27">
      <c r="AA927" t="s">
        <v>4767</v>
      </c>
    </row>
    <row r="928" spans="27:27">
      <c r="AA928" t="s">
        <v>4768</v>
      </c>
    </row>
    <row r="929" spans="27:27">
      <c r="AA929" t="s">
        <v>4769</v>
      </c>
    </row>
    <row r="930" spans="27:27">
      <c r="AA930" t="s">
        <v>4770</v>
      </c>
    </row>
    <row r="931" spans="27:27">
      <c r="AA931" t="s">
        <v>4771</v>
      </c>
    </row>
    <row r="932" spans="27:27">
      <c r="AA932" t="s">
        <v>4772</v>
      </c>
    </row>
    <row r="933" spans="27:27">
      <c r="AA933" t="s">
        <v>4773</v>
      </c>
    </row>
    <row r="934" spans="27:27">
      <c r="AA934" t="s">
        <v>4774</v>
      </c>
    </row>
    <row r="935" spans="27:27">
      <c r="AA935" t="s">
        <v>4775</v>
      </c>
    </row>
    <row r="936" spans="27:27">
      <c r="AA936" t="s">
        <v>4776</v>
      </c>
    </row>
    <row r="937" spans="27:27">
      <c r="AA937" t="s">
        <v>4777</v>
      </c>
    </row>
    <row r="938" spans="27:27">
      <c r="AA938" t="s">
        <v>4778</v>
      </c>
    </row>
    <row r="939" spans="27:27">
      <c r="AA939" t="s">
        <v>4779</v>
      </c>
    </row>
    <row r="940" spans="27:27">
      <c r="AA940" t="s">
        <v>1329</v>
      </c>
    </row>
    <row r="941" spans="27:27">
      <c r="AA941" t="s">
        <v>3479</v>
      </c>
    </row>
    <row r="942" spans="27:27">
      <c r="AA942" t="s">
        <v>1330</v>
      </c>
    </row>
    <row r="943" spans="27:27">
      <c r="AA943" t="s">
        <v>4780</v>
      </c>
    </row>
    <row r="944" spans="27:27">
      <c r="AA944" t="s">
        <v>4781</v>
      </c>
    </row>
    <row r="945" spans="27:27">
      <c r="AA945" t="s">
        <v>4782</v>
      </c>
    </row>
    <row r="946" spans="27:27">
      <c r="AA946" t="s">
        <v>4783</v>
      </c>
    </row>
    <row r="947" spans="27:27">
      <c r="AA947" t="s">
        <v>4784</v>
      </c>
    </row>
    <row r="948" spans="27:27">
      <c r="AA948" t="s">
        <v>4785</v>
      </c>
    </row>
    <row r="949" spans="27:27">
      <c r="AA949" t="s">
        <v>4786</v>
      </c>
    </row>
    <row r="950" spans="27:27">
      <c r="AA950" t="s">
        <v>4787</v>
      </c>
    </row>
    <row r="951" spans="27:27">
      <c r="AA951" t="s">
        <v>4788</v>
      </c>
    </row>
    <row r="952" spans="27:27">
      <c r="AA952" t="s">
        <v>4789</v>
      </c>
    </row>
    <row r="953" spans="27:27">
      <c r="AA953" t="s">
        <v>4790</v>
      </c>
    </row>
    <row r="954" spans="27:27">
      <c r="AA954" t="s">
        <v>1331</v>
      </c>
    </row>
    <row r="955" spans="27:27">
      <c r="AA955" t="s">
        <v>3480</v>
      </c>
    </row>
    <row r="956" spans="27:27">
      <c r="AA956" t="s">
        <v>1332</v>
      </c>
    </row>
    <row r="957" spans="27:27">
      <c r="AA957" t="s">
        <v>4791</v>
      </c>
    </row>
    <row r="958" spans="27:27">
      <c r="AA958" t="s">
        <v>4792</v>
      </c>
    </row>
    <row r="959" spans="27:27">
      <c r="AA959" t="s">
        <v>4793</v>
      </c>
    </row>
    <row r="960" spans="27:27">
      <c r="AA960" t="s">
        <v>4794</v>
      </c>
    </row>
    <row r="961" spans="27:27">
      <c r="AA961" t="s">
        <v>3481</v>
      </c>
    </row>
    <row r="962" spans="27:27">
      <c r="AA962" t="s">
        <v>4795</v>
      </c>
    </row>
    <row r="963" spans="27:27">
      <c r="AA963" t="s">
        <v>4796</v>
      </c>
    </row>
    <row r="964" spans="27:27">
      <c r="AA964" t="s">
        <v>4797</v>
      </c>
    </row>
    <row r="965" spans="27:27">
      <c r="AA965" t="s">
        <v>4798</v>
      </c>
    </row>
    <row r="966" spans="27:27">
      <c r="AA966" t="s">
        <v>4799</v>
      </c>
    </row>
    <row r="967" spans="27:27">
      <c r="AA967" t="s">
        <v>4800</v>
      </c>
    </row>
    <row r="968" spans="27:27">
      <c r="AA968" t="s">
        <v>4801</v>
      </c>
    </row>
    <row r="969" spans="27:27">
      <c r="AA969" t="s">
        <v>4802</v>
      </c>
    </row>
    <row r="970" spans="27:27">
      <c r="AA970" t="s">
        <v>4803</v>
      </c>
    </row>
    <row r="971" spans="27:27">
      <c r="AA971" t="s">
        <v>4804</v>
      </c>
    </row>
    <row r="972" spans="27:27">
      <c r="AA972" t="s">
        <v>1333</v>
      </c>
    </row>
    <row r="973" spans="27:27">
      <c r="AA973" t="s">
        <v>3482</v>
      </c>
    </row>
    <row r="974" spans="27:27">
      <c r="AA974" t="s">
        <v>1334</v>
      </c>
    </row>
    <row r="975" spans="27:27">
      <c r="AA975" t="s">
        <v>4805</v>
      </c>
    </row>
    <row r="976" spans="27:27">
      <c r="AA976" t="s">
        <v>4806</v>
      </c>
    </row>
    <row r="977" spans="27:27">
      <c r="AA977" t="s">
        <v>4807</v>
      </c>
    </row>
    <row r="978" spans="27:27">
      <c r="AA978" t="s">
        <v>4808</v>
      </c>
    </row>
    <row r="979" spans="27:27">
      <c r="AA979" t="s">
        <v>4809</v>
      </c>
    </row>
    <row r="980" spans="27:27">
      <c r="AA980" t="s">
        <v>4810</v>
      </c>
    </row>
    <row r="981" spans="27:27">
      <c r="AA981" t="s">
        <v>1335</v>
      </c>
    </row>
    <row r="982" spans="27:27">
      <c r="AA982" t="s">
        <v>3483</v>
      </c>
    </row>
    <row r="983" spans="27:27">
      <c r="AA983" t="s">
        <v>1336</v>
      </c>
    </row>
    <row r="984" spans="27:27">
      <c r="AA984" t="s">
        <v>4811</v>
      </c>
    </row>
    <row r="985" spans="27:27">
      <c r="AA985" t="s">
        <v>4812</v>
      </c>
    </row>
    <row r="986" spans="27:27">
      <c r="AA986" t="s">
        <v>4813</v>
      </c>
    </row>
    <row r="987" spans="27:27">
      <c r="AA987" t="s">
        <v>4814</v>
      </c>
    </row>
    <row r="988" spans="27:27">
      <c r="AA988" t="s">
        <v>4815</v>
      </c>
    </row>
    <row r="989" spans="27:27">
      <c r="AA989" t="s">
        <v>4816</v>
      </c>
    </row>
    <row r="990" spans="27:27">
      <c r="AA990" t="s">
        <v>4817</v>
      </c>
    </row>
    <row r="991" spans="27:27">
      <c r="AA991" t="s">
        <v>4818</v>
      </c>
    </row>
    <row r="992" spans="27:27">
      <c r="AA992" t="s">
        <v>4819</v>
      </c>
    </row>
    <row r="993" spans="27:27">
      <c r="AA993" t="s">
        <v>4820</v>
      </c>
    </row>
    <row r="994" spans="27:27">
      <c r="AA994" t="s">
        <v>4821</v>
      </c>
    </row>
    <row r="995" spans="27:27">
      <c r="AA995" t="s">
        <v>4822</v>
      </c>
    </row>
    <row r="996" spans="27:27">
      <c r="AA996" t="s">
        <v>4823</v>
      </c>
    </row>
    <row r="997" spans="27:27">
      <c r="AA997" t="s">
        <v>1337</v>
      </c>
    </row>
    <row r="998" spans="27:27">
      <c r="AA998" t="s">
        <v>3484</v>
      </c>
    </row>
    <row r="999" spans="27:27">
      <c r="AA999" t="s">
        <v>4824</v>
      </c>
    </row>
    <row r="1000" spans="27:27">
      <c r="AA1000" t="s">
        <v>3485</v>
      </c>
    </row>
    <row r="1001" spans="27:27">
      <c r="AA1001" t="s">
        <v>4825</v>
      </c>
    </row>
    <row r="1002" spans="27:27">
      <c r="AA1002" t="s">
        <v>4826</v>
      </c>
    </row>
    <row r="1003" spans="27:27">
      <c r="AA1003" t="s">
        <v>4827</v>
      </c>
    </row>
    <row r="1004" spans="27:27">
      <c r="AA1004" t="s">
        <v>4828</v>
      </c>
    </row>
    <row r="1005" spans="27:27">
      <c r="AA1005" t="s">
        <v>1338</v>
      </c>
    </row>
    <row r="1006" spans="27:27">
      <c r="AA1006" t="s">
        <v>4829</v>
      </c>
    </row>
    <row r="1007" spans="27:27">
      <c r="AA1007" t="s">
        <v>4830</v>
      </c>
    </row>
    <row r="1008" spans="27:27">
      <c r="AA1008" t="s">
        <v>4831</v>
      </c>
    </row>
    <row r="1009" spans="27:27">
      <c r="AA1009" t="s">
        <v>3486</v>
      </c>
    </row>
    <row r="1010" spans="27:27">
      <c r="AA1010" t="s">
        <v>4832</v>
      </c>
    </row>
    <row r="1011" spans="27:27">
      <c r="AA1011" t="s">
        <v>4833</v>
      </c>
    </row>
    <row r="1012" spans="27:27">
      <c r="AA1012" t="s">
        <v>1339</v>
      </c>
    </row>
    <row r="1013" spans="27:27">
      <c r="AA1013" t="s">
        <v>4834</v>
      </c>
    </row>
    <row r="1014" spans="27:27">
      <c r="AA1014" t="s">
        <v>4835</v>
      </c>
    </row>
    <row r="1015" spans="27:27">
      <c r="AA1015" t="s">
        <v>1340</v>
      </c>
    </row>
    <row r="1016" spans="27:27">
      <c r="AA1016" t="s">
        <v>3487</v>
      </c>
    </row>
    <row r="1017" spans="27:27">
      <c r="AA1017" t="s">
        <v>1341</v>
      </c>
    </row>
    <row r="1018" spans="27:27">
      <c r="AA1018" t="s">
        <v>3488</v>
      </c>
    </row>
    <row r="1019" spans="27:27">
      <c r="AA1019" t="s">
        <v>1342</v>
      </c>
    </row>
    <row r="1020" spans="27:27">
      <c r="AA1020" t="s">
        <v>4836</v>
      </c>
    </row>
    <row r="1021" spans="27:27">
      <c r="AA1021" t="s">
        <v>4837</v>
      </c>
    </row>
    <row r="1022" spans="27:27">
      <c r="AA1022" t="s">
        <v>4838</v>
      </c>
    </row>
    <row r="1023" spans="27:27">
      <c r="AA1023" t="s">
        <v>4839</v>
      </c>
    </row>
    <row r="1024" spans="27:27">
      <c r="AA1024" t="s">
        <v>4840</v>
      </c>
    </row>
    <row r="1025" spans="27:27">
      <c r="AA1025" t="s">
        <v>4841</v>
      </c>
    </row>
    <row r="1026" spans="27:27">
      <c r="AA1026" t="s">
        <v>4842</v>
      </c>
    </row>
    <row r="1027" spans="27:27">
      <c r="AA1027" t="s">
        <v>4843</v>
      </c>
    </row>
    <row r="1028" spans="27:27">
      <c r="AA1028" t="s">
        <v>4844</v>
      </c>
    </row>
    <row r="1029" spans="27:27">
      <c r="AA1029" t="s">
        <v>4845</v>
      </c>
    </row>
    <row r="1030" spans="27:27">
      <c r="AA1030" t="s">
        <v>4846</v>
      </c>
    </row>
    <row r="1031" spans="27:27">
      <c r="AA1031" t="s">
        <v>3489</v>
      </c>
    </row>
    <row r="1032" spans="27:27">
      <c r="AA1032" t="s">
        <v>4847</v>
      </c>
    </row>
    <row r="1033" spans="27:27">
      <c r="AA1033" t="s">
        <v>1343</v>
      </c>
    </row>
    <row r="1034" spans="27:27">
      <c r="AA1034" t="s">
        <v>3490</v>
      </c>
    </row>
    <row r="1035" spans="27:27">
      <c r="AA1035" t="s">
        <v>1344</v>
      </c>
    </row>
    <row r="1036" spans="27:27">
      <c r="AA1036" t="s">
        <v>4848</v>
      </c>
    </row>
    <row r="1037" spans="27:27">
      <c r="AA1037" t="s">
        <v>4849</v>
      </c>
    </row>
    <row r="1038" spans="27:27">
      <c r="AA1038" t="s">
        <v>4850</v>
      </c>
    </row>
    <row r="1039" spans="27:27">
      <c r="AA1039" t="s">
        <v>4851</v>
      </c>
    </row>
    <row r="1040" spans="27:27">
      <c r="AA1040" t="s">
        <v>4852</v>
      </c>
    </row>
    <row r="1041" spans="27:27">
      <c r="AA1041" t="s">
        <v>4853</v>
      </c>
    </row>
    <row r="1042" spans="27:27">
      <c r="AA1042" t="s">
        <v>4854</v>
      </c>
    </row>
    <row r="1043" spans="27:27">
      <c r="AA1043" t="s">
        <v>4855</v>
      </c>
    </row>
    <row r="1044" spans="27:27">
      <c r="AA1044" t="s">
        <v>4856</v>
      </c>
    </row>
    <row r="1045" spans="27:27">
      <c r="AA1045" t="s">
        <v>4857</v>
      </c>
    </row>
    <row r="1046" spans="27:27">
      <c r="AA1046" t="s">
        <v>1345</v>
      </c>
    </row>
    <row r="1047" spans="27:27">
      <c r="AA1047" t="s">
        <v>4858</v>
      </c>
    </row>
    <row r="1048" spans="27:27">
      <c r="AA1048" t="s">
        <v>4859</v>
      </c>
    </row>
    <row r="1049" spans="27:27">
      <c r="AA1049" t="s">
        <v>1346</v>
      </c>
    </row>
    <row r="1050" spans="27:27">
      <c r="AA1050" t="s">
        <v>4860</v>
      </c>
    </row>
    <row r="1051" spans="27:27">
      <c r="AA1051" t="s">
        <v>4861</v>
      </c>
    </row>
    <row r="1052" spans="27:27">
      <c r="AA1052" t="s">
        <v>4862</v>
      </c>
    </row>
    <row r="1053" spans="27:27">
      <c r="AA1053" t="s">
        <v>3491</v>
      </c>
    </row>
    <row r="1054" spans="27:27">
      <c r="AA1054" t="s">
        <v>1347</v>
      </c>
    </row>
    <row r="1055" spans="27:27">
      <c r="AA1055" t="s">
        <v>3492</v>
      </c>
    </row>
    <row r="1056" spans="27:27">
      <c r="AA1056" t="s">
        <v>4863</v>
      </c>
    </row>
    <row r="1057" spans="27:27">
      <c r="AA1057" t="s">
        <v>4864</v>
      </c>
    </row>
    <row r="1058" spans="27:27">
      <c r="AA1058" t="s">
        <v>4865</v>
      </c>
    </row>
    <row r="1059" spans="27:27">
      <c r="AA1059" t="s">
        <v>3493</v>
      </c>
    </row>
    <row r="1060" spans="27:27">
      <c r="AA1060" t="s">
        <v>4866</v>
      </c>
    </row>
    <row r="1061" spans="27:27">
      <c r="AA1061" t="s">
        <v>4867</v>
      </c>
    </row>
    <row r="1062" spans="27:27">
      <c r="AA1062" t="s">
        <v>4868</v>
      </c>
    </row>
    <row r="1063" spans="27:27">
      <c r="AA1063" t="s">
        <v>4869</v>
      </c>
    </row>
    <row r="1064" spans="27:27">
      <c r="AA1064" t="s">
        <v>4870</v>
      </c>
    </row>
    <row r="1065" spans="27:27">
      <c r="AA1065" t="s">
        <v>4871</v>
      </c>
    </row>
    <row r="1066" spans="27:27">
      <c r="AA1066" t="s">
        <v>4872</v>
      </c>
    </row>
    <row r="1067" spans="27:27">
      <c r="AA1067" t="s">
        <v>4873</v>
      </c>
    </row>
    <row r="1068" spans="27:27">
      <c r="AA1068" t="s">
        <v>4874</v>
      </c>
    </row>
    <row r="1069" spans="27:27">
      <c r="AA1069" t="s">
        <v>4875</v>
      </c>
    </row>
    <row r="1070" spans="27:27">
      <c r="AA1070" t="s">
        <v>4876</v>
      </c>
    </row>
    <row r="1071" spans="27:27">
      <c r="AA1071" t="s">
        <v>1348</v>
      </c>
    </row>
    <row r="1072" spans="27:27">
      <c r="AA1072" t="s">
        <v>4877</v>
      </c>
    </row>
    <row r="1073" spans="27:27">
      <c r="AA1073" t="s">
        <v>4878</v>
      </c>
    </row>
    <row r="1074" spans="27:27">
      <c r="AA1074" t="s">
        <v>1349</v>
      </c>
    </row>
    <row r="1075" spans="27:27">
      <c r="AA1075" t="s">
        <v>3494</v>
      </c>
    </row>
    <row r="1076" spans="27:27">
      <c r="AA1076" t="s">
        <v>4879</v>
      </c>
    </row>
    <row r="1077" spans="27:27">
      <c r="AA1077" t="s">
        <v>4880</v>
      </c>
    </row>
    <row r="1078" spans="27:27">
      <c r="AA1078" t="s">
        <v>1350</v>
      </c>
    </row>
    <row r="1079" spans="27:27">
      <c r="AA1079" t="s">
        <v>4881</v>
      </c>
    </row>
    <row r="1080" spans="27:27">
      <c r="AA1080" t="s">
        <v>4882</v>
      </c>
    </row>
    <row r="1081" spans="27:27">
      <c r="AA1081" t="s">
        <v>4883</v>
      </c>
    </row>
    <row r="1082" spans="27:27">
      <c r="AA1082" t="s">
        <v>4884</v>
      </c>
    </row>
    <row r="1083" spans="27:27">
      <c r="AA1083" t="s">
        <v>4885</v>
      </c>
    </row>
    <row r="1084" spans="27:27">
      <c r="AA1084" t="s">
        <v>4886</v>
      </c>
    </row>
    <row r="1085" spans="27:27">
      <c r="AA1085" t="s">
        <v>3495</v>
      </c>
    </row>
    <row r="1086" spans="27:27">
      <c r="AA1086" t="s">
        <v>4887</v>
      </c>
    </row>
    <row r="1087" spans="27:27">
      <c r="AA1087" t="s">
        <v>4888</v>
      </c>
    </row>
    <row r="1088" spans="27:27">
      <c r="AA1088" t="s">
        <v>4889</v>
      </c>
    </row>
    <row r="1089" spans="27:27">
      <c r="AA1089" t="s">
        <v>4890</v>
      </c>
    </row>
    <row r="1090" spans="27:27">
      <c r="AA1090" t="s">
        <v>4891</v>
      </c>
    </row>
    <row r="1091" spans="27:27">
      <c r="AA1091" t="s">
        <v>1351</v>
      </c>
    </row>
    <row r="1092" spans="27:27">
      <c r="AA1092" t="s">
        <v>4892</v>
      </c>
    </row>
    <row r="1093" spans="27:27">
      <c r="AA1093" t="s">
        <v>4893</v>
      </c>
    </row>
    <row r="1094" spans="27:27">
      <c r="AA1094" t="s">
        <v>4894</v>
      </c>
    </row>
    <row r="1095" spans="27:27">
      <c r="AA1095" t="s">
        <v>4895</v>
      </c>
    </row>
    <row r="1096" spans="27:27">
      <c r="AA1096" t="s">
        <v>4896</v>
      </c>
    </row>
    <row r="1097" spans="27:27">
      <c r="AA1097" t="s">
        <v>1352</v>
      </c>
    </row>
    <row r="1098" spans="27:27">
      <c r="AA1098" t="s">
        <v>3496</v>
      </c>
    </row>
    <row r="1099" spans="27:27">
      <c r="AA1099" t="s">
        <v>4897</v>
      </c>
    </row>
    <row r="1100" spans="27:27">
      <c r="AA1100" t="s">
        <v>4898</v>
      </c>
    </row>
    <row r="1101" spans="27:27">
      <c r="AA1101" t="s">
        <v>4899</v>
      </c>
    </row>
    <row r="1102" spans="27:27">
      <c r="AA1102" t="s">
        <v>4900</v>
      </c>
    </row>
    <row r="1103" spans="27:27">
      <c r="AA1103" t="s">
        <v>4901</v>
      </c>
    </row>
    <row r="1104" spans="27:27">
      <c r="AA1104" t="s">
        <v>4902</v>
      </c>
    </row>
    <row r="1105" spans="27:27">
      <c r="AA1105" t="s">
        <v>4903</v>
      </c>
    </row>
    <row r="1106" spans="27:27">
      <c r="AA1106" t="s">
        <v>4904</v>
      </c>
    </row>
    <row r="1107" spans="27:27">
      <c r="AA1107" t="s">
        <v>4905</v>
      </c>
    </row>
    <row r="1108" spans="27:27">
      <c r="AA1108" t="s">
        <v>4906</v>
      </c>
    </row>
    <row r="1109" spans="27:27">
      <c r="AA1109" t="s">
        <v>4907</v>
      </c>
    </row>
    <row r="1110" spans="27:27">
      <c r="AA1110" t="s">
        <v>4908</v>
      </c>
    </row>
    <row r="1111" spans="27:27">
      <c r="AA1111" t="s">
        <v>4909</v>
      </c>
    </row>
    <row r="1112" spans="27:27">
      <c r="AA1112" t="s">
        <v>4910</v>
      </c>
    </row>
    <row r="1113" spans="27:27">
      <c r="AA1113" t="s">
        <v>4911</v>
      </c>
    </row>
    <row r="1114" spans="27:27">
      <c r="AA1114" t="s">
        <v>4912</v>
      </c>
    </row>
    <row r="1115" spans="27:27">
      <c r="AA1115" t="s">
        <v>4913</v>
      </c>
    </row>
    <row r="1116" spans="27:27">
      <c r="AA1116" t="s">
        <v>4914</v>
      </c>
    </row>
    <row r="1117" spans="27:27">
      <c r="AA1117" t="s">
        <v>4915</v>
      </c>
    </row>
    <row r="1118" spans="27:27">
      <c r="AA1118" t="s">
        <v>4916</v>
      </c>
    </row>
    <row r="1119" spans="27:27">
      <c r="AA1119" t="s">
        <v>4917</v>
      </c>
    </row>
    <row r="1120" spans="27:27">
      <c r="AA1120" t="s">
        <v>4918</v>
      </c>
    </row>
    <row r="1121" spans="27:27">
      <c r="AA1121" t="s">
        <v>4919</v>
      </c>
    </row>
    <row r="1122" spans="27:27">
      <c r="AA1122" t="s">
        <v>4920</v>
      </c>
    </row>
    <row r="1123" spans="27:27">
      <c r="AA1123" t="s">
        <v>4921</v>
      </c>
    </row>
    <row r="1124" spans="27:27">
      <c r="AA1124" t="s">
        <v>1353</v>
      </c>
    </row>
    <row r="1125" spans="27:27">
      <c r="AA1125" t="s">
        <v>3497</v>
      </c>
    </row>
    <row r="1126" spans="27:27">
      <c r="AA1126" t="s">
        <v>4922</v>
      </c>
    </row>
    <row r="1127" spans="27:27">
      <c r="AA1127" t="s">
        <v>4923</v>
      </c>
    </row>
    <row r="1128" spans="27:27">
      <c r="AA1128" t="s">
        <v>4924</v>
      </c>
    </row>
    <row r="1129" spans="27:27">
      <c r="AA1129" t="s">
        <v>4925</v>
      </c>
    </row>
    <row r="1130" spans="27:27">
      <c r="AA1130" t="s">
        <v>4926</v>
      </c>
    </row>
    <row r="1131" spans="27:27">
      <c r="AA1131" t="s">
        <v>4927</v>
      </c>
    </row>
    <row r="1132" spans="27:27">
      <c r="AA1132" t="s">
        <v>4928</v>
      </c>
    </row>
    <row r="1133" spans="27:27">
      <c r="AA1133" t="s">
        <v>4929</v>
      </c>
    </row>
    <row r="1134" spans="27:27">
      <c r="AA1134" t="s">
        <v>1354</v>
      </c>
    </row>
    <row r="1135" spans="27:27">
      <c r="AA1135" t="s">
        <v>4930</v>
      </c>
    </row>
    <row r="1136" spans="27:27">
      <c r="AA1136" t="s">
        <v>1355</v>
      </c>
    </row>
    <row r="1137" spans="27:27">
      <c r="AA1137" t="s">
        <v>4931</v>
      </c>
    </row>
    <row r="1138" spans="27:27">
      <c r="AA1138" t="s">
        <v>1356</v>
      </c>
    </row>
    <row r="1139" spans="27:27">
      <c r="AA1139" t="s">
        <v>4932</v>
      </c>
    </row>
    <row r="1140" spans="27:27">
      <c r="AA1140" t="s">
        <v>4933</v>
      </c>
    </row>
    <row r="1141" spans="27:27">
      <c r="AA1141" t="s">
        <v>4934</v>
      </c>
    </row>
    <row r="1142" spans="27:27">
      <c r="AA1142" t="s">
        <v>4935</v>
      </c>
    </row>
    <row r="1143" spans="27:27">
      <c r="AA1143" t="s">
        <v>4936</v>
      </c>
    </row>
    <row r="1144" spans="27:27">
      <c r="AA1144" t="s">
        <v>4937</v>
      </c>
    </row>
    <row r="1145" spans="27:27">
      <c r="AA1145" t="s">
        <v>4938</v>
      </c>
    </row>
    <row r="1146" spans="27:27">
      <c r="AA1146" t="s">
        <v>4939</v>
      </c>
    </row>
    <row r="1147" spans="27:27">
      <c r="AA1147" t="s">
        <v>4940</v>
      </c>
    </row>
    <row r="1148" spans="27:27">
      <c r="AA1148" t="s">
        <v>4941</v>
      </c>
    </row>
    <row r="1149" spans="27:27">
      <c r="AA1149" t="s">
        <v>4942</v>
      </c>
    </row>
    <row r="1150" spans="27:27">
      <c r="AA1150" t="s">
        <v>4943</v>
      </c>
    </row>
    <row r="1151" spans="27:27">
      <c r="AA1151" t="s">
        <v>4944</v>
      </c>
    </row>
    <row r="1152" spans="27:27">
      <c r="AA1152" t="s">
        <v>4945</v>
      </c>
    </row>
    <row r="1153" spans="27:27">
      <c r="AA1153" t="s">
        <v>1357</v>
      </c>
    </row>
    <row r="1154" spans="27:27">
      <c r="AA1154" t="s">
        <v>4946</v>
      </c>
    </row>
    <row r="1155" spans="27:27">
      <c r="AA1155" t="s">
        <v>4947</v>
      </c>
    </row>
    <row r="1156" spans="27:27">
      <c r="AA1156" t="s">
        <v>4948</v>
      </c>
    </row>
    <row r="1157" spans="27:27">
      <c r="AA1157" t="s">
        <v>1358</v>
      </c>
    </row>
    <row r="1158" spans="27:27">
      <c r="AA1158" t="s">
        <v>4949</v>
      </c>
    </row>
    <row r="1159" spans="27:27">
      <c r="AA1159" t="s">
        <v>4950</v>
      </c>
    </row>
    <row r="1160" spans="27:27">
      <c r="AA1160" t="s">
        <v>4951</v>
      </c>
    </row>
    <row r="1161" spans="27:27">
      <c r="AA1161" t="s">
        <v>4952</v>
      </c>
    </row>
    <row r="1162" spans="27:27">
      <c r="AA1162" t="s">
        <v>1359</v>
      </c>
    </row>
    <row r="1163" spans="27:27">
      <c r="AA1163" t="s">
        <v>3498</v>
      </c>
    </row>
    <row r="1164" spans="27:27">
      <c r="AA1164" t="s">
        <v>4953</v>
      </c>
    </row>
    <row r="1165" spans="27:27">
      <c r="AA1165" t="s">
        <v>4954</v>
      </c>
    </row>
    <row r="1166" spans="27:27">
      <c r="AA1166" t="s">
        <v>1360</v>
      </c>
    </row>
    <row r="1167" spans="27:27">
      <c r="AA1167" t="s">
        <v>4955</v>
      </c>
    </row>
    <row r="1168" spans="27:27">
      <c r="AA1168" t="s">
        <v>4956</v>
      </c>
    </row>
    <row r="1169" spans="27:27">
      <c r="AA1169" t="s">
        <v>1361</v>
      </c>
    </row>
    <row r="1170" spans="27:27">
      <c r="AA1170" t="s">
        <v>3499</v>
      </c>
    </row>
    <row r="1171" spans="27:27">
      <c r="AA1171" t="s">
        <v>1362</v>
      </c>
    </row>
    <row r="1172" spans="27:27">
      <c r="AA1172" t="s">
        <v>3500</v>
      </c>
    </row>
    <row r="1173" spans="27:27">
      <c r="AA1173" t="s">
        <v>4957</v>
      </c>
    </row>
    <row r="1174" spans="27:27">
      <c r="AA1174" t="s">
        <v>4958</v>
      </c>
    </row>
    <row r="1175" spans="27:27">
      <c r="AA1175" t="s">
        <v>1363</v>
      </c>
    </row>
    <row r="1176" spans="27:27">
      <c r="AA1176" t="s">
        <v>3501</v>
      </c>
    </row>
    <row r="1177" spans="27:27">
      <c r="AA1177" t="s">
        <v>4959</v>
      </c>
    </row>
    <row r="1178" spans="27:27">
      <c r="AA1178" t="s">
        <v>1364</v>
      </c>
    </row>
    <row r="1179" spans="27:27">
      <c r="AA1179" t="s">
        <v>4960</v>
      </c>
    </row>
    <row r="1180" spans="27:27">
      <c r="AA1180" t="s">
        <v>4961</v>
      </c>
    </row>
    <row r="1181" spans="27:27">
      <c r="AA1181" t="s">
        <v>4962</v>
      </c>
    </row>
    <row r="1182" spans="27:27">
      <c r="AA1182" t="s">
        <v>4963</v>
      </c>
    </row>
    <row r="1183" spans="27:27">
      <c r="AA1183" t="s">
        <v>4964</v>
      </c>
    </row>
    <row r="1184" spans="27:27">
      <c r="AA1184" t="s">
        <v>4965</v>
      </c>
    </row>
    <row r="1185" spans="27:27">
      <c r="AA1185" t="s">
        <v>4966</v>
      </c>
    </row>
    <row r="1186" spans="27:27">
      <c r="AA1186" t="s">
        <v>4967</v>
      </c>
    </row>
    <row r="1187" spans="27:27">
      <c r="AA1187" t="s">
        <v>4968</v>
      </c>
    </row>
    <row r="1188" spans="27:27">
      <c r="AA1188" t="s">
        <v>4969</v>
      </c>
    </row>
    <row r="1189" spans="27:27">
      <c r="AA1189" t="s">
        <v>1365</v>
      </c>
    </row>
    <row r="1190" spans="27:27">
      <c r="AA1190" t="s">
        <v>3502</v>
      </c>
    </row>
    <row r="1191" spans="27:27">
      <c r="AA1191" t="s">
        <v>1366</v>
      </c>
    </row>
    <row r="1192" spans="27:27">
      <c r="AA1192" t="s">
        <v>4970</v>
      </c>
    </row>
    <row r="1193" spans="27:27">
      <c r="AA1193" t="s">
        <v>4971</v>
      </c>
    </row>
    <row r="1194" spans="27:27">
      <c r="AA1194" t="s">
        <v>4972</v>
      </c>
    </row>
    <row r="1195" spans="27:27">
      <c r="AA1195" t="s">
        <v>4973</v>
      </c>
    </row>
    <row r="1196" spans="27:27">
      <c r="AA1196" t="s">
        <v>4974</v>
      </c>
    </row>
    <row r="1197" spans="27:27">
      <c r="AA1197" t="s">
        <v>4975</v>
      </c>
    </row>
    <row r="1198" spans="27:27">
      <c r="AA1198" t="s">
        <v>4976</v>
      </c>
    </row>
    <row r="1199" spans="27:27">
      <c r="AA1199" t="s">
        <v>4977</v>
      </c>
    </row>
    <row r="1200" spans="27:27">
      <c r="AA1200" t="s">
        <v>4978</v>
      </c>
    </row>
    <row r="1201" spans="27:27">
      <c r="AA1201" t="s">
        <v>1367</v>
      </c>
    </row>
    <row r="1202" spans="27:27">
      <c r="AA1202" t="s">
        <v>3503</v>
      </c>
    </row>
    <row r="1203" spans="27:27">
      <c r="AA1203" t="s">
        <v>1368</v>
      </c>
    </row>
    <row r="1204" spans="27:27">
      <c r="AA1204" t="s">
        <v>4979</v>
      </c>
    </row>
    <row r="1205" spans="27:27">
      <c r="AA1205" t="s">
        <v>4980</v>
      </c>
    </row>
    <row r="1206" spans="27:27">
      <c r="AA1206" t="s">
        <v>4981</v>
      </c>
    </row>
    <row r="1207" spans="27:27">
      <c r="AA1207" t="s">
        <v>4982</v>
      </c>
    </row>
    <row r="1208" spans="27:27">
      <c r="AA1208" t="s">
        <v>4983</v>
      </c>
    </row>
    <row r="1209" spans="27:27">
      <c r="AA1209" t="s">
        <v>4984</v>
      </c>
    </row>
    <row r="1210" spans="27:27">
      <c r="AA1210" t="s">
        <v>4985</v>
      </c>
    </row>
    <row r="1211" spans="27:27">
      <c r="AA1211" t="s">
        <v>4986</v>
      </c>
    </row>
    <row r="1212" spans="27:27">
      <c r="AA1212" t="s">
        <v>1369</v>
      </c>
    </row>
    <row r="1213" spans="27:27">
      <c r="AA1213" t="s">
        <v>3504</v>
      </c>
    </row>
    <row r="1214" spans="27:27">
      <c r="AA1214" t="s">
        <v>1370</v>
      </c>
    </row>
    <row r="1215" spans="27:27">
      <c r="AA1215" t="s">
        <v>4987</v>
      </c>
    </row>
    <row r="1216" spans="27:27">
      <c r="AA1216" t="s">
        <v>4988</v>
      </c>
    </row>
    <row r="1217" spans="27:27">
      <c r="AA1217" t="s">
        <v>4989</v>
      </c>
    </row>
    <row r="1218" spans="27:27">
      <c r="AA1218" t="s">
        <v>4990</v>
      </c>
    </row>
    <row r="1219" spans="27:27">
      <c r="AA1219" t="s">
        <v>4991</v>
      </c>
    </row>
    <row r="1220" spans="27:27">
      <c r="AA1220" t="s">
        <v>4992</v>
      </c>
    </row>
    <row r="1221" spans="27:27">
      <c r="AA1221" t="s">
        <v>4993</v>
      </c>
    </row>
    <row r="1222" spans="27:27">
      <c r="AA1222" t="s">
        <v>4994</v>
      </c>
    </row>
    <row r="1223" spans="27:27">
      <c r="AA1223" t="s">
        <v>4995</v>
      </c>
    </row>
    <row r="1224" spans="27:27">
      <c r="AA1224" t="s">
        <v>4996</v>
      </c>
    </row>
    <row r="1225" spans="27:27">
      <c r="AA1225" t="s">
        <v>4997</v>
      </c>
    </row>
    <row r="1226" spans="27:27">
      <c r="AA1226" t="s">
        <v>4998</v>
      </c>
    </row>
    <row r="1227" spans="27:27">
      <c r="AA1227" t="s">
        <v>4999</v>
      </c>
    </row>
    <row r="1228" spans="27:27">
      <c r="AA1228" t="s">
        <v>5000</v>
      </c>
    </row>
    <row r="1229" spans="27:27">
      <c r="AA1229" t="s">
        <v>5001</v>
      </c>
    </row>
    <row r="1230" spans="27:27">
      <c r="AA1230" t="s">
        <v>5002</v>
      </c>
    </row>
    <row r="1231" spans="27:27">
      <c r="AA1231" t="s">
        <v>5003</v>
      </c>
    </row>
    <row r="1232" spans="27:27">
      <c r="AA1232" t="s">
        <v>5004</v>
      </c>
    </row>
    <row r="1233" spans="27:27">
      <c r="AA1233" t="s">
        <v>5005</v>
      </c>
    </row>
    <row r="1234" spans="27:27">
      <c r="AA1234" t="s">
        <v>5006</v>
      </c>
    </row>
    <row r="1235" spans="27:27">
      <c r="AA1235" t="s">
        <v>5007</v>
      </c>
    </row>
    <row r="1236" spans="27:27">
      <c r="AA1236" t="s">
        <v>5008</v>
      </c>
    </row>
    <row r="1237" spans="27:27">
      <c r="AA1237" t="s">
        <v>5009</v>
      </c>
    </row>
    <row r="1238" spans="27:27">
      <c r="AA1238" t="s">
        <v>5010</v>
      </c>
    </row>
    <row r="1239" spans="27:27">
      <c r="AA1239" t="s">
        <v>5011</v>
      </c>
    </row>
    <row r="1240" spans="27:27">
      <c r="AA1240" t="s">
        <v>5012</v>
      </c>
    </row>
    <row r="1241" spans="27:27">
      <c r="AA1241" t="s">
        <v>5013</v>
      </c>
    </row>
    <row r="1242" spans="27:27">
      <c r="AA1242" t="s">
        <v>5014</v>
      </c>
    </row>
    <row r="1243" spans="27:27">
      <c r="AA1243" t="s">
        <v>5015</v>
      </c>
    </row>
    <row r="1244" spans="27:27">
      <c r="AA1244" t="s">
        <v>5016</v>
      </c>
    </row>
    <row r="1245" spans="27:27">
      <c r="AA1245" t="s">
        <v>5017</v>
      </c>
    </row>
    <row r="1246" spans="27:27">
      <c r="AA1246" t="s">
        <v>5018</v>
      </c>
    </row>
    <row r="1247" spans="27:27">
      <c r="AA1247" t="s">
        <v>5019</v>
      </c>
    </row>
    <row r="1248" spans="27:27">
      <c r="AA1248" t="s">
        <v>5020</v>
      </c>
    </row>
    <row r="1249" spans="27:27">
      <c r="AA1249" t="s">
        <v>5021</v>
      </c>
    </row>
    <row r="1250" spans="27:27">
      <c r="AA1250" t="s">
        <v>5022</v>
      </c>
    </row>
    <row r="1251" spans="27:27">
      <c r="AA1251" t="s">
        <v>5023</v>
      </c>
    </row>
    <row r="1252" spans="27:27">
      <c r="AA1252" t="s">
        <v>5024</v>
      </c>
    </row>
    <row r="1253" spans="27:27">
      <c r="AA1253" t="s">
        <v>5025</v>
      </c>
    </row>
    <row r="1254" spans="27:27">
      <c r="AA1254" t="s">
        <v>5026</v>
      </c>
    </row>
    <row r="1255" spans="27:27">
      <c r="AA1255" t="s">
        <v>5027</v>
      </c>
    </row>
    <row r="1256" spans="27:27">
      <c r="AA1256" t="s">
        <v>5028</v>
      </c>
    </row>
    <row r="1257" spans="27:27">
      <c r="AA1257" t="s">
        <v>5029</v>
      </c>
    </row>
    <row r="1258" spans="27:27">
      <c r="AA1258" t="s">
        <v>3505</v>
      </c>
    </row>
    <row r="1259" spans="27:27">
      <c r="AA1259" t="s">
        <v>5030</v>
      </c>
    </row>
    <row r="1260" spans="27:27">
      <c r="AA1260" t="s">
        <v>5031</v>
      </c>
    </row>
    <row r="1261" spans="27:27">
      <c r="AA1261" t="s">
        <v>5032</v>
      </c>
    </row>
    <row r="1262" spans="27:27">
      <c r="AA1262" t="s">
        <v>5033</v>
      </c>
    </row>
    <row r="1263" spans="27:27">
      <c r="AA1263" t="s">
        <v>5034</v>
      </c>
    </row>
    <row r="1264" spans="27:27">
      <c r="AA1264" t="s">
        <v>5035</v>
      </c>
    </row>
    <row r="1265" spans="27:27">
      <c r="AA1265" t="s">
        <v>1371</v>
      </c>
    </row>
    <row r="1266" spans="27:27">
      <c r="AA1266" t="s">
        <v>3506</v>
      </c>
    </row>
    <row r="1267" spans="27:27">
      <c r="AA1267" t="s">
        <v>5036</v>
      </c>
    </row>
    <row r="1268" spans="27:27">
      <c r="AA1268" t="s">
        <v>5037</v>
      </c>
    </row>
    <row r="1269" spans="27:27">
      <c r="AA1269" t="s">
        <v>5038</v>
      </c>
    </row>
    <row r="1270" spans="27:27">
      <c r="AA1270" t="s">
        <v>3507</v>
      </c>
    </row>
    <row r="1271" spans="27:27">
      <c r="AA1271" t="s">
        <v>5039</v>
      </c>
    </row>
    <row r="1272" spans="27:27">
      <c r="AA1272" t="s">
        <v>5040</v>
      </c>
    </row>
    <row r="1273" spans="27:27">
      <c r="AA1273" t="s">
        <v>5041</v>
      </c>
    </row>
    <row r="1274" spans="27:27">
      <c r="AA1274" t="s">
        <v>5042</v>
      </c>
    </row>
    <row r="1275" spans="27:27">
      <c r="AA1275" t="s">
        <v>5043</v>
      </c>
    </row>
    <row r="1276" spans="27:27">
      <c r="AA1276" t="s">
        <v>5044</v>
      </c>
    </row>
    <row r="1277" spans="27:27">
      <c r="AA1277" t="s">
        <v>3508</v>
      </c>
    </row>
    <row r="1278" spans="27:27">
      <c r="AA1278" t="s">
        <v>5045</v>
      </c>
    </row>
    <row r="1279" spans="27:27">
      <c r="AA1279" t="s">
        <v>5046</v>
      </c>
    </row>
    <row r="1280" spans="27:27">
      <c r="AA1280" t="s">
        <v>5047</v>
      </c>
    </row>
    <row r="1281" spans="27:27">
      <c r="AA1281" t="s">
        <v>5048</v>
      </c>
    </row>
    <row r="1282" spans="27:27">
      <c r="AA1282" t="s">
        <v>5049</v>
      </c>
    </row>
    <row r="1283" spans="27:27">
      <c r="AA1283" t="s">
        <v>5050</v>
      </c>
    </row>
    <row r="1284" spans="27:27">
      <c r="AA1284" t="s">
        <v>5051</v>
      </c>
    </row>
    <row r="1285" spans="27:27">
      <c r="AA1285" t="s">
        <v>5052</v>
      </c>
    </row>
    <row r="1286" spans="27:27">
      <c r="AA1286" t="s">
        <v>5053</v>
      </c>
    </row>
    <row r="1287" spans="27:27">
      <c r="AA1287" t="s">
        <v>1372</v>
      </c>
    </row>
    <row r="1288" spans="27:27">
      <c r="AA1288" t="s">
        <v>3509</v>
      </c>
    </row>
    <row r="1289" spans="27:27">
      <c r="AA1289" t="s">
        <v>5054</v>
      </c>
    </row>
    <row r="1290" spans="27:27">
      <c r="AA1290" t="s">
        <v>5055</v>
      </c>
    </row>
    <row r="1291" spans="27:27">
      <c r="AA1291" t="s">
        <v>5056</v>
      </c>
    </row>
    <row r="1292" spans="27:27">
      <c r="AA1292" t="s">
        <v>5057</v>
      </c>
    </row>
    <row r="1293" spans="27:27">
      <c r="AA1293" t="s">
        <v>5058</v>
      </c>
    </row>
    <row r="1294" spans="27:27">
      <c r="AA1294" t="s">
        <v>5059</v>
      </c>
    </row>
    <row r="1295" spans="27:27">
      <c r="AA1295" t="s">
        <v>5060</v>
      </c>
    </row>
    <row r="1296" spans="27:27">
      <c r="AA1296" t="s">
        <v>5061</v>
      </c>
    </row>
    <row r="1297" spans="27:27">
      <c r="AA1297" t="s">
        <v>5062</v>
      </c>
    </row>
    <row r="1298" spans="27:27">
      <c r="AA1298" t="s">
        <v>5063</v>
      </c>
    </row>
    <row r="1299" spans="27:27">
      <c r="AA1299" t="s">
        <v>5064</v>
      </c>
    </row>
    <row r="1300" spans="27:27">
      <c r="AA1300" t="s">
        <v>5065</v>
      </c>
    </row>
    <row r="1301" spans="27:27">
      <c r="AA1301" t="s">
        <v>5066</v>
      </c>
    </row>
    <row r="1302" spans="27:27">
      <c r="AA1302" t="s">
        <v>1373</v>
      </c>
    </row>
    <row r="1303" spans="27:27">
      <c r="AA1303" t="s">
        <v>3510</v>
      </c>
    </row>
    <row r="1304" spans="27:27">
      <c r="AA1304" t="s">
        <v>1374</v>
      </c>
    </row>
    <row r="1305" spans="27:27">
      <c r="AA1305" t="s">
        <v>3511</v>
      </c>
    </row>
    <row r="1306" spans="27:27">
      <c r="AA1306" t="s">
        <v>3512</v>
      </c>
    </row>
    <row r="1307" spans="27:27">
      <c r="AA1307" t="s">
        <v>136</v>
      </c>
    </row>
    <row r="1308" spans="27:27">
      <c r="AA1308" t="s">
        <v>137</v>
      </c>
    </row>
    <row r="1309" spans="27:27">
      <c r="AA1309" t="s">
        <v>1375</v>
      </c>
    </row>
    <row r="1310" spans="27:27">
      <c r="AA1310" t="s">
        <v>5067</v>
      </c>
    </row>
    <row r="1311" spans="27:27">
      <c r="AA1311" t="s">
        <v>1376</v>
      </c>
    </row>
    <row r="1312" spans="27:27">
      <c r="AA1312" t="s">
        <v>5068</v>
      </c>
    </row>
    <row r="1313" spans="27:27">
      <c r="AA1313" t="s">
        <v>5069</v>
      </c>
    </row>
    <row r="1314" spans="27:27">
      <c r="AA1314" t="s">
        <v>5070</v>
      </c>
    </row>
    <row r="1315" spans="27:27">
      <c r="AA1315" t="s">
        <v>5071</v>
      </c>
    </row>
    <row r="1316" spans="27:27">
      <c r="AA1316" t="s">
        <v>1377</v>
      </c>
    </row>
    <row r="1317" spans="27:27">
      <c r="AA1317" t="s">
        <v>3513</v>
      </c>
    </row>
    <row r="1318" spans="27:27">
      <c r="AA1318" t="s">
        <v>1378</v>
      </c>
    </row>
    <row r="1319" spans="27:27">
      <c r="AA1319" t="s">
        <v>3514</v>
      </c>
    </row>
    <row r="1320" spans="27:27">
      <c r="AA1320" t="s">
        <v>138</v>
      </c>
    </row>
    <row r="1321" spans="27:27">
      <c r="AA1321" t="s">
        <v>5072</v>
      </c>
    </row>
    <row r="1322" spans="27:27">
      <c r="AA1322" t="s">
        <v>5073</v>
      </c>
    </row>
    <row r="1323" spans="27:27">
      <c r="AA1323" t="s">
        <v>5074</v>
      </c>
    </row>
    <row r="1324" spans="27:27">
      <c r="AA1324" t="s">
        <v>5075</v>
      </c>
    </row>
    <row r="1325" spans="27:27">
      <c r="AA1325" t="s">
        <v>5076</v>
      </c>
    </row>
    <row r="1326" spans="27:27">
      <c r="AA1326" t="s">
        <v>5077</v>
      </c>
    </row>
    <row r="1327" spans="27:27">
      <c r="AA1327" t="s">
        <v>5078</v>
      </c>
    </row>
    <row r="1328" spans="27:27">
      <c r="AA1328" t="s">
        <v>5079</v>
      </c>
    </row>
    <row r="1329" spans="27:27">
      <c r="AA1329" t="s">
        <v>5080</v>
      </c>
    </row>
    <row r="1330" spans="27:27">
      <c r="AA1330" t="s">
        <v>5081</v>
      </c>
    </row>
    <row r="1331" spans="27:27">
      <c r="AA1331" t="s">
        <v>5082</v>
      </c>
    </row>
    <row r="1332" spans="27:27">
      <c r="AA1332" t="s">
        <v>5083</v>
      </c>
    </row>
    <row r="1333" spans="27:27">
      <c r="AA1333" t="s">
        <v>5084</v>
      </c>
    </row>
    <row r="1334" spans="27:27">
      <c r="AA1334" t="s">
        <v>5085</v>
      </c>
    </row>
    <row r="1335" spans="27:27">
      <c r="AA1335" t="s">
        <v>5086</v>
      </c>
    </row>
    <row r="1336" spans="27:27">
      <c r="AA1336" t="s">
        <v>5087</v>
      </c>
    </row>
    <row r="1337" spans="27:27">
      <c r="AA1337" t="s">
        <v>5088</v>
      </c>
    </row>
    <row r="1338" spans="27:27">
      <c r="AA1338" t="s">
        <v>5089</v>
      </c>
    </row>
    <row r="1339" spans="27:27">
      <c r="AA1339" t="s">
        <v>5090</v>
      </c>
    </row>
    <row r="1340" spans="27:27">
      <c r="AA1340" t="s">
        <v>5091</v>
      </c>
    </row>
    <row r="1341" spans="27:27">
      <c r="AA1341" t="s">
        <v>5092</v>
      </c>
    </row>
    <row r="1342" spans="27:27">
      <c r="AA1342" t="s">
        <v>5093</v>
      </c>
    </row>
    <row r="1343" spans="27:27">
      <c r="AA1343" t="s">
        <v>5094</v>
      </c>
    </row>
    <row r="1344" spans="27:27">
      <c r="AA1344" t="s">
        <v>5095</v>
      </c>
    </row>
    <row r="1345" spans="27:27">
      <c r="AA1345" t="s">
        <v>5096</v>
      </c>
    </row>
    <row r="1346" spans="27:27">
      <c r="AA1346" t="s">
        <v>1379</v>
      </c>
    </row>
    <row r="1347" spans="27:27">
      <c r="AA1347" t="s">
        <v>3515</v>
      </c>
    </row>
    <row r="1348" spans="27:27">
      <c r="AA1348" t="s">
        <v>5097</v>
      </c>
    </row>
    <row r="1349" spans="27:27">
      <c r="AA1349" t="s">
        <v>1380</v>
      </c>
    </row>
    <row r="1350" spans="27:27">
      <c r="AA1350" t="s">
        <v>5098</v>
      </c>
    </row>
    <row r="1351" spans="27:27">
      <c r="AA1351" t="s">
        <v>5099</v>
      </c>
    </row>
    <row r="1352" spans="27:27">
      <c r="AA1352" t="s">
        <v>5100</v>
      </c>
    </row>
    <row r="1353" spans="27:27">
      <c r="AA1353" t="s">
        <v>5101</v>
      </c>
    </row>
    <row r="1354" spans="27:27">
      <c r="AA1354" t="s">
        <v>5102</v>
      </c>
    </row>
    <row r="1355" spans="27:27">
      <c r="AA1355" t="s">
        <v>5103</v>
      </c>
    </row>
    <row r="1356" spans="27:27">
      <c r="AA1356" t="s">
        <v>1381</v>
      </c>
    </row>
    <row r="1357" spans="27:27">
      <c r="AA1357" t="s">
        <v>5104</v>
      </c>
    </row>
    <row r="1358" spans="27:27">
      <c r="AA1358" t="s">
        <v>1382</v>
      </c>
    </row>
    <row r="1359" spans="27:27">
      <c r="AA1359" t="s">
        <v>5105</v>
      </c>
    </row>
    <row r="1360" spans="27:27">
      <c r="AA1360" t="s">
        <v>1383</v>
      </c>
    </row>
    <row r="1361" spans="27:27">
      <c r="AA1361" t="s">
        <v>1384</v>
      </c>
    </row>
    <row r="1362" spans="27:27">
      <c r="AA1362" t="s">
        <v>3516</v>
      </c>
    </row>
    <row r="1363" spans="27:27">
      <c r="AA1363" t="s">
        <v>5106</v>
      </c>
    </row>
    <row r="1364" spans="27:27">
      <c r="AA1364" t="s">
        <v>5107</v>
      </c>
    </row>
    <row r="1365" spans="27:27">
      <c r="AA1365" t="s">
        <v>5108</v>
      </c>
    </row>
    <row r="1366" spans="27:27">
      <c r="AA1366" t="s">
        <v>139</v>
      </c>
    </row>
    <row r="1367" spans="27:27">
      <c r="AA1367" t="s">
        <v>5109</v>
      </c>
    </row>
    <row r="1368" spans="27:27">
      <c r="AA1368" t="s">
        <v>5110</v>
      </c>
    </row>
    <row r="1369" spans="27:27">
      <c r="AA1369" t="s">
        <v>5111</v>
      </c>
    </row>
    <row r="1370" spans="27:27">
      <c r="AA1370" t="s">
        <v>5112</v>
      </c>
    </row>
    <row r="1371" spans="27:27">
      <c r="AA1371" t="s">
        <v>5113</v>
      </c>
    </row>
    <row r="1372" spans="27:27">
      <c r="AA1372" t="s">
        <v>5114</v>
      </c>
    </row>
    <row r="1373" spans="27:27">
      <c r="AA1373" t="s">
        <v>5115</v>
      </c>
    </row>
    <row r="1374" spans="27:27">
      <c r="AA1374" t="s">
        <v>5116</v>
      </c>
    </row>
    <row r="1375" spans="27:27">
      <c r="AA1375" t="s">
        <v>5117</v>
      </c>
    </row>
    <row r="1376" spans="27:27">
      <c r="AA1376" t="s">
        <v>5118</v>
      </c>
    </row>
    <row r="1377" spans="27:27">
      <c r="AA1377" t="s">
        <v>5119</v>
      </c>
    </row>
    <row r="1378" spans="27:27">
      <c r="AA1378" t="s">
        <v>5120</v>
      </c>
    </row>
    <row r="1379" spans="27:27">
      <c r="AA1379" t="s">
        <v>5121</v>
      </c>
    </row>
    <row r="1380" spans="27:27">
      <c r="AA1380" t="s">
        <v>5122</v>
      </c>
    </row>
    <row r="1381" spans="27:27">
      <c r="AA1381" t="s">
        <v>140</v>
      </c>
    </row>
    <row r="1382" spans="27:27">
      <c r="AA1382" t="s">
        <v>3517</v>
      </c>
    </row>
    <row r="1383" spans="27:27">
      <c r="AA1383" t="s">
        <v>5123</v>
      </c>
    </row>
    <row r="1384" spans="27:27">
      <c r="AA1384" t="s">
        <v>1385</v>
      </c>
    </row>
    <row r="1385" spans="27:27">
      <c r="AA1385" t="s">
        <v>5124</v>
      </c>
    </row>
    <row r="1386" spans="27:27">
      <c r="AA1386" t="s">
        <v>5125</v>
      </c>
    </row>
    <row r="1387" spans="27:27">
      <c r="AA1387" t="s">
        <v>5126</v>
      </c>
    </row>
    <row r="1388" spans="27:27">
      <c r="AA1388" t="s">
        <v>5127</v>
      </c>
    </row>
    <row r="1389" spans="27:27">
      <c r="AA1389" t="s">
        <v>5128</v>
      </c>
    </row>
    <row r="1390" spans="27:27">
      <c r="AA1390" t="s">
        <v>5129</v>
      </c>
    </row>
    <row r="1391" spans="27:27">
      <c r="AA1391" t="s">
        <v>5130</v>
      </c>
    </row>
    <row r="1392" spans="27:27">
      <c r="AA1392" t="s">
        <v>5131</v>
      </c>
    </row>
    <row r="1393" spans="27:27">
      <c r="AA1393" t="s">
        <v>5132</v>
      </c>
    </row>
    <row r="1394" spans="27:27">
      <c r="AA1394" t="s">
        <v>5133</v>
      </c>
    </row>
    <row r="1395" spans="27:27">
      <c r="AA1395" t="s">
        <v>5134</v>
      </c>
    </row>
    <row r="1396" spans="27:27">
      <c r="AA1396" t="s">
        <v>1386</v>
      </c>
    </row>
    <row r="1397" spans="27:27">
      <c r="AA1397" t="s">
        <v>5135</v>
      </c>
    </row>
    <row r="1398" spans="27:27">
      <c r="AA1398" t="s">
        <v>1387</v>
      </c>
    </row>
    <row r="1399" spans="27:27">
      <c r="AA1399" t="s">
        <v>5136</v>
      </c>
    </row>
    <row r="1400" spans="27:27">
      <c r="AA1400" t="s">
        <v>1388</v>
      </c>
    </row>
    <row r="1401" spans="27:27">
      <c r="AA1401" t="s">
        <v>3518</v>
      </c>
    </row>
    <row r="1402" spans="27:27">
      <c r="AA1402" t="s">
        <v>5137</v>
      </c>
    </row>
    <row r="1403" spans="27:27">
      <c r="AA1403" t="s">
        <v>5138</v>
      </c>
    </row>
    <row r="1404" spans="27:27">
      <c r="AA1404" t="s">
        <v>5139</v>
      </c>
    </row>
    <row r="1405" spans="27:27">
      <c r="AA1405" t="s">
        <v>5140</v>
      </c>
    </row>
    <row r="1406" spans="27:27">
      <c r="AA1406" t="s">
        <v>5141</v>
      </c>
    </row>
    <row r="1407" spans="27:27">
      <c r="AA1407" t="s">
        <v>5142</v>
      </c>
    </row>
    <row r="1408" spans="27:27">
      <c r="AA1408" t="s">
        <v>5143</v>
      </c>
    </row>
    <row r="1409" spans="27:27">
      <c r="AA1409" t="s">
        <v>5144</v>
      </c>
    </row>
    <row r="1410" spans="27:27">
      <c r="AA1410" t="s">
        <v>5145</v>
      </c>
    </row>
    <row r="1411" spans="27:27">
      <c r="AA1411" t="s">
        <v>5146</v>
      </c>
    </row>
    <row r="1412" spans="27:27">
      <c r="AA1412" t="s">
        <v>5147</v>
      </c>
    </row>
    <row r="1413" spans="27:27">
      <c r="AA1413" t="s">
        <v>5148</v>
      </c>
    </row>
    <row r="1414" spans="27:27">
      <c r="AA1414" t="s">
        <v>5149</v>
      </c>
    </row>
    <row r="1415" spans="27:27">
      <c r="AA1415" t="s">
        <v>5150</v>
      </c>
    </row>
    <row r="1416" spans="27:27">
      <c r="AA1416" t="s">
        <v>5151</v>
      </c>
    </row>
    <row r="1417" spans="27:27">
      <c r="AA1417" t="s">
        <v>5152</v>
      </c>
    </row>
    <row r="1418" spans="27:27">
      <c r="AA1418" t="s">
        <v>5153</v>
      </c>
    </row>
    <row r="1419" spans="27:27">
      <c r="AA1419" t="s">
        <v>5154</v>
      </c>
    </row>
    <row r="1420" spans="27:27">
      <c r="AA1420" t="s">
        <v>5155</v>
      </c>
    </row>
    <row r="1421" spans="27:27">
      <c r="AA1421" t="s">
        <v>5156</v>
      </c>
    </row>
    <row r="1422" spans="27:27">
      <c r="AA1422" t="s">
        <v>5157</v>
      </c>
    </row>
    <row r="1423" spans="27:27">
      <c r="AA1423" t="s">
        <v>5158</v>
      </c>
    </row>
    <row r="1424" spans="27:27">
      <c r="AA1424" t="s">
        <v>5159</v>
      </c>
    </row>
    <row r="1425" spans="27:27">
      <c r="AA1425" t="s">
        <v>5160</v>
      </c>
    </row>
    <row r="1426" spans="27:27">
      <c r="AA1426" t="s">
        <v>5161</v>
      </c>
    </row>
    <row r="1427" spans="27:27">
      <c r="AA1427" t="s">
        <v>5162</v>
      </c>
    </row>
    <row r="1428" spans="27:27">
      <c r="AA1428" t="s">
        <v>5163</v>
      </c>
    </row>
    <row r="1429" spans="27:27">
      <c r="AA1429" t="s">
        <v>5164</v>
      </c>
    </row>
    <row r="1430" spans="27:27">
      <c r="AA1430" t="s">
        <v>5165</v>
      </c>
    </row>
    <row r="1431" spans="27:27">
      <c r="AA1431" t="s">
        <v>5166</v>
      </c>
    </row>
    <row r="1432" spans="27:27">
      <c r="AA1432" t="s">
        <v>5167</v>
      </c>
    </row>
    <row r="1433" spans="27:27">
      <c r="AA1433" t="s">
        <v>5168</v>
      </c>
    </row>
    <row r="1434" spans="27:27">
      <c r="AA1434" t="s">
        <v>5169</v>
      </c>
    </row>
    <row r="1435" spans="27:27">
      <c r="AA1435" t="s">
        <v>5170</v>
      </c>
    </row>
    <row r="1436" spans="27:27">
      <c r="AA1436" t="s">
        <v>5171</v>
      </c>
    </row>
    <row r="1437" spans="27:27">
      <c r="AA1437" t="s">
        <v>5172</v>
      </c>
    </row>
    <row r="1438" spans="27:27">
      <c r="AA1438" t="s">
        <v>5173</v>
      </c>
    </row>
    <row r="1439" spans="27:27">
      <c r="AA1439" t="s">
        <v>5174</v>
      </c>
    </row>
    <row r="1440" spans="27:27">
      <c r="AA1440" t="s">
        <v>5175</v>
      </c>
    </row>
    <row r="1441" spans="27:27">
      <c r="AA1441" t="s">
        <v>5176</v>
      </c>
    </row>
    <row r="1442" spans="27:27">
      <c r="AA1442" t="s">
        <v>5177</v>
      </c>
    </row>
    <row r="1443" spans="27:27">
      <c r="AA1443" t="s">
        <v>1389</v>
      </c>
    </row>
    <row r="1444" spans="27:27">
      <c r="AA1444" t="s">
        <v>3519</v>
      </c>
    </row>
    <row r="1445" spans="27:27">
      <c r="AA1445" t="s">
        <v>5178</v>
      </c>
    </row>
    <row r="1446" spans="27:27">
      <c r="AA1446" t="s">
        <v>5179</v>
      </c>
    </row>
    <row r="1447" spans="27:27">
      <c r="AA1447" t="s">
        <v>5180</v>
      </c>
    </row>
    <row r="1448" spans="27:27">
      <c r="AA1448" t="s">
        <v>5181</v>
      </c>
    </row>
    <row r="1449" spans="27:27">
      <c r="AA1449" t="s">
        <v>5182</v>
      </c>
    </row>
    <row r="1450" spans="27:27">
      <c r="AA1450" t="s">
        <v>5183</v>
      </c>
    </row>
    <row r="1451" spans="27:27">
      <c r="AA1451" t="s">
        <v>5184</v>
      </c>
    </row>
    <row r="1452" spans="27:27">
      <c r="AA1452" t="s">
        <v>5185</v>
      </c>
    </row>
    <row r="1453" spans="27:27">
      <c r="AA1453" t="s">
        <v>5186</v>
      </c>
    </row>
    <row r="1454" spans="27:27">
      <c r="AA1454" t="s">
        <v>1390</v>
      </c>
    </row>
    <row r="1455" spans="27:27">
      <c r="AA1455" t="s">
        <v>5187</v>
      </c>
    </row>
    <row r="1456" spans="27:27">
      <c r="AA1456" t="s">
        <v>1391</v>
      </c>
    </row>
    <row r="1457" spans="27:27">
      <c r="AA1457" t="s">
        <v>5188</v>
      </c>
    </row>
    <row r="1458" spans="27:27">
      <c r="AA1458" t="s">
        <v>1392</v>
      </c>
    </row>
    <row r="1459" spans="27:27">
      <c r="AA1459" t="s">
        <v>5189</v>
      </c>
    </row>
    <row r="1460" spans="27:27">
      <c r="AA1460" t="s">
        <v>1393</v>
      </c>
    </row>
    <row r="1461" spans="27:27">
      <c r="AA1461" t="s">
        <v>3520</v>
      </c>
    </row>
    <row r="1462" spans="27:27">
      <c r="AA1462" t="s">
        <v>1394</v>
      </c>
    </row>
    <row r="1463" spans="27:27">
      <c r="AA1463" t="s">
        <v>5190</v>
      </c>
    </row>
    <row r="1464" spans="27:27">
      <c r="AA1464" t="s">
        <v>5191</v>
      </c>
    </row>
    <row r="1465" spans="27:27">
      <c r="AA1465" t="s">
        <v>5192</v>
      </c>
    </row>
    <row r="1466" spans="27:27">
      <c r="AA1466" t="s">
        <v>5193</v>
      </c>
    </row>
    <row r="1467" spans="27:27">
      <c r="AA1467" t="s">
        <v>5194</v>
      </c>
    </row>
    <row r="1468" spans="27:27">
      <c r="AA1468" t="s">
        <v>5195</v>
      </c>
    </row>
    <row r="1469" spans="27:27">
      <c r="AA1469" t="s">
        <v>5196</v>
      </c>
    </row>
    <row r="1470" spans="27:27">
      <c r="AA1470" t="s">
        <v>5197</v>
      </c>
    </row>
    <row r="1471" spans="27:27">
      <c r="AA1471" t="s">
        <v>5198</v>
      </c>
    </row>
    <row r="1472" spans="27:27">
      <c r="AA1472" t="s">
        <v>5199</v>
      </c>
    </row>
    <row r="1473" spans="27:27">
      <c r="AA1473" t="s">
        <v>5200</v>
      </c>
    </row>
    <row r="1474" spans="27:27">
      <c r="AA1474" t="s">
        <v>5201</v>
      </c>
    </row>
    <row r="1475" spans="27:27">
      <c r="AA1475" t="s">
        <v>5202</v>
      </c>
    </row>
    <row r="1476" spans="27:27">
      <c r="AA1476" t="s">
        <v>5203</v>
      </c>
    </row>
    <row r="1477" spans="27:27">
      <c r="AA1477" t="s">
        <v>5204</v>
      </c>
    </row>
    <row r="1478" spans="27:27">
      <c r="AA1478" t="s">
        <v>5205</v>
      </c>
    </row>
    <row r="1479" spans="27:27">
      <c r="AA1479" t="s">
        <v>5206</v>
      </c>
    </row>
    <row r="1480" spans="27:27">
      <c r="AA1480" t="s">
        <v>5207</v>
      </c>
    </row>
    <row r="1481" spans="27:27">
      <c r="AA1481" t="s">
        <v>5208</v>
      </c>
    </row>
    <row r="1482" spans="27:27">
      <c r="AA1482" t="s">
        <v>5209</v>
      </c>
    </row>
    <row r="1483" spans="27:27">
      <c r="AA1483" t="s">
        <v>1395</v>
      </c>
    </row>
    <row r="1484" spans="27:27">
      <c r="AA1484" t="s">
        <v>5210</v>
      </c>
    </row>
    <row r="1485" spans="27:27">
      <c r="AA1485" t="s">
        <v>1396</v>
      </c>
    </row>
    <row r="1486" spans="27:27">
      <c r="AA1486" t="s">
        <v>3521</v>
      </c>
    </row>
    <row r="1487" spans="27:27">
      <c r="AA1487" t="s">
        <v>5211</v>
      </c>
    </row>
    <row r="1488" spans="27:27">
      <c r="AA1488" t="s">
        <v>5212</v>
      </c>
    </row>
    <row r="1489" spans="27:27">
      <c r="AA1489" t="s">
        <v>5213</v>
      </c>
    </row>
    <row r="1490" spans="27:27">
      <c r="AA1490" t="s">
        <v>5214</v>
      </c>
    </row>
    <row r="1491" spans="27:27">
      <c r="AA1491" t="s">
        <v>5215</v>
      </c>
    </row>
    <row r="1492" spans="27:27">
      <c r="AA1492" t="s">
        <v>5216</v>
      </c>
    </row>
    <row r="1493" spans="27:27">
      <c r="AA1493" t="s">
        <v>5217</v>
      </c>
    </row>
    <row r="1494" spans="27:27">
      <c r="AA1494" t="s">
        <v>5218</v>
      </c>
    </row>
    <row r="1495" spans="27:27">
      <c r="AA1495" t="s">
        <v>5219</v>
      </c>
    </row>
    <row r="1496" spans="27:27">
      <c r="AA1496" t="s">
        <v>5220</v>
      </c>
    </row>
    <row r="1497" spans="27:27">
      <c r="AA1497" t="s">
        <v>5221</v>
      </c>
    </row>
    <row r="1498" spans="27:27">
      <c r="AA1498" t="s">
        <v>5222</v>
      </c>
    </row>
    <row r="1499" spans="27:27">
      <c r="AA1499" t="s">
        <v>5223</v>
      </c>
    </row>
    <row r="1500" spans="27:27">
      <c r="AA1500" t="s">
        <v>5224</v>
      </c>
    </row>
    <row r="1501" spans="27:27">
      <c r="AA1501" t="s">
        <v>5225</v>
      </c>
    </row>
    <row r="1502" spans="27:27">
      <c r="AA1502" t="s">
        <v>5226</v>
      </c>
    </row>
    <row r="1503" spans="27:27">
      <c r="AA1503" t="s">
        <v>5227</v>
      </c>
    </row>
    <row r="1504" spans="27:27">
      <c r="AA1504" t="s">
        <v>5228</v>
      </c>
    </row>
    <row r="1505" spans="27:27">
      <c r="AA1505" t="s">
        <v>1397</v>
      </c>
    </row>
    <row r="1506" spans="27:27">
      <c r="AA1506" t="s">
        <v>5229</v>
      </c>
    </row>
    <row r="1507" spans="27:27">
      <c r="AA1507" t="s">
        <v>5230</v>
      </c>
    </row>
    <row r="1508" spans="27:27">
      <c r="AA1508" t="s">
        <v>5231</v>
      </c>
    </row>
    <row r="1509" spans="27:27">
      <c r="AA1509" t="s">
        <v>5232</v>
      </c>
    </row>
    <row r="1510" spans="27:27">
      <c r="AA1510" t="s">
        <v>1398</v>
      </c>
    </row>
    <row r="1511" spans="27:27">
      <c r="AA1511" t="s">
        <v>5233</v>
      </c>
    </row>
    <row r="1512" spans="27:27">
      <c r="AA1512" t="s">
        <v>1399</v>
      </c>
    </row>
    <row r="1513" spans="27:27">
      <c r="AA1513" t="s">
        <v>5234</v>
      </c>
    </row>
    <row r="1514" spans="27:27">
      <c r="AA1514" t="s">
        <v>5235</v>
      </c>
    </row>
    <row r="1515" spans="27:27">
      <c r="AA1515" t="s">
        <v>5236</v>
      </c>
    </row>
    <row r="1516" spans="27:27">
      <c r="AA1516" t="s">
        <v>1400</v>
      </c>
    </row>
    <row r="1517" spans="27:27">
      <c r="AA1517" t="s">
        <v>3522</v>
      </c>
    </row>
    <row r="1518" spans="27:27">
      <c r="AA1518" t="s">
        <v>1401</v>
      </c>
    </row>
    <row r="1519" spans="27:27">
      <c r="AA1519" t="s">
        <v>3523</v>
      </c>
    </row>
    <row r="1520" spans="27:27">
      <c r="AA1520" t="s">
        <v>5237</v>
      </c>
    </row>
    <row r="1521" spans="27:27">
      <c r="AA1521" t="s">
        <v>5238</v>
      </c>
    </row>
    <row r="1522" spans="27:27">
      <c r="AA1522" t="s">
        <v>1402</v>
      </c>
    </row>
    <row r="1523" spans="27:27">
      <c r="AA1523" t="s">
        <v>5239</v>
      </c>
    </row>
    <row r="1524" spans="27:27">
      <c r="AA1524" t="s">
        <v>5240</v>
      </c>
    </row>
    <row r="1525" spans="27:27">
      <c r="AA1525" t="s">
        <v>1403</v>
      </c>
    </row>
    <row r="1526" spans="27:27">
      <c r="AA1526" t="s">
        <v>5241</v>
      </c>
    </row>
    <row r="1527" spans="27:27">
      <c r="AA1527" t="s">
        <v>5242</v>
      </c>
    </row>
    <row r="1528" spans="27:27">
      <c r="AA1528" t="s">
        <v>5243</v>
      </c>
    </row>
    <row r="1529" spans="27:27">
      <c r="AA1529" t="s">
        <v>5244</v>
      </c>
    </row>
    <row r="1530" spans="27:27">
      <c r="AA1530" t="s">
        <v>5245</v>
      </c>
    </row>
    <row r="1531" spans="27:27">
      <c r="AA1531" t="s">
        <v>5246</v>
      </c>
    </row>
    <row r="1532" spans="27:27">
      <c r="AA1532" t="s">
        <v>1404</v>
      </c>
    </row>
    <row r="1533" spans="27:27">
      <c r="AA1533" t="s">
        <v>5247</v>
      </c>
    </row>
    <row r="1534" spans="27:27">
      <c r="AA1534" t="s">
        <v>1405</v>
      </c>
    </row>
    <row r="1535" spans="27:27">
      <c r="AA1535" t="s">
        <v>5248</v>
      </c>
    </row>
    <row r="1536" spans="27:27">
      <c r="AA1536" t="s">
        <v>5249</v>
      </c>
    </row>
    <row r="1537" spans="27:27">
      <c r="AA1537" t="s">
        <v>5250</v>
      </c>
    </row>
    <row r="1538" spans="27:27">
      <c r="AA1538" t="s">
        <v>5251</v>
      </c>
    </row>
    <row r="1539" spans="27:27">
      <c r="AA1539" t="s">
        <v>1406</v>
      </c>
    </row>
    <row r="1540" spans="27:27">
      <c r="AA1540" t="s">
        <v>5252</v>
      </c>
    </row>
    <row r="1541" spans="27:27">
      <c r="AA1541" t="s">
        <v>1407</v>
      </c>
    </row>
    <row r="1542" spans="27:27">
      <c r="AA1542" t="s">
        <v>5253</v>
      </c>
    </row>
    <row r="1543" spans="27:27">
      <c r="AA1543" t="s">
        <v>1408</v>
      </c>
    </row>
    <row r="1544" spans="27:27">
      <c r="AA1544" t="s">
        <v>5254</v>
      </c>
    </row>
    <row r="1545" spans="27:27">
      <c r="AA1545" t="s">
        <v>5255</v>
      </c>
    </row>
    <row r="1546" spans="27:27">
      <c r="AA1546" t="s">
        <v>5256</v>
      </c>
    </row>
    <row r="1547" spans="27:27">
      <c r="AA1547" t="s">
        <v>5257</v>
      </c>
    </row>
    <row r="1548" spans="27:27">
      <c r="AA1548" t="s">
        <v>1409</v>
      </c>
    </row>
    <row r="1549" spans="27:27">
      <c r="AA1549" t="s">
        <v>3524</v>
      </c>
    </row>
    <row r="1550" spans="27:27">
      <c r="AA1550" t="s">
        <v>1410</v>
      </c>
    </row>
    <row r="1551" spans="27:27">
      <c r="AA1551" t="s">
        <v>3525</v>
      </c>
    </row>
    <row r="1552" spans="27:27">
      <c r="AA1552" t="s">
        <v>1411</v>
      </c>
    </row>
    <row r="1553" spans="27:27">
      <c r="AA1553" t="s">
        <v>5258</v>
      </c>
    </row>
    <row r="1554" spans="27:27">
      <c r="AA1554" t="s">
        <v>5259</v>
      </c>
    </row>
    <row r="1555" spans="27:27">
      <c r="AA1555" t="s">
        <v>5260</v>
      </c>
    </row>
    <row r="1556" spans="27:27">
      <c r="AA1556" t="s">
        <v>5261</v>
      </c>
    </row>
    <row r="1557" spans="27:27">
      <c r="AA1557" t="s">
        <v>5262</v>
      </c>
    </row>
    <row r="1558" spans="27:27">
      <c r="AA1558" t="s">
        <v>5263</v>
      </c>
    </row>
    <row r="1559" spans="27:27">
      <c r="AA1559" t="s">
        <v>5264</v>
      </c>
    </row>
    <row r="1560" spans="27:27">
      <c r="AA1560" t="s">
        <v>5265</v>
      </c>
    </row>
    <row r="1561" spans="27:27">
      <c r="AA1561" t="s">
        <v>5266</v>
      </c>
    </row>
    <row r="1562" spans="27:27">
      <c r="AA1562" t="s">
        <v>5267</v>
      </c>
    </row>
    <row r="1563" spans="27:27">
      <c r="AA1563" t="s">
        <v>5268</v>
      </c>
    </row>
    <row r="1564" spans="27:27">
      <c r="AA1564" t="s">
        <v>5269</v>
      </c>
    </row>
    <row r="1565" spans="27:27">
      <c r="AA1565" t="s">
        <v>5270</v>
      </c>
    </row>
    <row r="1566" spans="27:27">
      <c r="AA1566" t="s">
        <v>5271</v>
      </c>
    </row>
    <row r="1567" spans="27:27">
      <c r="AA1567" t="s">
        <v>5272</v>
      </c>
    </row>
    <row r="1568" spans="27:27">
      <c r="AA1568" t="s">
        <v>5273</v>
      </c>
    </row>
    <row r="1569" spans="27:27">
      <c r="AA1569" t="s">
        <v>5274</v>
      </c>
    </row>
    <row r="1570" spans="27:27">
      <c r="AA1570" t="s">
        <v>5275</v>
      </c>
    </row>
    <row r="1571" spans="27:27">
      <c r="AA1571" t="s">
        <v>5276</v>
      </c>
    </row>
    <row r="1572" spans="27:27">
      <c r="AA1572" t="s">
        <v>5277</v>
      </c>
    </row>
    <row r="1573" spans="27:27">
      <c r="AA1573" t="s">
        <v>5278</v>
      </c>
    </row>
    <row r="1574" spans="27:27">
      <c r="AA1574" t="s">
        <v>1412</v>
      </c>
    </row>
    <row r="1575" spans="27:27">
      <c r="AA1575" t="s">
        <v>5279</v>
      </c>
    </row>
    <row r="1576" spans="27:27">
      <c r="AA1576" t="s">
        <v>5280</v>
      </c>
    </row>
    <row r="1577" spans="27:27">
      <c r="AA1577" t="s">
        <v>5281</v>
      </c>
    </row>
    <row r="1578" spans="27:27">
      <c r="AA1578" t="s">
        <v>1413</v>
      </c>
    </row>
    <row r="1579" spans="27:27">
      <c r="AA1579" t="s">
        <v>5282</v>
      </c>
    </row>
    <row r="1580" spans="27:27">
      <c r="AA1580" t="s">
        <v>1414</v>
      </c>
    </row>
    <row r="1581" spans="27:27">
      <c r="AA1581" t="s">
        <v>3526</v>
      </c>
    </row>
    <row r="1582" spans="27:27">
      <c r="AA1582" t="s">
        <v>5283</v>
      </c>
    </row>
    <row r="1583" spans="27:27">
      <c r="AA1583" t="s">
        <v>5284</v>
      </c>
    </row>
    <row r="1584" spans="27:27">
      <c r="AA1584" t="s">
        <v>5285</v>
      </c>
    </row>
    <row r="1585" spans="27:27">
      <c r="AA1585" t="s">
        <v>5286</v>
      </c>
    </row>
    <row r="1586" spans="27:27">
      <c r="AA1586" t="s">
        <v>5287</v>
      </c>
    </row>
    <row r="1587" spans="27:27">
      <c r="AA1587" t="s">
        <v>5288</v>
      </c>
    </row>
    <row r="1588" spans="27:27">
      <c r="AA1588" t="s">
        <v>5289</v>
      </c>
    </row>
    <row r="1589" spans="27:27">
      <c r="AA1589" t="s">
        <v>5290</v>
      </c>
    </row>
    <row r="1590" spans="27:27">
      <c r="AA1590" t="s">
        <v>5291</v>
      </c>
    </row>
    <row r="1591" spans="27:27">
      <c r="AA1591" t="s">
        <v>5292</v>
      </c>
    </row>
    <row r="1592" spans="27:27">
      <c r="AA1592" t="s">
        <v>5293</v>
      </c>
    </row>
    <row r="1593" spans="27:27">
      <c r="AA1593" t="s">
        <v>5294</v>
      </c>
    </row>
    <row r="1594" spans="27:27">
      <c r="AA1594" t="s">
        <v>5295</v>
      </c>
    </row>
    <row r="1595" spans="27:27">
      <c r="AA1595" t="s">
        <v>5296</v>
      </c>
    </row>
    <row r="1596" spans="27:27">
      <c r="AA1596" t="s">
        <v>5297</v>
      </c>
    </row>
    <row r="1597" spans="27:27">
      <c r="AA1597" t="s">
        <v>5298</v>
      </c>
    </row>
    <row r="1598" spans="27:27">
      <c r="AA1598" t="s">
        <v>1415</v>
      </c>
    </row>
    <row r="1599" spans="27:27">
      <c r="AA1599" t="s">
        <v>5299</v>
      </c>
    </row>
    <row r="1600" spans="27:27">
      <c r="AA1600" t="s">
        <v>5300</v>
      </c>
    </row>
    <row r="1601" spans="27:27">
      <c r="AA1601" t="s">
        <v>5301</v>
      </c>
    </row>
    <row r="1602" spans="27:27">
      <c r="AA1602" t="s">
        <v>1416</v>
      </c>
    </row>
    <row r="1603" spans="27:27">
      <c r="AA1603" t="s">
        <v>5302</v>
      </c>
    </row>
    <row r="1604" spans="27:27">
      <c r="AA1604" t="s">
        <v>1417</v>
      </c>
    </row>
    <row r="1605" spans="27:27">
      <c r="AA1605" t="s">
        <v>3527</v>
      </c>
    </row>
    <row r="1606" spans="27:27">
      <c r="AA1606" t="s">
        <v>5303</v>
      </c>
    </row>
    <row r="1607" spans="27:27">
      <c r="AA1607" t="s">
        <v>5304</v>
      </c>
    </row>
    <row r="1608" spans="27:27">
      <c r="AA1608" t="s">
        <v>5305</v>
      </c>
    </row>
    <row r="1609" spans="27:27">
      <c r="AA1609" t="s">
        <v>5306</v>
      </c>
    </row>
    <row r="1610" spans="27:27">
      <c r="AA1610" t="s">
        <v>5307</v>
      </c>
    </row>
    <row r="1611" spans="27:27">
      <c r="AA1611" t="s">
        <v>5308</v>
      </c>
    </row>
    <row r="1612" spans="27:27">
      <c r="AA1612" t="s">
        <v>5309</v>
      </c>
    </row>
    <row r="1613" spans="27:27">
      <c r="AA1613" t="s">
        <v>5310</v>
      </c>
    </row>
    <row r="1614" spans="27:27">
      <c r="AA1614" t="s">
        <v>5311</v>
      </c>
    </row>
    <row r="1615" spans="27:27">
      <c r="AA1615" t="s">
        <v>5312</v>
      </c>
    </row>
    <row r="1616" spans="27:27">
      <c r="AA1616" t="s">
        <v>5313</v>
      </c>
    </row>
    <row r="1617" spans="27:27">
      <c r="AA1617" t="s">
        <v>5314</v>
      </c>
    </row>
    <row r="1618" spans="27:27">
      <c r="AA1618" t="s">
        <v>5315</v>
      </c>
    </row>
    <row r="1619" spans="27:27">
      <c r="AA1619" t="s">
        <v>5316</v>
      </c>
    </row>
    <row r="1620" spans="27:27">
      <c r="AA1620" t="s">
        <v>5317</v>
      </c>
    </row>
    <row r="1621" spans="27:27">
      <c r="AA1621" t="s">
        <v>5318</v>
      </c>
    </row>
    <row r="1622" spans="27:27">
      <c r="AA1622" t="s">
        <v>5319</v>
      </c>
    </row>
    <row r="1623" spans="27:27">
      <c r="AA1623" t="s">
        <v>5320</v>
      </c>
    </row>
    <row r="1624" spans="27:27">
      <c r="AA1624" t="s">
        <v>5321</v>
      </c>
    </row>
    <row r="1625" spans="27:27">
      <c r="AA1625" t="s">
        <v>5322</v>
      </c>
    </row>
    <row r="1626" spans="27:27">
      <c r="AA1626" t="s">
        <v>5323</v>
      </c>
    </row>
    <row r="1627" spans="27:27">
      <c r="AA1627" t="s">
        <v>5324</v>
      </c>
    </row>
    <row r="1628" spans="27:27">
      <c r="AA1628" t="s">
        <v>5325</v>
      </c>
    </row>
    <row r="1629" spans="27:27">
      <c r="AA1629" t="s">
        <v>5326</v>
      </c>
    </row>
    <row r="1630" spans="27:27">
      <c r="AA1630" t="s">
        <v>5327</v>
      </c>
    </row>
    <row r="1631" spans="27:27">
      <c r="AA1631" t="s">
        <v>5328</v>
      </c>
    </row>
    <row r="1632" spans="27:27">
      <c r="AA1632" t="s">
        <v>5329</v>
      </c>
    </row>
    <row r="1633" spans="27:27">
      <c r="AA1633" t="s">
        <v>5330</v>
      </c>
    </row>
    <row r="1634" spans="27:27">
      <c r="AA1634" t="s">
        <v>5331</v>
      </c>
    </row>
    <row r="1635" spans="27:27">
      <c r="AA1635" t="s">
        <v>5332</v>
      </c>
    </row>
    <row r="1636" spans="27:27">
      <c r="AA1636" t="s">
        <v>5333</v>
      </c>
    </row>
    <row r="1637" spans="27:27">
      <c r="AA1637" t="s">
        <v>5334</v>
      </c>
    </row>
    <row r="1638" spans="27:27">
      <c r="AA1638" t="s">
        <v>5335</v>
      </c>
    </row>
    <row r="1639" spans="27:27">
      <c r="AA1639" t="s">
        <v>5336</v>
      </c>
    </row>
    <row r="1640" spans="27:27">
      <c r="AA1640" t="s">
        <v>5337</v>
      </c>
    </row>
    <row r="1641" spans="27:27">
      <c r="AA1641" t="s">
        <v>5338</v>
      </c>
    </row>
    <row r="1642" spans="27:27">
      <c r="AA1642" t="s">
        <v>1418</v>
      </c>
    </row>
    <row r="1643" spans="27:27">
      <c r="AA1643" t="s">
        <v>3528</v>
      </c>
    </row>
    <row r="1644" spans="27:27">
      <c r="AA1644" t="s">
        <v>5339</v>
      </c>
    </row>
    <row r="1645" spans="27:27">
      <c r="AA1645" t="s">
        <v>5340</v>
      </c>
    </row>
    <row r="1646" spans="27:27">
      <c r="AA1646" t="s">
        <v>5341</v>
      </c>
    </row>
    <row r="1647" spans="27:27">
      <c r="AA1647" t="s">
        <v>1419</v>
      </c>
    </row>
    <row r="1648" spans="27:27">
      <c r="AA1648" t="s">
        <v>5342</v>
      </c>
    </row>
    <row r="1649" spans="27:27">
      <c r="AA1649" t="s">
        <v>1420</v>
      </c>
    </row>
    <row r="1650" spans="27:27">
      <c r="AA1650" t="s">
        <v>3529</v>
      </c>
    </row>
    <row r="1651" spans="27:27">
      <c r="AA1651" t="s">
        <v>5343</v>
      </c>
    </row>
    <row r="1652" spans="27:27">
      <c r="AA1652" t="s">
        <v>1421</v>
      </c>
    </row>
    <row r="1653" spans="27:27">
      <c r="AA1653" t="s">
        <v>3530</v>
      </c>
    </row>
    <row r="1654" spans="27:27">
      <c r="AA1654" t="s">
        <v>1422</v>
      </c>
    </row>
    <row r="1655" spans="27:27">
      <c r="AA1655" t="s">
        <v>5344</v>
      </c>
    </row>
    <row r="1656" spans="27:27">
      <c r="AA1656" t="s">
        <v>1423</v>
      </c>
    </row>
    <row r="1657" spans="27:27">
      <c r="AA1657" t="s">
        <v>5345</v>
      </c>
    </row>
    <row r="1658" spans="27:27">
      <c r="AA1658" t="s">
        <v>1424</v>
      </c>
    </row>
    <row r="1659" spans="27:27">
      <c r="AA1659" t="s">
        <v>5346</v>
      </c>
    </row>
    <row r="1660" spans="27:27">
      <c r="AA1660" t="s">
        <v>5347</v>
      </c>
    </row>
    <row r="1661" spans="27:27">
      <c r="AA1661" t="s">
        <v>5348</v>
      </c>
    </row>
    <row r="1662" spans="27:27">
      <c r="AA1662" t="s">
        <v>5349</v>
      </c>
    </row>
    <row r="1663" spans="27:27">
      <c r="AA1663" t="s">
        <v>5350</v>
      </c>
    </row>
    <row r="1664" spans="27:27">
      <c r="AA1664" t="s">
        <v>1425</v>
      </c>
    </row>
    <row r="1665" spans="27:27">
      <c r="AA1665" t="s">
        <v>5351</v>
      </c>
    </row>
    <row r="1666" spans="27:27">
      <c r="AA1666" t="s">
        <v>1426</v>
      </c>
    </row>
    <row r="1667" spans="27:27">
      <c r="AA1667" t="s">
        <v>5352</v>
      </c>
    </row>
    <row r="1668" spans="27:27">
      <c r="AA1668" t="s">
        <v>5353</v>
      </c>
    </row>
    <row r="1669" spans="27:27">
      <c r="AA1669" t="s">
        <v>1427</v>
      </c>
    </row>
    <row r="1670" spans="27:27">
      <c r="AA1670" t="s">
        <v>5354</v>
      </c>
    </row>
    <row r="1671" spans="27:27">
      <c r="AA1671" t="s">
        <v>1428</v>
      </c>
    </row>
    <row r="1672" spans="27:27">
      <c r="AA1672" t="s">
        <v>5355</v>
      </c>
    </row>
    <row r="1673" spans="27:27">
      <c r="AA1673" t="s">
        <v>5356</v>
      </c>
    </row>
    <row r="1674" spans="27:27">
      <c r="AA1674" t="s">
        <v>5357</v>
      </c>
    </row>
    <row r="1675" spans="27:27">
      <c r="AA1675" t="s">
        <v>1429</v>
      </c>
    </row>
    <row r="1676" spans="27:27">
      <c r="AA1676" t="s">
        <v>5358</v>
      </c>
    </row>
    <row r="1677" spans="27:27">
      <c r="AA1677" t="s">
        <v>5359</v>
      </c>
    </row>
    <row r="1678" spans="27:27">
      <c r="AA1678" t="s">
        <v>141</v>
      </c>
    </row>
    <row r="1679" spans="27:27">
      <c r="AA1679" t="s">
        <v>5360</v>
      </c>
    </row>
    <row r="1680" spans="27:27">
      <c r="AA1680" t="s">
        <v>142</v>
      </c>
    </row>
    <row r="1681" spans="27:27">
      <c r="AA1681" t="s">
        <v>5361</v>
      </c>
    </row>
    <row r="1682" spans="27:27">
      <c r="AA1682" t="s">
        <v>1430</v>
      </c>
    </row>
    <row r="1683" spans="27:27">
      <c r="AA1683" t="s">
        <v>5362</v>
      </c>
    </row>
    <row r="1684" spans="27:27">
      <c r="AA1684" t="s">
        <v>5363</v>
      </c>
    </row>
    <row r="1685" spans="27:27">
      <c r="AA1685" t="s">
        <v>1431</v>
      </c>
    </row>
    <row r="1686" spans="27:27">
      <c r="AA1686" t="s">
        <v>3531</v>
      </c>
    </row>
    <row r="1687" spans="27:27">
      <c r="AA1687" t="s">
        <v>1432</v>
      </c>
    </row>
    <row r="1688" spans="27:27">
      <c r="AA1688" t="s">
        <v>3532</v>
      </c>
    </row>
    <row r="1689" spans="27:27">
      <c r="AA1689" t="s">
        <v>5364</v>
      </c>
    </row>
    <row r="1690" spans="27:27">
      <c r="AA1690" t="s">
        <v>5365</v>
      </c>
    </row>
    <row r="1691" spans="27:27">
      <c r="AA1691" t="s">
        <v>5366</v>
      </c>
    </row>
    <row r="1692" spans="27:27">
      <c r="AA1692" t="s">
        <v>5367</v>
      </c>
    </row>
    <row r="1693" spans="27:27">
      <c r="AA1693" t="s">
        <v>5368</v>
      </c>
    </row>
    <row r="1694" spans="27:27">
      <c r="AA1694" t="s">
        <v>5369</v>
      </c>
    </row>
    <row r="1695" spans="27:27">
      <c r="AA1695" t="s">
        <v>1433</v>
      </c>
    </row>
    <row r="1696" spans="27:27">
      <c r="AA1696" t="s">
        <v>5370</v>
      </c>
    </row>
    <row r="1697" spans="27:27">
      <c r="AA1697" t="s">
        <v>1434</v>
      </c>
    </row>
    <row r="1698" spans="27:27">
      <c r="AA1698" t="s">
        <v>3533</v>
      </c>
    </row>
    <row r="1699" spans="27:27">
      <c r="AA1699" t="s">
        <v>143</v>
      </c>
    </row>
    <row r="1700" spans="27:27">
      <c r="AA1700" t="s">
        <v>144</v>
      </c>
    </row>
    <row r="1701" spans="27:27">
      <c r="AA1701" t="s">
        <v>5371</v>
      </c>
    </row>
    <row r="1702" spans="27:27">
      <c r="AA1702" t="s">
        <v>1435</v>
      </c>
    </row>
    <row r="1703" spans="27:27">
      <c r="AA1703" t="s">
        <v>5372</v>
      </c>
    </row>
    <row r="1704" spans="27:27">
      <c r="AA1704" t="s">
        <v>5373</v>
      </c>
    </row>
    <row r="1705" spans="27:27">
      <c r="AA1705" t="s">
        <v>5374</v>
      </c>
    </row>
    <row r="1706" spans="27:27">
      <c r="AA1706" t="s">
        <v>1436</v>
      </c>
    </row>
    <row r="1707" spans="27:27">
      <c r="AA1707" t="s">
        <v>5375</v>
      </c>
    </row>
    <row r="1708" spans="27:27">
      <c r="AA1708" t="s">
        <v>5376</v>
      </c>
    </row>
    <row r="1709" spans="27:27">
      <c r="AA1709" t="s">
        <v>1437</v>
      </c>
    </row>
    <row r="1710" spans="27:27">
      <c r="AA1710" t="s">
        <v>5377</v>
      </c>
    </row>
    <row r="1711" spans="27:27">
      <c r="AA1711" t="s">
        <v>5378</v>
      </c>
    </row>
    <row r="1712" spans="27:27">
      <c r="AA1712" t="s">
        <v>5379</v>
      </c>
    </row>
    <row r="1713" spans="27:27">
      <c r="AA1713" t="s">
        <v>5380</v>
      </c>
    </row>
    <row r="1714" spans="27:27">
      <c r="AA1714" t="s">
        <v>5381</v>
      </c>
    </row>
    <row r="1715" spans="27:27">
      <c r="AA1715" t="s">
        <v>1438</v>
      </c>
    </row>
    <row r="1716" spans="27:27">
      <c r="AA1716" t="s">
        <v>3534</v>
      </c>
    </row>
    <row r="1717" spans="27:27">
      <c r="AA1717" t="s">
        <v>1439</v>
      </c>
    </row>
    <row r="1718" spans="27:27">
      <c r="AA1718" t="s">
        <v>3535</v>
      </c>
    </row>
    <row r="1719" spans="27:27">
      <c r="AA1719" t="s">
        <v>1440</v>
      </c>
    </row>
    <row r="1720" spans="27:27">
      <c r="AA1720" t="s">
        <v>5382</v>
      </c>
    </row>
    <row r="1721" spans="27:27">
      <c r="AA1721" t="s">
        <v>5383</v>
      </c>
    </row>
    <row r="1722" spans="27:27">
      <c r="AA1722" t="s">
        <v>5384</v>
      </c>
    </row>
    <row r="1723" spans="27:27">
      <c r="AA1723" t="s">
        <v>5385</v>
      </c>
    </row>
    <row r="1724" spans="27:27">
      <c r="AA1724" t="s">
        <v>1441</v>
      </c>
    </row>
    <row r="1725" spans="27:27">
      <c r="AA1725" t="s">
        <v>3536</v>
      </c>
    </row>
    <row r="1726" spans="27:27">
      <c r="AA1726" t="s">
        <v>1442</v>
      </c>
    </row>
    <row r="1727" spans="27:27">
      <c r="AA1727" t="s">
        <v>5386</v>
      </c>
    </row>
    <row r="1728" spans="27:27">
      <c r="AA1728" t="s">
        <v>5387</v>
      </c>
    </row>
    <row r="1729" spans="27:27">
      <c r="AA1729" t="s">
        <v>5388</v>
      </c>
    </row>
    <row r="1730" spans="27:27">
      <c r="AA1730" t="s">
        <v>5389</v>
      </c>
    </row>
    <row r="1731" spans="27:27">
      <c r="AA1731" t="s">
        <v>5390</v>
      </c>
    </row>
    <row r="1732" spans="27:27">
      <c r="AA1732" t="s">
        <v>1443</v>
      </c>
    </row>
    <row r="1733" spans="27:27">
      <c r="AA1733" t="s">
        <v>3537</v>
      </c>
    </row>
    <row r="1734" spans="27:27">
      <c r="AA1734" t="s">
        <v>1444</v>
      </c>
    </row>
    <row r="1735" spans="27:27">
      <c r="AA1735" t="s">
        <v>5391</v>
      </c>
    </row>
    <row r="1736" spans="27:27">
      <c r="AA1736" t="s">
        <v>5392</v>
      </c>
    </row>
    <row r="1737" spans="27:27">
      <c r="AA1737" t="s">
        <v>5393</v>
      </c>
    </row>
    <row r="1738" spans="27:27">
      <c r="AA1738" t="s">
        <v>5394</v>
      </c>
    </row>
    <row r="1739" spans="27:27">
      <c r="AA1739" t="s">
        <v>5395</v>
      </c>
    </row>
    <row r="1740" spans="27:27">
      <c r="AA1740" t="s">
        <v>5396</v>
      </c>
    </row>
    <row r="1741" spans="27:27">
      <c r="AA1741" t="s">
        <v>5397</v>
      </c>
    </row>
    <row r="1742" spans="27:27">
      <c r="AA1742" t="s">
        <v>5398</v>
      </c>
    </row>
    <row r="1743" spans="27:27">
      <c r="AA1743" t="s">
        <v>5399</v>
      </c>
    </row>
    <row r="1744" spans="27:27">
      <c r="AA1744" t="s">
        <v>5400</v>
      </c>
    </row>
    <row r="1745" spans="27:27">
      <c r="AA1745" t="s">
        <v>5401</v>
      </c>
    </row>
    <row r="1746" spans="27:27">
      <c r="AA1746" t="s">
        <v>5402</v>
      </c>
    </row>
    <row r="1747" spans="27:27">
      <c r="AA1747" t="s">
        <v>5403</v>
      </c>
    </row>
    <row r="1748" spans="27:27">
      <c r="AA1748" t="s">
        <v>5404</v>
      </c>
    </row>
    <row r="1749" spans="27:27">
      <c r="AA1749" t="s">
        <v>5405</v>
      </c>
    </row>
    <row r="1750" spans="27:27">
      <c r="AA1750" t="s">
        <v>5406</v>
      </c>
    </row>
    <row r="1751" spans="27:27">
      <c r="AA1751" t="s">
        <v>5407</v>
      </c>
    </row>
    <row r="1752" spans="27:27">
      <c r="AA1752" t="s">
        <v>5408</v>
      </c>
    </row>
    <row r="1753" spans="27:27">
      <c r="AA1753" t="s">
        <v>5409</v>
      </c>
    </row>
    <row r="1754" spans="27:27">
      <c r="AA1754" t="s">
        <v>1445</v>
      </c>
    </row>
    <row r="1755" spans="27:27">
      <c r="AA1755" t="s">
        <v>3538</v>
      </c>
    </row>
    <row r="1756" spans="27:27">
      <c r="AA1756" t="s">
        <v>1446</v>
      </c>
    </row>
    <row r="1757" spans="27:27">
      <c r="AA1757" t="s">
        <v>5410</v>
      </c>
    </row>
    <row r="1758" spans="27:27">
      <c r="AA1758" t="s">
        <v>5411</v>
      </c>
    </row>
    <row r="1759" spans="27:27">
      <c r="AA1759" t="s">
        <v>5412</v>
      </c>
    </row>
    <row r="1760" spans="27:27">
      <c r="AA1760" t="s">
        <v>5413</v>
      </c>
    </row>
    <row r="1761" spans="27:27">
      <c r="AA1761" t="s">
        <v>5414</v>
      </c>
    </row>
    <row r="1762" spans="27:27">
      <c r="AA1762" t="s">
        <v>5415</v>
      </c>
    </row>
    <row r="1763" spans="27:27">
      <c r="AA1763" t="s">
        <v>5416</v>
      </c>
    </row>
    <row r="1764" spans="27:27">
      <c r="AA1764" t="s">
        <v>5417</v>
      </c>
    </row>
    <row r="1765" spans="27:27">
      <c r="AA1765" t="s">
        <v>5418</v>
      </c>
    </row>
    <row r="1766" spans="27:27">
      <c r="AA1766" t="s">
        <v>1447</v>
      </c>
    </row>
    <row r="1767" spans="27:27">
      <c r="AA1767" t="s">
        <v>3539</v>
      </c>
    </row>
    <row r="1768" spans="27:27">
      <c r="AA1768" t="s">
        <v>1448</v>
      </c>
    </row>
    <row r="1769" spans="27:27">
      <c r="AA1769" t="s">
        <v>5419</v>
      </c>
    </row>
    <row r="1770" spans="27:27">
      <c r="AA1770" t="s">
        <v>5420</v>
      </c>
    </row>
    <row r="1771" spans="27:27">
      <c r="AA1771" t="s">
        <v>5421</v>
      </c>
    </row>
    <row r="1772" spans="27:27">
      <c r="AA1772" t="s">
        <v>5422</v>
      </c>
    </row>
    <row r="1773" spans="27:27">
      <c r="AA1773" t="s">
        <v>5423</v>
      </c>
    </row>
    <row r="1774" spans="27:27">
      <c r="AA1774" t="s">
        <v>5424</v>
      </c>
    </row>
    <row r="1775" spans="27:27">
      <c r="AA1775" t="s">
        <v>5425</v>
      </c>
    </row>
    <row r="1776" spans="27:27">
      <c r="AA1776" t="s">
        <v>5426</v>
      </c>
    </row>
    <row r="1777" spans="27:27">
      <c r="AA1777" t="s">
        <v>5427</v>
      </c>
    </row>
    <row r="1778" spans="27:27">
      <c r="AA1778" t="s">
        <v>5428</v>
      </c>
    </row>
    <row r="1779" spans="27:27">
      <c r="AA1779" t="s">
        <v>5429</v>
      </c>
    </row>
    <row r="1780" spans="27:27">
      <c r="AA1780" t="s">
        <v>5430</v>
      </c>
    </row>
    <row r="1781" spans="27:27">
      <c r="AA1781" t="s">
        <v>5431</v>
      </c>
    </row>
    <row r="1782" spans="27:27">
      <c r="AA1782" t="s">
        <v>5432</v>
      </c>
    </row>
    <row r="1783" spans="27:27">
      <c r="AA1783" t="s">
        <v>5433</v>
      </c>
    </row>
    <row r="1784" spans="27:27">
      <c r="AA1784" t="s">
        <v>5434</v>
      </c>
    </row>
    <row r="1785" spans="27:27">
      <c r="AA1785" t="s">
        <v>3354</v>
      </c>
    </row>
    <row r="1786" spans="27:27">
      <c r="AA1786" t="s">
        <v>3540</v>
      </c>
    </row>
    <row r="1787" spans="27:27">
      <c r="AA1787" t="s">
        <v>1449</v>
      </c>
    </row>
    <row r="1788" spans="27:27">
      <c r="AA1788" t="s">
        <v>5435</v>
      </c>
    </row>
    <row r="1789" spans="27:27">
      <c r="AA1789" t="s">
        <v>5436</v>
      </c>
    </row>
    <row r="1790" spans="27:27">
      <c r="AA1790" t="s">
        <v>5437</v>
      </c>
    </row>
    <row r="1791" spans="27:27">
      <c r="AA1791" t="s">
        <v>3541</v>
      </c>
    </row>
    <row r="1792" spans="27:27">
      <c r="AA1792" t="s">
        <v>5438</v>
      </c>
    </row>
    <row r="1793" spans="27:27">
      <c r="AA1793" t="s">
        <v>5439</v>
      </c>
    </row>
    <row r="1794" spans="27:27">
      <c r="AA1794" t="s">
        <v>5440</v>
      </c>
    </row>
    <row r="1795" spans="27:27">
      <c r="AA1795" t="s">
        <v>3542</v>
      </c>
    </row>
    <row r="1796" spans="27:27">
      <c r="AA1796" t="s">
        <v>5441</v>
      </c>
    </row>
    <row r="1797" spans="27:27">
      <c r="AA1797" t="s">
        <v>5442</v>
      </c>
    </row>
    <row r="1798" spans="27:27">
      <c r="AA1798" t="s">
        <v>5443</v>
      </c>
    </row>
    <row r="1799" spans="27:27">
      <c r="AA1799" t="s">
        <v>1450</v>
      </c>
    </row>
    <row r="1800" spans="27:27">
      <c r="AA1800" t="s">
        <v>5444</v>
      </c>
    </row>
    <row r="1801" spans="27:27">
      <c r="AA1801" t="s">
        <v>5445</v>
      </c>
    </row>
    <row r="1802" spans="27:27">
      <c r="AA1802" t="s">
        <v>3543</v>
      </c>
    </row>
    <row r="1803" spans="27:27">
      <c r="AA1803" t="s">
        <v>1451</v>
      </c>
    </row>
    <row r="1804" spans="27:27">
      <c r="AA1804" t="s">
        <v>3544</v>
      </c>
    </row>
    <row r="1805" spans="27:27">
      <c r="AA1805" t="s">
        <v>1452</v>
      </c>
    </row>
    <row r="1806" spans="27:27">
      <c r="AA1806" t="s">
        <v>5446</v>
      </c>
    </row>
    <row r="1807" spans="27:27">
      <c r="AA1807" t="s">
        <v>1453</v>
      </c>
    </row>
    <row r="1808" spans="27:27">
      <c r="AA1808" t="s">
        <v>1454</v>
      </c>
    </row>
    <row r="1809" spans="27:27">
      <c r="AA1809" t="s">
        <v>1455</v>
      </c>
    </row>
    <row r="1810" spans="27:27">
      <c r="AA1810" t="s">
        <v>3545</v>
      </c>
    </row>
    <row r="1811" spans="27:27">
      <c r="AA1811" t="s">
        <v>5447</v>
      </c>
    </row>
    <row r="1812" spans="27:27">
      <c r="AA1812" t="s">
        <v>5448</v>
      </c>
    </row>
    <row r="1813" spans="27:27">
      <c r="AA1813" t="s">
        <v>145</v>
      </c>
    </row>
    <row r="1814" spans="27:27">
      <c r="AA1814" t="s">
        <v>146</v>
      </c>
    </row>
    <row r="1815" spans="27:27">
      <c r="AA1815" t="s">
        <v>147</v>
      </c>
    </row>
    <row r="1816" spans="27:27">
      <c r="AA1816" t="s">
        <v>148</v>
      </c>
    </row>
    <row r="1817" spans="27:27">
      <c r="AA1817" t="s">
        <v>1456</v>
      </c>
    </row>
    <row r="1818" spans="27:27">
      <c r="AA1818" t="s">
        <v>1457</v>
      </c>
    </row>
    <row r="1819" spans="27:27">
      <c r="AA1819" t="s">
        <v>5449</v>
      </c>
    </row>
    <row r="1820" spans="27:27">
      <c r="AA1820" t="s">
        <v>1458</v>
      </c>
    </row>
    <row r="1821" spans="27:27">
      <c r="AA1821" t="s">
        <v>1459</v>
      </c>
    </row>
    <row r="1822" spans="27:27">
      <c r="AA1822" t="s">
        <v>1460</v>
      </c>
    </row>
    <row r="1823" spans="27:27">
      <c r="AA1823" t="s">
        <v>1461</v>
      </c>
    </row>
    <row r="1824" spans="27:27">
      <c r="AA1824" t="s">
        <v>5450</v>
      </c>
    </row>
    <row r="1825" spans="27:27">
      <c r="AA1825" t="s">
        <v>1462</v>
      </c>
    </row>
    <row r="1826" spans="27:27">
      <c r="AA1826" t="s">
        <v>1463</v>
      </c>
    </row>
    <row r="1827" spans="27:27">
      <c r="AA1827" t="s">
        <v>1464</v>
      </c>
    </row>
    <row r="1828" spans="27:27">
      <c r="AA1828" t="s">
        <v>5451</v>
      </c>
    </row>
    <row r="1829" spans="27:27">
      <c r="AA1829" t="s">
        <v>5452</v>
      </c>
    </row>
    <row r="1830" spans="27:27">
      <c r="AA1830" t="s">
        <v>5453</v>
      </c>
    </row>
    <row r="1831" spans="27:27">
      <c r="AA1831" t="s">
        <v>5454</v>
      </c>
    </row>
    <row r="1832" spans="27:27">
      <c r="AA1832" t="s">
        <v>5455</v>
      </c>
    </row>
    <row r="1833" spans="27:27">
      <c r="AA1833" t="s">
        <v>5456</v>
      </c>
    </row>
    <row r="1834" spans="27:27">
      <c r="AA1834" t="s">
        <v>5457</v>
      </c>
    </row>
    <row r="1835" spans="27:27">
      <c r="AA1835" t="s">
        <v>3546</v>
      </c>
    </row>
    <row r="1836" spans="27:27">
      <c r="AA1836" t="s">
        <v>5458</v>
      </c>
    </row>
    <row r="1837" spans="27:27">
      <c r="AA1837" t="s">
        <v>5459</v>
      </c>
    </row>
    <row r="1838" spans="27:27">
      <c r="AA1838" t="s">
        <v>149</v>
      </c>
    </row>
    <row r="1839" spans="27:27">
      <c r="AA1839" t="s">
        <v>5460</v>
      </c>
    </row>
    <row r="1840" spans="27:27">
      <c r="AA1840" t="s">
        <v>5461</v>
      </c>
    </row>
    <row r="1841" spans="27:27">
      <c r="AA1841" t="s">
        <v>5462</v>
      </c>
    </row>
    <row r="1842" spans="27:27">
      <c r="AA1842" t="s">
        <v>5463</v>
      </c>
    </row>
    <row r="1843" spans="27:27">
      <c r="AA1843" t="s">
        <v>5464</v>
      </c>
    </row>
    <row r="1844" spans="27:27">
      <c r="AA1844" t="s">
        <v>5465</v>
      </c>
    </row>
    <row r="1845" spans="27:27">
      <c r="AA1845" t="s">
        <v>1465</v>
      </c>
    </row>
    <row r="1846" spans="27:27">
      <c r="AA1846" t="s">
        <v>5466</v>
      </c>
    </row>
    <row r="1847" spans="27:27">
      <c r="AA1847" t="s">
        <v>1466</v>
      </c>
    </row>
    <row r="1848" spans="27:27">
      <c r="AA1848" t="s">
        <v>5467</v>
      </c>
    </row>
    <row r="1849" spans="27:27">
      <c r="AA1849" t="s">
        <v>5468</v>
      </c>
    </row>
    <row r="1850" spans="27:27">
      <c r="AA1850" t="s">
        <v>5469</v>
      </c>
    </row>
    <row r="1851" spans="27:27">
      <c r="AA1851" t="s">
        <v>1467</v>
      </c>
    </row>
    <row r="1852" spans="27:27">
      <c r="AA1852" t="s">
        <v>3547</v>
      </c>
    </row>
    <row r="1853" spans="27:27">
      <c r="AA1853" t="s">
        <v>1468</v>
      </c>
    </row>
    <row r="1854" spans="27:27">
      <c r="AA1854" t="s">
        <v>3548</v>
      </c>
    </row>
    <row r="1855" spans="27:27">
      <c r="AA1855" t="s">
        <v>5470</v>
      </c>
    </row>
    <row r="1856" spans="27:27">
      <c r="AA1856" t="s">
        <v>5471</v>
      </c>
    </row>
    <row r="1857" spans="27:27">
      <c r="AA1857" t="s">
        <v>5472</v>
      </c>
    </row>
    <row r="1858" spans="27:27">
      <c r="AA1858" t="s">
        <v>5473</v>
      </c>
    </row>
    <row r="1859" spans="27:27">
      <c r="AA1859" t="s">
        <v>5474</v>
      </c>
    </row>
    <row r="1860" spans="27:27">
      <c r="AA1860" t="s">
        <v>150</v>
      </c>
    </row>
    <row r="1861" spans="27:27">
      <c r="AA1861" t="s">
        <v>5475</v>
      </c>
    </row>
    <row r="1862" spans="27:27">
      <c r="AA1862" t="s">
        <v>5476</v>
      </c>
    </row>
    <row r="1863" spans="27:27">
      <c r="AA1863" t="s">
        <v>3549</v>
      </c>
    </row>
    <row r="1864" spans="27:27">
      <c r="AA1864" t="s">
        <v>5477</v>
      </c>
    </row>
    <row r="1865" spans="27:27">
      <c r="AA1865" t="s">
        <v>5478</v>
      </c>
    </row>
    <row r="1866" spans="27:27">
      <c r="AA1866" t="s">
        <v>5479</v>
      </c>
    </row>
    <row r="1867" spans="27:27">
      <c r="AA1867" t="s">
        <v>151</v>
      </c>
    </row>
    <row r="1868" spans="27:27">
      <c r="AA1868" t="s">
        <v>5480</v>
      </c>
    </row>
    <row r="1869" spans="27:27">
      <c r="AA1869" t="s">
        <v>3550</v>
      </c>
    </row>
    <row r="1870" spans="27:27">
      <c r="AA1870" t="s">
        <v>5481</v>
      </c>
    </row>
    <row r="1871" spans="27:27">
      <c r="AA1871" t="s">
        <v>5482</v>
      </c>
    </row>
    <row r="1872" spans="27:27">
      <c r="AA1872" t="s">
        <v>5483</v>
      </c>
    </row>
    <row r="1873" spans="27:27">
      <c r="AA1873" t="s">
        <v>5484</v>
      </c>
    </row>
    <row r="1874" spans="27:27">
      <c r="AA1874" t="s">
        <v>5485</v>
      </c>
    </row>
    <row r="1875" spans="27:27">
      <c r="AA1875" t="s">
        <v>5486</v>
      </c>
    </row>
    <row r="1876" spans="27:27">
      <c r="AA1876" t="s">
        <v>5487</v>
      </c>
    </row>
    <row r="1877" spans="27:27">
      <c r="AA1877" t="s">
        <v>5488</v>
      </c>
    </row>
    <row r="1878" spans="27:27">
      <c r="AA1878" t="s">
        <v>5489</v>
      </c>
    </row>
    <row r="1879" spans="27:27">
      <c r="AA1879" t="s">
        <v>5490</v>
      </c>
    </row>
    <row r="1880" spans="27:27">
      <c r="AA1880" t="s">
        <v>5491</v>
      </c>
    </row>
    <row r="1881" spans="27:27">
      <c r="AA1881" t="s">
        <v>5492</v>
      </c>
    </row>
    <row r="1882" spans="27:27">
      <c r="AA1882" t="s">
        <v>5493</v>
      </c>
    </row>
    <row r="1883" spans="27:27">
      <c r="AA1883" t="s">
        <v>5494</v>
      </c>
    </row>
    <row r="1884" spans="27:27">
      <c r="AA1884" t="s">
        <v>5495</v>
      </c>
    </row>
    <row r="1885" spans="27:27">
      <c r="AA1885" t="s">
        <v>5496</v>
      </c>
    </row>
    <row r="1886" spans="27:27">
      <c r="AA1886" t="s">
        <v>3551</v>
      </c>
    </row>
    <row r="1887" spans="27:27">
      <c r="AA1887" t="s">
        <v>5497</v>
      </c>
    </row>
    <row r="1888" spans="27:27">
      <c r="AA1888" t="s">
        <v>5498</v>
      </c>
    </row>
    <row r="1889" spans="27:27">
      <c r="AA1889" t="s">
        <v>1469</v>
      </c>
    </row>
    <row r="1890" spans="27:27">
      <c r="AA1890" t="s">
        <v>5499</v>
      </c>
    </row>
    <row r="1891" spans="27:27">
      <c r="AA1891" t="s">
        <v>3552</v>
      </c>
    </row>
    <row r="1892" spans="27:27">
      <c r="AA1892" t="s">
        <v>5500</v>
      </c>
    </row>
    <row r="1893" spans="27:27">
      <c r="AA1893" t="s">
        <v>5501</v>
      </c>
    </row>
    <row r="1894" spans="27:27">
      <c r="AA1894" t="s">
        <v>1470</v>
      </c>
    </row>
    <row r="1895" spans="27:27">
      <c r="AA1895" t="s">
        <v>3553</v>
      </c>
    </row>
    <row r="1896" spans="27:27">
      <c r="AA1896" t="s">
        <v>1471</v>
      </c>
    </row>
    <row r="1897" spans="27:27">
      <c r="AA1897" t="s">
        <v>3554</v>
      </c>
    </row>
    <row r="1898" spans="27:27">
      <c r="AA1898" t="s">
        <v>5502</v>
      </c>
    </row>
    <row r="1899" spans="27:27">
      <c r="AA1899" t="s">
        <v>5503</v>
      </c>
    </row>
    <row r="1900" spans="27:27">
      <c r="AA1900" t="s">
        <v>5504</v>
      </c>
    </row>
    <row r="1901" spans="27:27">
      <c r="AA1901" t="s">
        <v>5505</v>
      </c>
    </row>
    <row r="1902" spans="27:27">
      <c r="AA1902" t="s">
        <v>5506</v>
      </c>
    </row>
    <row r="1903" spans="27:27">
      <c r="AA1903" t="s">
        <v>5507</v>
      </c>
    </row>
    <row r="1904" spans="27:27">
      <c r="AA1904" t="s">
        <v>5508</v>
      </c>
    </row>
    <row r="1905" spans="27:27">
      <c r="AA1905" t="s">
        <v>5509</v>
      </c>
    </row>
    <row r="1906" spans="27:27">
      <c r="AA1906" t="s">
        <v>5510</v>
      </c>
    </row>
    <row r="1907" spans="27:27">
      <c r="AA1907" t="s">
        <v>5511</v>
      </c>
    </row>
    <row r="1908" spans="27:27">
      <c r="AA1908" t="s">
        <v>5512</v>
      </c>
    </row>
    <row r="1909" spans="27:27">
      <c r="AA1909" t="s">
        <v>5513</v>
      </c>
    </row>
    <row r="1910" spans="27:27">
      <c r="AA1910" t="s">
        <v>5514</v>
      </c>
    </row>
    <row r="1911" spans="27:27">
      <c r="AA1911" t="s">
        <v>5515</v>
      </c>
    </row>
    <row r="1912" spans="27:27">
      <c r="AA1912" t="s">
        <v>5516</v>
      </c>
    </row>
    <row r="1913" spans="27:27">
      <c r="AA1913" t="s">
        <v>5517</v>
      </c>
    </row>
    <row r="1914" spans="27:27">
      <c r="AA1914" t="s">
        <v>1472</v>
      </c>
    </row>
    <row r="1915" spans="27:27">
      <c r="AA1915" t="s">
        <v>3555</v>
      </c>
    </row>
    <row r="1916" spans="27:27">
      <c r="AA1916" t="s">
        <v>5518</v>
      </c>
    </row>
    <row r="1917" spans="27:27">
      <c r="AA1917" t="s">
        <v>5519</v>
      </c>
    </row>
    <row r="1918" spans="27:27">
      <c r="AA1918" t="s">
        <v>5520</v>
      </c>
    </row>
    <row r="1919" spans="27:27">
      <c r="AA1919" t="s">
        <v>5521</v>
      </c>
    </row>
    <row r="1920" spans="27:27">
      <c r="AA1920" t="s">
        <v>5522</v>
      </c>
    </row>
    <row r="1921" spans="27:27">
      <c r="AA1921" t="s">
        <v>5523</v>
      </c>
    </row>
    <row r="1922" spans="27:27">
      <c r="AA1922" t="s">
        <v>5524</v>
      </c>
    </row>
    <row r="1923" spans="27:27">
      <c r="AA1923" t="s">
        <v>5525</v>
      </c>
    </row>
    <row r="1924" spans="27:27">
      <c r="AA1924" t="s">
        <v>5526</v>
      </c>
    </row>
    <row r="1925" spans="27:27">
      <c r="AA1925" t="s">
        <v>5527</v>
      </c>
    </row>
    <row r="1926" spans="27:27">
      <c r="AA1926" t="s">
        <v>5528</v>
      </c>
    </row>
    <row r="1927" spans="27:27">
      <c r="AA1927" t="s">
        <v>5529</v>
      </c>
    </row>
    <row r="1928" spans="27:27">
      <c r="AA1928" t="s">
        <v>5530</v>
      </c>
    </row>
    <row r="1929" spans="27:27">
      <c r="AA1929" t="s">
        <v>5531</v>
      </c>
    </row>
    <row r="1930" spans="27:27">
      <c r="AA1930" t="s">
        <v>1473</v>
      </c>
    </row>
    <row r="1931" spans="27:27">
      <c r="AA1931" t="s">
        <v>3556</v>
      </c>
    </row>
    <row r="1932" spans="27:27">
      <c r="AA1932" t="s">
        <v>5532</v>
      </c>
    </row>
    <row r="1933" spans="27:27">
      <c r="AA1933" t="s">
        <v>5533</v>
      </c>
    </row>
    <row r="1934" spans="27:27">
      <c r="AA1934" t="s">
        <v>5534</v>
      </c>
    </row>
    <row r="1935" spans="27:27">
      <c r="AA1935" t="s">
        <v>5535</v>
      </c>
    </row>
    <row r="1936" spans="27:27">
      <c r="AA1936" t="s">
        <v>5536</v>
      </c>
    </row>
    <row r="1937" spans="27:27">
      <c r="AA1937" t="s">
        <v>5537</v>
      </c>
    </row>
    <row r="1938" spans="27:27">
      <c r="AA1938" t="s">
        <v>5538</v>
      </c>
    </row>
    <row r="1939" spans="27:27">
      <c r="AA1939" t="s">
        <v>5539</v>
      </c>
    </row>
    <row r="1940" spans="27:27">
      <c r="AA1940" t="s">
        <v>5540</v>
      </c>
    </row>
    <row r="1941" spans="27:27">
      <c r="AA1941" t="s">
        <v>3557</v>
      </c>
    </row>
    <row r="1942" spans="27:27">
      <c r="AA1942" t="s">
        <v>1474</v>
      </c>
    </row>
    <row r="1943" spans="27:27">
      <c r="AA1943" t="s">
        <v>5541</v>
      </c>
    </row>
    <row r="1944" spans="27:27">
      <c r="AA1944" t="s">
        <v>5542</v>
      </c>
    </row>
    <row r="1945" spans="27:27">
      <c r="AA1945" t="s">
        <v>152</v>
      </c>
    </row>
    <row r="1946" spans="27:27">
      <c r="AA1946" t="s">
        <v>5543</v>
      </c>
    </row>
    <row r="1947" spans="27:27">
      <c r="AA1947" t="s">
        <v>5544</v>
      </c>
    </row>
    <row r="1948" spans="27:27">
      <c r="AA1948" t="s">
        <v>5545</v>
      </c>
    </row>
    <row r="1949" spans="27:27">
      <c r="AA1949" t="s">
        <v>5546</v>
      </c>
    </row>
    <row r="1950" spans="27:27">
      <c r="AA1950" t="s">
        <v>5547</v>
      </c>
    </row>
    <row r="1951" spans="27:27">
      <c r="AA1951" t="s">
        <v>5548</v>
      </c>
    </row>
    <row r="1952" spans="27:27">
      <c r="AA1952" t="s">
        <v>5549</v>
      </c>
    </row>
    <row r="1953" spans="27:27">
      <c r="AA1953" t="s">
        <v>5550</v>
      </c>
    </row>
    <row r="1954" spans="27:27">
      <c r="AA1954" t="s">
        <v>5551</v>
      </c>
    </row>
    <row r="1955" spans="27:27">
      <c r="AA1955" t="s">
        <v>5552</v>
      </c>
    </row>
    <row r="1956" spans="27:27">
      <c r="AA1956" t="s">
        <v>153</v>
      </c>
    </row>
    <row r="1957" spans="27:27">
      <c r="AA1957" t="s">
        <v>5553</v>
      </c>
    </row>
    <row r="1958" spans="27:27">
      <c r="AA1958" t="s">
        <v>5554</v>
      </c>
    </row>
    <row r="1959" spans="27:27">
      <c r="AA1959" t="s">
        <v>5555</v>
      </c>
    </row>
    <row r="1960" spans="27:27">
      <c r="AA1960" t="s">
        <v>5556</v>
      </c>
    </row>
    <row r="1961" spans="27:27">
      <c r="AA1961" t="s">
        <v>5557</v>
      </c>
    </row>
    <row r="1962" spans="27:27">
      <c r="AA1962" t="s">
        <v>5558</v>
      </c>
    </row>
    <row r="1963" spans="27:27">
      <c r="AA1963" t="s">
        <v>5559</v>
      </c>
    </row>
    <row r="1964" spans="27:27">
      <c r="AA1964" t="s">
        <v>5560</v>
      </c>
    </row>
    <row r="1965" spans="27:27">
      <c r="AA1965" t="s">
        <v>5561</v>
      </c>
    </row>
    <row r="1966" spans="27:27">
      <c r="AA1966" t="s">
        <v>5562</v>
      </c>
    </row>
    <row r="1967" spans="27:27">
      <c r="AA1967" t="s">
        <v>5563</v>
      </c>
    </row>
    <row r="1968" spans="27:27">
      <c r="AA1968" t="s">
        <v>5564</v>
      </c>
    </row>
    <row r="1969" spans="27:27">
      <c r="AA1969" t="s">
        <v>5565</v>
      </c>
    </row>
    <row r="1970" spans="27:27">
      <c r="AA1970" t="s">
        <v>5566</v>
      </c>
    </row>
    <row r="1971" spans="27:27">
      <c r="AA1971" t="s">
        <v>5567</v>
      </c>
    </row>
    <row r="1972" spans="27:27">
      <c r="AA1972" t="s">
        <v>5568</v>
      </c>
    </row>
    <row r="1973" spans="27:27">
      <c r="AA1973" t="s">
        <v>5569</v>
      </c>
    </row>
    <row r="1974" spans="27:27">
      <c r="AA1974" t="s">
        <v>5570</v>
      </c>
    </row>
    <row r="1975" spans="27:27">
      <c r="AA1975" t="s">
        <v>5571</v>
      </c>
    </row>
    <row r="1976" spans="27:27">
      <c r="AA1976" t="s">
        <v>5572</v>
      </c>
    </row>
    <row r="1977" spans="27:27">
      <c r="AA1977" t="s">
        <v>5573</v>
      </c>
    </row>
    <row r="1978" spans="27:27">
      <c r="AA1978" t="s">
        <v>3558</v>
      </c>
    </row>
    <row r="1979" spans="27:27">
      <c r="AA1979" t="s">
        <v>5574</v>
      </c>
    </row>
    <row r="1980" spans="27:27">
      <c r="AA1980" t="s">
        <v>5575</v>
      </c>
    </row>
    <row r="1981" spans="27:27">
      <c r="AA1981" t="s">
        <v>5576</v>
      </c>
    </row>
    <row r="1982" spans="27:27">
      <c r="AA1982" t="s">
        <v>1475</v>
      </c>
    </row>
    <row r="1983" spans="27:27">
      <c r="AA1983" t="s">
        <v>3559</v>
      </c>
    </row>
    <row r="1984" spans="27:27">
      <c r="AA1984" t="s">
        <v>1476</v>
      </c>
    </row>
    <row r="1985" spans="27:27">
      <c r="AA1985" t="s">
        <v>3560</v>
      </c>
    </row>
    <row r="1986" spans="27:27">
      <c r="AA1986" t="s">
        <v>5577</v>
      </c>
    </row>
    <row r="1987" spans="27:27">
      <c r="AA1987" t="s">
        <v>5578</v>
      </c>
    </row>
    <row r="1988" spans="27:27">
      <c r="AA1988" t="s">
        <v>5579</v>
      </c>
    </row>
    <row r="1989" spans="27:27">
      <c r="AA1989" t="s">
        <v>1477</v>
      </c>
    </row>
    <row r="1990" spans="27:27">
      <c r="AA1990" t="s">
        <v>3561</v>
      </c>
    </row>
    <row r="1991" spans="27:27">
      <c r="AA1991" t="s">
        <v>5580</v>
      </c>
    </row>
    <row r="1992" spans="27:27">
      <c r="AA1992" t="s">
        <v>5581</v>
      </c>
    </row>
    <row r="1993" spans="27:27">
      <c r="AA1993" t="s">
        <v>1478</v>
      </c>
    </row>
    <row r="1994" spans="27:27">
      <c r="AA1994" t="s">
        <v>3562</v>
      </c>
    </row>
    <row r="1995" spans="27:27">
      <c r="AA1995" t="s">
        <v>5582</v>
      </c>
    </row>
    <row r="1996" spans="27:27">
      <c r="AA1996" t="s">
        <v>5583</v>
      </c>
    </row>
    <row r="1997" spans="27:27">
      <c r="AA1997" t="s">
        <v>5584</v>
      </c>
    </row>
    <row r="1998" spans="27:27">
      <c r="AA1998" t="s">
        <v>1479</v>
      </c>
    </row>
    <row r="1999" spans="27:27">
      <c r="AA1999" t="s">
        <v>3563</v>
      </c>
    </row>
    <row r="2000" spans="27:27">
      <c r="AA2000" t="s">
        <v>5585</v>
      </c>
    </row>
    <row r="2001" spans="27:27">
      <c r="AA2001" t="s">
        <v>5586</v>
      </c>
    </row>
    <row r="2002" spans="27:27">
      <c r="AA2002" t="s">
        <v>5587</v>
      </c>
    </row>
    <row r="2003" spans="27:27">
      <c r="AA2003" t="s">
        <v>5588</v>
      </c>
    </row>
    <row r="2004" spans="27:27">
      <c r="AA2004" t="s">
        <v>5589</v>
      </c>
    </row>
    <row r="2005" spans="27:27">
      <c r="AA2005" t="s">
        <v>5590</v>
      </c>
    </row>
    <row r="2006" spans="27:27">
      <c r="AA2006" t="s">
        <v>5591</v>
      </c>
    </row>
    <row r="2007" spans="27:27">
      <c r="AA2007" t="s">
        <v>5592</v>
      </c>
    </row>
    <row r="2008" spans="27:27">
      <c r="AA2008" t="s">
        <v>5593</v>
      </c>
    </row>
    <row r="2009" spans="27:27">
      <c r="AA2009" t="s">
        <v>5594</v>
      </c>
    </row>
    <row r="2010" spans="27:27">
      <c r="AA2010" t="s">
        <v>5595</v>
      </c>
    </row>
    <row r="2011" spans="27:27">
      <c r="AA2011" t="s">
        <v>5596</v>
      </c>
    </row>
    <row r="2012" spans="27:27">
      <c r="AA2012" t="s">
        <v>5597</v>
      </c>
    </row>
    <row r="2013" spans="27:27">
      <c r="AA2013" t="s">
        <v>5598</v>
      </c>
    </row>
    <row r="2014" spans="27:27">
      <c r="AA2014" t="s">
        <v>5599</v>
      </c>
    </row>
    <row r="2015" spans="27:27">
      <c r="AA2015" t="s">
        <v>5600</v>
      </c>
    </row>
    <row r="2016" spans="27:27">
      <c r="AA2016" t="s">
        <v>5601</v>
      </c>
    </row>
    <row r="2017" spans="27:27">
      <c r="AA2017" t="s">
        <v>5602</v>
      </c>
    </row>
    <row r="2018" spans="27:27">
      <c r="AA2018" t="s">
        <v>5603</v>
      </c>
    </row>
    <row r="2019" spans="27:27">
      <c r="AA2019" t="s">
        <v>5604</v>
      </c>
    </row>
    <row r="2020" spans="27:27">
      <c r="AA2020" t="s">
        <v>5605</v>
      </c>
    </row>
    <row r="2021" spans="27:27">
      <c r="AA2021" t="s">
        <v>5606</v>
      </c>
    </row>
    <row r="2022" spans="27:27">
      <c r="AA2022" t="s">
        <v>5607</v>
      </c>
    </row>
    <row r="2023" spans="27:27">
      <c r="AA2023" t="s">
        <v>3564</v>
      </c>
    </row>
    <row r="2024" spans="27:27">
      <c r="AA2024" t="s">
        <v>5608</v>
      </c>
    </row>
    <row r="2025" spans="27:27">
      <c r="AA2025" t="s">
        <v>5609</v>
      </c>
    </row>
    <row r="2026" spans="27:27">
      <c r="AA2026" t="s">
        <v>5610</v>
      </c>
    </row>
    <row r="2027" spans="27:27">
      <c r="AA2027" t="s">
        <v>5611</v>
      </c>
    </row>
    <row r="2028" spans="27:27">
      <c r="AA2028" t="s">
        <v>5612</v>
      </c>
    </row>
    <row r="2029" spans="27:27">
      <c r="AA2029" t="s">
        <v>5613</v>
      </c>
    </row>
    <row r="2030" spans="27:27">
      <c r="AA2030" t="s">
        <v>5614</v>
      </c>
    </row>
    <row r="2031" spans="27:27">
      <c r="AA2031" t="s">
        <v>5615</v>
      </c>
    </row>
    <row r="2032" spans="27:27">
      <c r="AA2032" t="s">
        <v>5616</v>
      </c>
    </row>
    <row r="2033" spans="27:27">
      <c r="AA2033" t="s">
        <v>5617</v>
      </c>
    </row>
    <row r="2034" spans="27:27">
      <c r="AA2034" t="s">
        <v>3565</v>
      </c>
    </row>
    <row r="2035" spans="27:27">
      <c r="AA2035" t="s">
        <v>1480</v>
      </c>
    </row>
    <row r="2036" spans="27:27">
      <c r="AA2036" t="s">
        <v>3566</v>
      </c>
    </row>
    <row r="2037" spans="27:27">
      <c r="AA2037" t="s">
        <v>5618</v>
      </c>
    </row>
    <row r="2038" spans="27:27">
      <c r="AA2038" t="s">
        <v>5619</v>
      </c>
    </row>
    <row r="2039" spans="27:27">
      <c r="AA2039" t="s">
        <v>5620</v>
      </c>
    </row>
    <row r="2040" spans="27:27">
      <c r="AA2040" t="s">
        <v>5621</v>
      </c>
    </row>
    <row r="2041" spans="27:27">
      <c r="AA2041" t="s">
        <v>5622</v>
      </c>
    </row>
    <row r="2042" spans="27:27">
      <c r="AA2042" t="s">
        <v>5623</v>
      </c>
    </row>
    <row r="2043" spans="27:27">
      <c r="AA2043" t="s">
        <v>5624</v>
      </c>
    </row>
    <row r="2044" spans="27:27">
      <c r="AA2044" t="s">
        <v>5625</v>
      </c>
    </row>
    <row r="2045" spans="27:27">
      <c r="AA2045" t="s">
        <v>5626</v>
      </c>
    </row>
    <row r="2046" spans="27:27">
      <c r="AA2046" t="s">
        <v>5627</v>
      </c>
    </row>
    <row r="2047" spans="27:27">
      <c r="AA2047" t="s">
        <v>5628</v>
      </c>
    </row>
    <row r="2048" spans="27:27">
      <c r="AA2048" t="s">
        <v>5629</v>
      </c>
    </row>
    <row r="2049" spans="27:27">
      <c r="AA2049" t="s">
        <v>5630</v>
      </c>
    </row>
    <row r="2050" spans="27:27">
      <c r="AA2050" t="s">
        <v>5631</v>
      </c>
    </row>
    <row r="2051" spans="27:27">
      <c r="AA2051" t="s">
        <v>5632</v>
      </c>
    </row>
    <row r="2052" spans="27:27">
      <c r="AA2052" t="s">
        <v>5633</v>
      </c>
    </row>
    <row r="2053" spans="27:27">
      <c r="AA2053" t="s">
        <v>1481</v>
      </c>
    </row>
    <row r="2054" spans="27:27">
      <c r="AA2054" t="s">
        <v>3567</v>
      </c>
    </row>
    <row r="2055" spans="27:27">
      <c r="AA2055" t="s">
        <v>5634</v>
      </c>
    </row>
    <row r="2056" spans="27:27">
      <c r="AA2056" t="s">
        <v>5635</v>
      </c>
    </row>
    <row r="2057" spans="27:27">
      <c r="AA2057" t="s">
        <v>5636</v>
      </c>
    </row>
    <row r="2058" spans="27:27">
      <c r="AA2058" t="s">
        <v>5637</v>
      </c>
    </row>
    <row r="2059" spans="27:27">
      <c r="AA2059" t="s">
        <v>5638</v>
      </c>
    </row>
    <row r="2060" spans="27:27">
      <c r="AA2060" t="s">
        <v>5639</v>
      </c>
    </row>
    <row r="2061" spans="27:27">
      <c r="AA2061" t="s">
        <v>5640</v>
      </c>
    </row>
    <row r="2062" spans="27:27">
      <c r="AA2062" t="s">
        <v>5641</v>
      </c>
    </row>
    <row r="2063" spans="27:27">
      <c r="AA2063" t="s">
        <v>5642</v>
      </c>
    </row>
    <row r="2064" spans="27:27">
      <c r="AA2064" t="s">
        <v>5643</v>
      </c>
    </row>
    <row r="2065" spans="27:27">
      <c r="AA2065" t="s">
        <v>5644</v>
      </c>
    </row>
    <row r="2066" spans="27:27">
      <c r="AA2066" t="s">
        <v>5645</v>
      </c>
    </row>
    <row r="2067" spans="27:27">
      <c r="AA2067" t="s">
        <v>5646</v>
      </c>
    </row>
    <row r="2068" spans="27:27">
      <c r="AA2068" t="s">
        <v>5647</v>
      </c>
    </row>
    <row r="2069" spans="27:27">
      <c r="AA2069" t="s">
        <v>5648</v>
      </c>
    </row>
    <row r="2070" spans="27:27">
      <c r="AA2070" t="s">
        <v>5649</v>
      </c>
    </row>
    <row r="2071" spans="27:27">
      <c r="AA2071" t="s">
        <v>5650</v>
      </c>
    </row>
    <row r="2072" spans="27:27">
      <c r="AA2072" t="s">
        <v>5651</v>
      </c>
    </row>
    <row r="2073" spans="27:27">
      <c r="AA2073" t="s">
        <v>5652</v>
      </c>
    </row>
    <row r="2074" spans="27:27">
      <c r="AA2074" t="s">
        <v>5653</v>
      </c>
    </row>
    <row r="2075" spans="27:27">
      <c r="AA2075" t="s">
        <v>5654</v>
      </c>
    </row>
    <row r="2076" spans="27:27">
      <c r="AA2076" t="s">
        <v>5655</v>
      </c>
    </row>
    <row r="2077" spans="27:27">
      <c r="AA2077" t="s">
        <v>5656</v>
      </c>
    </row>
    <row r="2078" spans="27:27">
      <c r="AA2078" t="s">
        <v>5657</v>
      </c>
    </row>
    <row r="2079" spans="27:27">
      <c r="AA2079" t="s">
        <v>5658</v>
      </c>
    </row>
    <row r="2080" spans="27:27">
      <c r="AA2080" t="s">
        <v>5659</v>
      </c>
    </row>
    <row r="2081" spans="27:27">
      <c r="AA2081" t="s">
        <v>5660</v>
      </c>
    </row>
    <row r="2082" spans="27:27">
      <c r="AA2082" t="s">
        <v>5661</v>
      </c>
    </row>
    <row r="2083" spans="27:27">
      <c r="AA2083" t="s">
        <v>5662</v>
      </c>
    </row>
    <row r="2084" spans="27:27">
      <c r="AA2084" t="s">
        <v>5663</v>
      </c>
    </row>
    <row r="2085" spans="27:27">
      <c r="AA2085" t="s">
        <v>5664</v>
      </c>
    </row>
    <row r="2086" spans="27:27">
      <c r="AA2086" t="s">
        <v>5665</v>
      </c>
    </row>
    <row r="2087" spans="27:27">
      <c r="AA2087" t="s">
        <v>5666</v>
      </c>
    </row>
    <row r="2088" spans="27:27">
      <c r="AA2088" t="s">
        <v>5667</v>
      </c>
    </row>
    <row r="2089" spans="27:27">
      <c r="AA2089" t="s">
        <v>5668</v>
      </c>
    </row>
    <row r="2090" spans="27:27">
      <c r="AA2090" t="s">
        <v>5669</v>
      </c>
    </row>
    <row r="2091" spans="27:27">
      <c r="AA2091" t="s">
        <v>5670</v>
      </c>
    </row>
    <row r="2092" spans="27:27">
      <c r="AA2092" t="s">
        <v>5671</v>
      </c>
    </row>
    <row r="2093" spans="27:27">
      <c r="AA2093" t="s">
        <v>3568</v>
      </c>
    </row>
    <row r="2094" spans="27:27">
      <c r="AA2094" t="s">
        <v>5672</v>
      </c>
    </row>
    <row r="2095" spans="27:27">
      <c r="AA2095" t="s">
        <v>5673</v>
      </c>
    </row>
    <row r="2096" spans="27:27">
      <c r="AA2096" t="s">
        <v>5674</v>
      </c>
    </row>
    <row r="2097" spans="27:27">
      <c r="AA2097" t="s">
        <v>5675</v>
      </c>
    </row>
    <row r="2098" spans="27:27">
      <c r="AA2098" t="s">
        <v>5676</v>
      </c>
    </row>
    <row r="2099" spans="27:27">
      <c r="AA2099" t="s">
        <v>5677</v>
      </c>
    </row>
    <row r="2100" spans="27:27">
      <c r="AA2100" t="s">
        <v>5678</v>
      </c>
    </row>
    <row r="2101" spans="27:27">
      <c r="AA2101" t="s">
        <v>5679</v>
      </c>
    </row>
    <row r="2102" spans="27:27">
      <c r="AA2102" t="s">
        <v>5680</v>
      </c>
    </row>
    <row r="2103" spans="27:27">
      <c r="AA2103" t="s">
        <v>5681</v>
      </c>
    </row>
    <row r="2104" spans="27:27">
      <c r="AA2104" t="s">
        <v>5682</v>
      </c>
    </row>
    <row r="2105" spans="27:27">
      <c r="AA2105" t="s">
        <v>5683</v>
      </c>
    </row>
    <row r="2106" spans="27:27">
      <c r="AA2106" t="s">
        <v>5684</v>
      </c>
    </row>
    <row r="2107" spans="27:27">
      <c r="AA2107" t="s">
        <v>5685</v>
      </c>
    </row>
    <row r="2108" spans="27:27">
      <c r="AA2108" t="s">
        <v>5686</v>
      </c>
    </row>
    <row r="2109" spans="27:27">
      <c r="AA2109" t="s">
        <v>5687</v>
      </c>
    </row>
    <row r="2110" spans="27:27">
      <c r="AA2110" t="s">
        <v>5688</v>
      </c>
    </row>
    <row r="2111" spans="27:27">
      <c r="AA2111" t="s">
        <v>5689</v>
      </c>
    </row>
    <row r="2112" spans="27:27">
      <c r="AA2112" t="s">
        <v>5690</v>
      </c>
    </row>
    <row r="2113" spans="27:27">
      <c r="AA2113" t="s">
        <v>5691</v>
      </c>
    </row>
    <row r="2114" spans="27:27">
      <c r="AA2114" t="s">
        <v>5692</v>
      </c>
    </row>
    <row r="2115" spans="27:27">
      <c r="AA2115" t="s">
        <v>1482</v>
      </c>
    </row>
    <row r="2116" spans="27:27">
      <c r="AA2116" t="s">
        <v>3569</v>
      </c>
    </row>
    <row r="2117" spans="27:27">
      <c r="AA2117" t="s">
        <v>1483</v>
      </c>
    </row>
    <row r="2118" spans="27:27">
      <c r="AA2118" t="s">
        <v>5693</v>
      </c>
    </row>
    <row r="2119" spans="27:27">
      <c r="AA2119" t="s">
        <v>5694</v>
      </c>
    </row>
    <row r="2120" spans="27:27">
      <c r="AA2120" t="s">
        <v>5695</v>
      </c>
    </row>
    <row r="2121" spans="27:27">
      <c r="AA2121" t="s">
        <v>5696</v>
      </c>
    </row>
    <row r="2122" spans="27:27">
      <c r="AA2122" t="s">
        <v>5697</v>
      </c>
    </row>
    <row r="2123" spans="27:27">
      <c r="AA2123" t="s">
        <v>5698</v>
      </c>
    </row>
    <row r="2124" spans="27:27">
      <c r="AA2124" t="s">
        <v>5699</v>
      </c>
    </row>
    <row r="2125" spans="27:27">
      <c r="AA2125" t="s">
        <v>1484</v>
      </c>
    </row>
    <row r="2126" spans="27:27">
      <c r="AA2126" t="s">
        <v>3570</v>
      </c>
    </row>
    <row r="2127" spans="27:27">
      <c r="AA2127" t="s">
        <v>1485</v>
      </c>
    </row>
    <row r="2128" spans="27:27">
      <c r="AA2128" t="s">
        <v>5700</v>
      </c>
    </row>
    <row r="2129" spans="27:27">
      <c r="AA2129" t="s">
        <v>5701</v>
      </c>
    </row>
    <row r="2130" spans="27:27">
      <c r="AA2130" t="s">
        <v>5702</v>
      </c>
    </row>
    <row r="2131" spans="27:27">
      <c r="AA2131" t="s">
        <v>5703</v>
      </c>
    </row>
    <row r="2132" spans="27:27">
      <c r="AA2132" t="s">
        <v>5704</v>
      </c>
    </row>
    <row r="2133" spans="27:27">
      <c r="AA2133" t="s">
        <v>5705</v>
      </c>
    </row>
    <row r="2134" spans="27:27">
      <c r="AA2134" t="s">
        <v>5706</v>
      </c>
    </row>
    <row r="2135" spans="27:27">
      <c r="AA2135" t="s">
        <v>5707</v>
      </c>
    </row>
    <row r="2136" spans="27:27">
      <c r="AA2136" t="s">
        <v>5708</v>
      </c>
    </row>
    <row r="2137" spans="27:27">
      <c r="AA2137" t="s">
        <v>5709</v>
      </c>
    </row>
    <row r="2138" spans="27:27">
      <c r="AA2138" t="s">
        <v>1486</v>
      </c>
    </row>
    <row r="2139" spans="27:27">
      <c r="AA2139" t="s">
        <v>5710</v>
      </c>
    </row>
    <row r="2140" spans="27:27">
      <c r="AA2140" t="s">
        <v>5711</v>
      </c>
    </row>
    <row r="2141" spans="27:27">
      <c r="AA2141" t="s">
        <v>5712</v>
      </c>
    </row>
    <row r="2142" spans="27:27">
      <c r="AA2142" t="s">
        <v>5713</v>
      </c>
    </row>
    <row r="2143" spans="27:27">
      <c r="AA2143" t="s">
        <v>5714</v>
      </c>
    </row>
    <row r="2144" spans="27:27">
      <c r="AA2144" t="s">
        <v>5715</v>
      </c>
    </row>
    <row r="2145" spans="27:27">
      <c r="AA2145" t="s">
        <v>5716</v>
      </c>
    </row>
    <row r="2146" spans="27:27">
      <c r="AA2146" t="s">
        <v>5717</v>
      </c>
    </row>
    <row r="2147" spans="27:27">
      <c r="AA2147" t="s">
        <v>5718</v>
      </c>
    </row>
    <row r="2148" spans="27:27">
      <c r="AA2148" t="s">
        <v>5719</v>
      </c>
    </row>
    <row r="2149" spans="27:27">
      <c r="AA2149" t="s">
        <v>5720</v>
      </c>
    </row>
    <row r="2150" spans="27:27">
      <c r="AA2150" t="s">
        <v>5721</v>
      </c>
    </row>
    <row r="2151" spans="27:27">
      <c r="AA2151" t="s">
        <v>5722</v>
      </c>
    </row>
    <row r="2152" spans="27:27">
      <c r="AA2152" t="s">
        <v>5723</v>
      </c>
    </row>
    <row r="2153" spans="27:27">
      <c r="AA2153" t="s">
        <v>3571</v>
      </c>
    </row>
    <row r="2154" spans="27:27">
      <c r="AA2154" t="s">
        <v>5724</v>
      </c>
    </row>
    <row r="2155" spans="27:27">
      <c r="AA2155" t="s">
        <v>5725</v>
      </c>
    </row>
    <row r="2156" spans="27:27">
      <c r="AA2156" t="s">
        <v>5726</v>
      </c>
    </row>
    <row r="2157" spans="27:27">
      <c r="AA2157" t="s">
        <v>5727</v>
      </c>
    </row>
    <row r="2158" spans="27:27">
      <c r="AA2158" t="s">
        <v>5728</v>
      </c>
    </row>
    <row r="2159" spans="27:27">
      <c r="AA2159" t="s">
        <v>1487</v>
      </c>
    </row>
    <row r="2160" spans="27:27">
      <c r="AA2160" t="s">
        <v>3572</v>
      </c>
    </row>
    <row r="2161" spans="27:27">
      <c r="AA2161" t="s">
        <v>154</v>
      </c>
    </row>
    <row r="2162" spans="27:27">
      <c r="AA2162" t="s">
        <v>5729</v>
      </c>
    </row>
    <row r="2163" spans="27:27">
      <c r="AA2163" t="s">
        <v>5730</v>
      </c>
    </row>
    <row r="2164" spans="27:27">
      <c r="AA2164" t="s">
        <v>5731</v>
      </c>
    </row>
    <row r="2165" spans="27:27">
      <c r="AA2165" t="s">
        <v>5732</v>
      </c>
    </row>
    <row r="2166" spans="27:27">
      <c r="AA2166" t="s">
        <v>5733</v>
      </c>
    </row>
    <row r="2167" spans="27:27">
      <c r="AA2167" t="s">
        <v>155</v>
      </c>
    </row>
    <row r="2168" spans="27:27">
      <c r="AA2168" t="s">
        <v>3573</v>
      </c>
    </row>
    <row r="2169" spans="27:27">
      <c r="AA2169" t="s">
        <v>5734</v>
      </c>
    </row>
    <row r="2170" spans="27:27">
      <c r="AA2170" t="s">
        <v>5735</v>
      </c>
    </row>
    <row r="2171" spans="27:27">
      <c r="AA2171" t="s">
        <v>5736</v>
      </c>
    </row>
    <row r="2172" spans="27:27">
      <c r="AA2172" t="s">
        <v>5737</v>
      </c>
    </row>
    <row r="2173" spans="27:27">
      <c r="AA2173" t="s">
        <v>5738</v>
      </c>
    </row>
    <row r="2174" spans="27:27">
      <c r="AA2174" t="s">
        <v>5739</v>
      </c>
    </row>
    <row r="2175" spans="27:27">
      <c r="AA2175" t="s">
        <v>5740</v>
      </c>
    </row>
    <row r="2176" spans="27:27">
      <c r="AA2176" t="s">
        <v>5741</v>
      </c>
    </row>
    <row r="2177" spans="27:27">
      <c r="AA2177" t="s">
        <v>156</v>
      </c>
    </row>
    <row r="2178" spans="27:27">
      <c r="AA2178" t="s">
        <v>5742</v>
      </c>
    </row>
    <row r="2179" spans="27:27">
      <c r="AA2179" t="s">
        <v>5743</v>
      </c>
    </row>
    <row r="2180" spans="27:27">
      <c r="AA2180" t="s">
        <v>5744</v>
      </c>
    </row>
    <row r="2181" spans="27:27">
      <c r="AA2181" t="s">
        <v>5745</v>
      </c>
    </row>
    <row r="2182" spans="27:27">
      <c r="AA2182" t="s">
        <v>5746</v>
      </c>
    </row>
    <row r="2183" spans="27:27">
      <c r="AA2183" t="s">
        <v>5747</v>
      </c>
    </row>
    <row r="2184" spans="27:27">
      <c r="AA2184" t="s">
        <v>5748</v>
      </c>
    </row>
    <row r="2185" spans="27:27">
      <c r="AA2185" t="s">
        <v>5749</v>
      </c>
    </row>
    <row r="2186" spans="27:27">
      <c r="AA2186" t="s">
        <v>157</v>
      </c>
    </row>
    <row r="2187" spans="27:27">
      <c r="AA2187" t="s">
        <v>5750</v>
      </c>
    </row>
    <row r="2188" spans="27:27">
      <c r="AA2188" t="s">
        <v>5751</v>
      </c>
    </row>
    <row r="2189" spans="27:27">
      <c r="AA2189" t="s">
        <v>5752</v>
      </c>
    </row>
    <row r="2190" spans="27:27">
      <c r="AA2190" t="s">
        <v>5753</v>
      </c>
    </row>
    <row r="2191" spans="27:27">
      <c r="AA2191" t="s">
        <v>5754</v>
      </c>
    </row>
    <row r="2192" spans="27:27">
      <c r="AA2192" t="s">
        <v>5755</v>
      </c>
    </row>
    <row r="2193" spans="27:27">
      <c r="AA2193" t="s">
        <v>158</v>
      </c>
    </row>
    <row r="2194" spans="27:27">
      <c r="AA2194" t="s">
        <v>5756</v>
      </c>
    </row>
    <row r="2195" spans="27:27">
      <c r="AA2195" t="s">
        <v>159</v>
      </c>
    </row>
    <row r="2196" spans="27:27">
      <c r="AA2196" t="s">
        <v>160</v>
      </c>
    </row>
    <row r="2197" spans="27:27">
      <c r="AA2197" t="s">
        <v>5757</v>
      </c>
    </row>
    <row r="2198" spans="27:27">
      <c r="AA2198" t="s">
        <v>161</v>
      </c>
    </row>
    <row r="2199" spans="27:27">
      <c r="AA2199" t="s">
        <v>162</v>
      </c>
    </row>
    <row r="2200" spans="27:27">
      <c r="AA2200" t="s">
        <v>5758</v>
      </c>
    </row>
    <row r="2201" spans="27:27">
      <c r="AA2201" t="s">
        <v>3574</v>
      </c>
    </row>
    <row r="2202" spans="27:27">
      <c r="AA2202" t="s">
        <v>5759</v>
      </c>
    </row>
    <row r="2203" spans="27:27">
      <c r="AA2203" t="s">
        <v>5760</v>
      </c>
    </row>
    <row r="2204" spans="27:27">
      <c r="AA2204" t="s">
        <v>163</v>
      </c>
    </row>
    <row r="2205" spans="27:27">
      <c r="AA2205" t="s">
        <v>5761</v>
      </c>
    </row>
    <row r="2206" spans="27:27">
      <c r="AA2206" t="s">
        <v>164</v>
      </c>
    </row>
    <row r="2207" spans="27:27">
      <c r="AA2207" t="s">
        <v>165</v>
      </c>
    </row>
    <row r="2208" spans="27:27">
      <c r="AA2208" t="s">
        <v>5762</v>
      </c>
    </row>
    <row r="2209" spans="27:27">
      <c r="AA2209" t="s">
        <v>5763</v>
      </c>
    </row>
    <row r="2210" spans="27:27">
      <c r="AA2210" t="s">
        <v>5764</v>
      </c>
    </row>
    <row r="2211" spans="27:27">
      <c r="AA2211" t="s">
        <v>5765</v>
      </c>
    </row>
    <row r="2212" spans="27:27">
      <c r="AA2212" t="s">
        <v>5766</v>
      </c>
    </row>
    <row r="2213" spans="27:27">
      <c r="AA2213" t="s">
        <v>1488</v>
      </c>
    </row>
    <row r="2214" spans="27:27">
      <c r="AA2214" t="s">
        <v>5767</v>
      </c>
    </row>
    <row r="2215" spans="27:27">
      <c r="AA2215" t="s">
        <v>5768</v>
      </c>
    </row>
    <row r="2216" spans="27:27">
      <c r="AA2216" t="s">
        <v>5769</v>
      </c>
    </row>
    <row r="2217" spans="27:27">
      <c r="AA2217" t="s">
        <v>5770</v>
      </c>
    </row>
    <row r="2218" spans="27:27">
      <c r="AA2218" t="s">
        <v>5771</v>
      </c>
    </row>
    <row r="2219" spans="27:27">
      <c r="AA2219" t="s">
        <v>5772</v>
      </c>
    </row>
    <row r="2220" spans="27:27">
      <c r="AA2220" t="s">
        <v>5773</v>
      </c>
    </row>
    <row r="2221" spans="27:27">
      <c r="AA2221" t="s">
        <v>5774</v>
      </c>
    </row>
    <row r="2222" spans="27:27">
      <c r="AA2222" t="s">
        <v>166</v>
      </c>
    </row>
    <row r="2223" spans="27:27">
      <c r="AA2223" t="s">
        <v>5775</v>
      </c>
    </row>
    <row r="2224" spans="27:27">
      <c r="AA2224" t="s">
        <v>5776</v>
      </c>
    </row>
    <row r="2225" spans="27:27">
      <c r="AA2225" t="s">
        <v>5777</v>
      </c>
    </row>
    <row r="2226" spans="27:27">
      <c r="AA2226" t="s">
        <v>167</v>
      </c>
    </row>
    <row r="2227" spans="27:27">
      <c r="AA2227" t="s">
        <v>5778</v>
      </c>
    </row>
    <row r="2228" spans="27:27">
      <c r="AA2228" t="s">
        <v>5779</v>
      </c>
    </row>
    <row r="2229" spans="27:27">
      <c r="AA2229" t="s">
        <v>5780</v>
      </c>
    </row>
    <row r="2230" spans="27:27">
      <c r="AA2230" t="s">
        <v>1489</v>
      </c>
    </row>
    <row r="2231" spans="27:27">
      <c r="AA2231" t="s">
        <v>5781</v>
      </c>
    </row>
    <row r="2232" spans="27:27">
      <c r="AA2232" t="s">
        <v>5782</v>
      </c>
    </row>
    <row r="2233" spans="27:27">
      <c r="AA2233" t="s">
        <v>168</v>
      </c>
    </row>
    <row r="2234" spans="27:27">
      <c r="AA2234" t="s">
        <v>5783</v>
      </c>
    </row>
    <row r="2235" spans="27:27">
      <c r="AA2235" t="s">
        <v>5784</v>
      </c>
    </row>
    <row r="2236" spans="27:27">
      <c r="AA2236" t="s">
        <v>5785</v>
      </c>
    </row>
    <row r="2237" spans="27:27">
      <c r="AA2237" t="s">
        <v>169</v>
      </c>
    </row>
    <row r="2238" spans="27:27">
      <c r="AA2238" t="s">
        <v>5786</v>
      </c>
    </row>
    <row r="2239" spans="27:27">
      <c r="AA2239" t="s">
        <v>5787</v>
      </c>
    </row>
    <row r="2240" spans="27:27">
      <c r="AA2240" t="s">
        <v>170</v>
      </c>
    </row>
    <row r="2241" spans="27:27">
      <c r="AA2241" t="s">
        <v>5788</v>
      </c>
    </row>
    <row r="2242" spans="27:27">
      <c r="AA2242" t="s">
        <v>171</v>
      </c>
    </row>
    <row r="2243" spans="27:27">
      <c r="AA2243" t="s">
        <v>5789</v>
      </c>
    </row>
    <row r="2244" spans="27:27">
      <c r="AA2244" t="s">
        <v>1490</v>
      </c>
    </row>
    <row r="2245" spans="27:27">
      <c r="AA2245" t="s">
        <v>5790</v>
      </c>
    </row>
    <row r="2246" spans="27:27">
      <c r="AA2246" t="s">
        <v>5791</v>
      </c>
    </row>
    <row r="2247" spans="27:27">
      <c r="AA2247" t="s">
        <v>172</v>
      </c>
    </row>
    <row r="2248" spans="27:27">
      <c r="AA2248" t="s">
        <v>5792</v>
      </c>
    </row>
    <row r="2249" spans="27:27">
      <c r="AA2249" t="s">
        <v>5793</v>
      </c>
    </row>
    <row r="2250" spans="27:27">
      <c r="AA2250" t="s">
        <v>5794</v>
      </c>
    </row>
    <row r="2251" spans="27:27">
      <c r="AA2251" t="s">
        <v>173</v>
      </c>
    </row>
    <row r="2252" spans="27:27">
      <c r="AA2252" t="s">
        <v>5795</v>
      </c>
    </row>
    <row r="2253" spans="27:27">
      <c r="AA2253" t="s">
        <v>5796</v>
      </c>
    </row>
    <row r="2254" spans="27:27">
      <c r="AA2254" t="s">
        <v>5797</v>
      </c>
    </row>
    <row r="2255" spans="27:27">
      <c r="AA2255" t="s">
        <v>5798</v>
      </c>
    </row>
    <row r="2256" spans="27:27">
      <c r="AA2256" t="s">
        <v>174</v>
      </c>
    </row>
    <row r="2257" spans="27:27">
      <c r="AA2257" t="s">
        <v>5799</v>
      </c>
    </row>
    <row r="2258" spans="27:27">
      <c r="AA2258" t="s">
        <v>5800</v>
      </c>
    </row>
    <row r="2259" spans="27:27">
      <c r="AA2259" t="s">
        <v>175</v>
      </c>
    </row>
    <row r="2260" spans="27:27">
      <c r="AA2260" t="s">
        <v>176</v>
      </c>
    </row>
    <row r="2261" spans="27:27">
      <c r="AA2261" t="s">
        <v>5801</v>
      </c>
    </row>
    <row r="2262" spans="27:27">
      <c r="AA2262" t="s">
        <v>5802</v>
      </c>
    </row>
    <row r="2263" spans="27:27">
      <c r="AA2263" t="s">
        <v>177</v>
      </c>
    </row>
    <row r="2264" spans="27:27">
      <c r="AA2264" t="s">
        <v>5803</v>
      </c>
    </row>
    <row r="2265" spans="27:27">
      <c r="AA2265" t="s">
        <v>178</v>
      </c>
    </row>
    <row r="2266" spans="27:27">
      <c r="AA2266" t="s">
        <v>3575</v>
      </c>
    </row>
    <row r="2267" spans="27:27">
      <c r="AA2267" t="s">
        <v>179</v>
      </c>
    </row>
    <row r="2268" spans="27:27">
      <c r="AA2268" t="s">
        <v>180</v>
      </c>
    </row>
    <row r="2269" spans="27:27">
      <c r="AA2269" t="s">
        <v>3576</v>
      </c>
    </row>
    <row r="2270" spans="27:27">
      <c r="AA2270" t="s">
        <v>181</v>
      </c>
    </row>
    <row r="2271" spans="27:27">
      <c r="AA2271" t="s">
        <v>5804</v>
      </c>
    </row>
    <row r="2272" spans="27:27">
      <c r="AA2272" t="s">
        <v>5805</v>
      </c>
    </row>
    <row r="2273" spans="27:27">
      <c r="AA2273" t="s">
        <v>5806</v>
      </c>
    </row>
    <row r="2274" spans="27:27">
      <c r="AA2274" t="s">
        <v>5807</v>
      </c>
    </row>
    <row r="2275" spans="27:27">
      <c r="AA2275" t="s">
        <v>1491</v>
      </c>
    </row>
    <row r="2276" spans="27:27">
      <c r="AA2276" t="s">
        <v>3577</v>
      </c>
    </row>
    <row r="2277" spans="27:27">
      <c r="AA2277" t="s">
        <v>5808</v>
      </c>
    </row>
    <row r="2278" spans="27:27">
      <c r="AA2278" t="s">
        <v>5809</v>
      </c>
    </row>
    <row r="2279" spans="27:27">
      <c r="AA2279" t="s">
        <v>5810</v>
      </c>
    </row>
    <row r="2280" spans="27:27">
      <c r="AA2280" t="s">
        <v>5811</v>
      </c>
    </row>
    <row r="2281" spans="27:27">
      <c r="AA2281" t="s">
        <v>5812</v>
      </c>
    </row>
    <row r="2282" spans="27:27">
      <c r="AA2282" t="s">
        <v>5813</v>
      </c>
    </row>
    <row r="2283" spans="27:27">
      <c r="AA2283" t="s">
        <v>5814</v>
      </c>
    </row>
    <row r="2284" spans="27:27">
      <c r="AA2284" t="s">
        <v>5815</v>
      </c>
    </row>
    <row r="2285" spans="27:27">
      <c r="AA2285" t="s">
        <v>5816</v>
      </c>
    </row>
    <row r="2286" spans="27:27">
      <c r="AA2286" t="s">
        <v>5817</v>
      </c>
    </row>
    <row r="2287" spans="27:27">
      <c r="AA2287" t="s">
        <v>5818</v>
      </c>
    </row>
    <row r="2288" spans="27:27">
      <c r="AA2288" t="s">
        <v>5819</v>
      </c>
    </row>
    <row r="2289" spans="27:27">
      <c r="AA2289" t="s">
        <v>5820</v>
      </c>
    </row>
    <row r="2290" spans="27:27">
      <c r="AA2290" t="s">
        <v>5821</v>
      </c>
    </row>
    <row r="2291" spans="27:27">
      <c r="AA2291" t="s">
        <v>5822</v>
      </c>
    </row>
    <row r="2292" spans="27:27">
      <c r="AA2292" t="s">
        <v>5823</v>
      </c>
    </row>
    <row r="2293" spans="27:27">
      <c r="AA2293" t="s">
        <v>5824</v>
      </c>
    </row>
    <row r="2294" spans="27:27">
      <c r="AA2294" t="s">
        <v>5825</v>
      </c>
    </row>
    <row r="2295" spans="27:27">
      <c r="AA2295" t="s">
        <v>5826</v>
      </c>
    </row>
    <row r="2296" spans="27:27">
      <c r="AA2296" t="s">
        <v>5827</v>
      </c>
    </row>
    <row r="2297" spans="27:27">
      <c r="AA2297" t="s">
        <v>5828</v>
      </c>
    </row>
    <row r="2298" spans="27:27">
      <c r="AA2298" t="s">
        <v>5829</v>
      </c>
    </row>
    <row r="2299" spans="27:27">
      <c r="AA2299" t="s">
        <v>5830</v>
      </c>
    </row>
    <row r="2300" spans="27:27">
      <c r="AA2300" t="s">
        <v>5831</v>
      </c>
    </row>
    <row r="2301" spans="27:27">
      <c r="AA2301" t="s">
        <v>5832</v>
      </c>
    </row>
    <row r="2302" spans="27:27">
      <c r="AA2302" t="s">
        <v>5833</v>
      </c>
    </row>
    <row r="2303" spans="27:27">
      <c r="AA2303" t="s">
        <v>5834</v>
      </c>
    </row>
    <row r="2304" spans="27:27">
      <c r="AA2304" t="s">
        <v>5835</v>
      </c>
    </row>
    <row r="2305" spans="27:27">
      <c r="AA2305" t="s">
        <v>1492</v>
      </c>
    </row>
    <row r="2306" spans="27:27">
      <c r="AA2306" t="s">
        <v>5836</v>
      </c>
    </row>
    <row r="2307" spans="27:27">
      <c r="AA2307" t="s">
        <v>5837</v>
      </c>
    </row>
    <row r="2308" spans="27:27">
      <c r="AA2308" t="s">
        <v>5838</v>
      </c>
    </row>
    <row r="2309" spans="27:27">
      <c r="AA2309" t="s">
        <v>5839</v>
      </c>
    </row>
    <row r="2310" spans="27:27">
      <c r="AA2310" t="s">
        <v>5840</v>
      </c>
    </row>
    <row r="2311" spans="27:27">
      <c r="AA2311" t="s">
        <v>5841</v>
      </c>
    </row>
    <row r="2312" spans="27:27">
      <c r="AA2312" t="s">
        <v>5842</v>
      </c>
    </row>
    <row r="2313" spans="27:27">
      <c r="AA2313" t="s">
        <v>1493</v>
      </c>
    </row>
    <row r="2314" spans="27:27">
      <c r="AA2314" t="s">
        <v>5843</v>
      </c>
    </row>
    <row r="2315" spans="27:27">
      <c r="AA2315" t="s">
        <v>5844</v>
      </c>
    </row>
    <row r="2316" spans="27:27">
      <c r="AA2316" t="s">
        <v>5845</v>
      </c>
    </row>
    <row r="2317" spans="27:27">
      <c r="AA2317" t="s">
        <v>5846</v>
      </c>
    </row>
    <row r="2318" spans="27:27">
      <c r="AA2318" t="s">
        <v>5847</v>
      </c>
    </row>
    <row r="2319" spans="27:27">
      <c r="AA2319" t="s">
        <v>5848</v>
      </c>
    </row>
    <row r="2320" spans="27:27">
      <c r="AA2320" t="s">
        <v>5849</v>
      </c>
    </row>
    <row r="2321" spans="27:27">
      <c r="AA2321" t="s">
        <v>5850</v>
      </c>
    </row>
    <row r="2322" spans="27:27">
      <c r="AA2322" t="s">
        <v>5851</v>
      </c>
    </row>
    <row r="2323" spans="27:27">
      <c r="AA2323" t="s">
        <v>5852</v>
      </c>
    </row>
    <row r="2324" spans="27:27">
      <c r="AA2324" t="s">
        <v>5853</v>
      </c>
    </row>
    <row r="2325" spans="27:27">
      <c r="AA2325" t="s">
        <v>5854</v>
      </c>
    </row>
    <row r="2326" spans="27:27">
      <c r="AA2326" t="s">
        <v>5855</v>
      </c>
    </row>
    <row r="2327" spans="27:27">
      <c r="AA2327" t="s">
        <v>5856</v>
      </c>
    </row>
    <row r="2328" spans="27:27">
      <c r="AA2328" t="s">
        <v>5857</v>
      </c>
    </row>
    <row r="2329" spans="27:27">
      <c r="AA2329" t="s">
        <v>5858</v>
      </c>
    </row>
    <row r="2330" spans="27:27">
      <c r="AA2330" t="s">
        <v>5859</v>
      </c>
    </row>
    <row r="2331" spans="27:27">
      <c r="AA2331" t="s">
        <v>5860</v>
      </c>
    </row>
    <row r="2332" spans="27:27">
      <c r="AA2332" t="s">
        <v>5861</v>
      </c>
    </row>
    <row r="2333" spans="27:27">
      <c r="AA2333" t="s">
        <v>5862</v>
      </c>
    </row>
    <row r="2334" spans="27:27">
      <c r="AA2334" t="s">
        <v>5863</v>
      </c>
    </row>
    <row r="2335" spans="27:27">
      <c r="AA2335" t="s">
        <v>5864</v>
      </c>
    </row>
    <row r="2336" spans="27:27">
      <c r="AA2336" t="s">
        <v>5865</v>
      </c>
    </row>
    <row r="2337" spans="27:27">
      <c r="AA2337" t="s">
        <v>5866</v>
      </c>
    </row>
    <row r="2338" spans="27:27">
      <c r="AA2338" t="s">
        <v>5867</v>
      </c>
    </row>
    <row r="2339" spans="27:27">
      <c r="AA2339" t="s">
        <v>5868</v>
      </c>
    </row>
    <row r="2340" spans="27:27">
      <c r="AA2340" t="s">
        <v>1494</v>
      </c>
    </row>
    <row r="2341" spans="27:27">
      <c r="AA2341" t="s">
        <v>3578</v>
      </c>
    </row>
    <row r="2342" spans="27:27">
      <c r="AA2342" t="s">
        <v>5869</v>
      </c>
    </row>
    <row r="2343" spans="27:27">
      <c r="AA2343" t="s">
        <v>5870</v>
      </c>
    </row>
    <row r="2344" spans="27:27">
      <c r="AA2344" t="s">
        <v>5871</v>
      </c>
    </row>
    <row r="2345" spans="27:27">
      <c r="AA2345" t="s">
        <v>5872</v>
      </c>
    </row>
    <row r="2346" spans="27:27">
      <c r="AA2346" t="s">
        <v>5873</v>
      </c>
    </row>
    <row r="2347" spans="27:27">
      <c r="AA2347" t="s">
        <v>5874</v>
      </c>
    </row>
    <row r="2348" spans="27:27">
      <c r="AA2348" t="s">
        <v>5875</v>
      </c>
    </row>
    <row r="2349" spans="27:27">
      <c r="AA2349" t="s">
        <v>5876</v>
      </c>
    </row>
    <row r="2350" spans="27:27">
      <c r="AA2350" t="s">
        <v>5877</v>
      </c>
    </row>
    <row r="2351" spans="27:27">
      <c r="AA2351" t="s">
        <v>5878</v>
      </c>
    </row>
    <row r="2352" spans="27:27">
      <c r="AA2352" t="s">
        <v>5879</v>
      </c>
    </row>
    <row r="2353" spans="27:27">
      <c r="AA2353" t="s">
        <v>5880</v>
      </c>
    </row>
    <row r="2354" spans="27:27">
      <c r="AA2354" t="s">
        <v>5881</v>
      </c>
    </row>
    <row r="2355" spans="27:27">
      <c r="AA2355" t="s">
        <v>5882</v>
      </c>
    </row>
    <row r="2356" spans="27:27">
      <c r="AA2356" t="s">
        <v>5883</v>
      </c>
    </row>
    <row r="2357" spans="27:27">
      <c r="AA2357" t="s">
        <v>5884</v>
      </c>
    </row>
    <row r="2358" spans="27:27">
      <c r="AA2358" t="s">
        <v>5885</v>
      </c>
    </row>
    <row r="2359" spans="27:27">
      <c r="AA2359" t="s">
        <v>5886</v>
      </c>
    </row>
    <row r="2360" spans="27:27">
      <c r="AA2360" t="s">
        <v>5887</v>
      </c>
    </row>
    <row r="2361" spans="27:27">
      <c r="AA2361" t="s">
        <v>5888</v>
      </c>
    </row>
    <row r="2362" spans="27:27">
      <c r="AA2362" t="s">
        <v>5889</v>
      </c>
    </row>
    <row r="2363" spans="27:27">
      <c r="AA2363" t="s">
        <v>5890</v>
      </c>
    </row>
    <row r="2364" spans="27:27">
      <c r="AA2364" t="s">
        <v>5891</v>
      </c>
    </row>
    <row r="2365" spans="27:27">
      <c r="AA2365" t="s">
        <v>5892</v>
      </c>
    </row>
    <row r="2366" spans="27:27">
      <c r="AA2366" t="s">
        <v>5893</v>
      </c>
    </row>
    <row r="2367" spans="27:27">
      <c r="AA2367" t="s">
        <v>5894</v>
      </c>
    </row>
    <row r="2368" spans="27:27">
      <c r="AA2368" t="s">
        <v>5895</v>
      </c>
    </row>
    <row r="2369" spans="27:27">
      <c r="AA2369" t="s">
        <v>5896</v>
      </c>
    </row>
    <row r="2370" spans="27:27">
      <c r="AA2370" t="s">
        <v>5897</v>
      </c>
    </row>
    <row r="2371" spans="27:27">
      <c r="AA2371" t="s">
        <v>5898</v>
      </c>
    </row>
    <row r="2372" spans="27:27">
      <c r="AA2372" t="s">
        <v>5899</v>
      </c>
    </row>
    <row r="2373" spans="27:27">
      <c r="AA2373" t="s">
        <v>5900</v>
      </c>
    </row>
    <row r="2374" spans="27:27">
      <c r="AA2374" t="s">
        <v>5901</v>
      </c>
    </row>
    <row r="2375" spans="27:27">
      <c r="AA2375" t="s">
        <v>1495</v>
      </c>
    </row>
    <row r="2376" spans="27:27">
      <c r="AA2376" t="s">
        <v>3579</v>
      </c>
    </row>
    <row r="2377" spans="27:27">
      <c r="AA2377" t="s">
        <v>5902</v>
      </c>
    </row>
    <row r="2378" spans="27:27">
      <c r="AA2378" t="s">
        <v>5903</v>
      </c>
    </row>
    <row r="2379" spans="27:27">
      <c r="AA2379" t="s">
        <v>5904</v>
      </c>
    </row>
    <row r="2380" spans="27:27">
      <c r="AA2380" t="s">
        <v>5905</v>
      </c>
    </row>
    <row r="2381" spans="27:27">
      <c r="AA2381" t="s">
        <v>5906</v>
      </c>
    </row>
    <row r="2382" spans="27:27">
      <c r="AA2382" t="s">
        <v>1496</v>
      </c>
    </row>
    <row r="2383" spans="27:27">
      <c r="AA2383" t="s">
        <v>3580</v>
      </c>
    </row>
    <row r="2384" spans="27:27">
      <c r="AA2384" t="s">
        <v>5907</v>
      </c>
    </row>
    <row r="2385" spans="27:27">
      <c r="AA2385" t="s">
        <v>5908</v>
      </c>
    </row>
    <row r="2386" spans="27:27">
      <c r="AA2386" t="s">
        <v>5909</v>
      </c>
    </row>
    <row r="2387" spans="27:27">
      <c r="AA2387" t="s">
        <v>182</v>
      </c>
    </row>
    <row r="2388" spans="27:27">
      <c r="AA2388" t="s">
        <v>5910</v>
      </c>
    </row>
    <row r="2389" spans="27:27">
      <c r="AA2389" t="s">
        <v>1497</v>
      </c>
    </row>
    <row r="2390" spans="27:27">
      <c r="AA2390" t="s">
        <v>5911</v>
      </c>
    </row>
    <row r="2391" spans="27:27">
      <c r="AA2391" t="s">
        <v>1498</v>
      </c>
    </row>
    <row r="2392" spans="27:27">
      <c r="AA2392" t="s">
        <v>5912</v>
      </c>
    </row>
    <row r="2393" spans="27:27">
      <c r="AA2393" t="s">
        <v>1499</v>
      </c>
    </row>
    <row r="2394" spans="27:27">
      <c r="AA2394" t="s">
        <v>5913</v>
      </c>
    </row>
    <row r="2395" spans="27:27">
      <c r="AA2395" t="s">
        <v>5914</v>
      </c>
    </row>
    <row r="2396" spans="27:27">
      <c r="AA2396" t="s">
        <v>5915</v>
      </c>
    </row>
    <row r="2397" spans="27:27">
      <c r="AA2397" t="s">
        <v>5916</v>
      </c>
    </row>
    <row r="2398" spans="27:27">
      <c r="AA2398" t="s">
        <v>5917</v>
      </c>
    </row>
    <row r="2399" spans="27:27">
      <c r="AA2399" t="s">
        <v>5918</v>
      </c>
    </row>
    <row r="2400" spans="27:27">
      <c r="AA2400" t="s">
        <v>5919</v>
      </c>
    </row>
    <row r="2401" spans="27:27">
      <c r="AA2401" t="s">
        <v>5920</v>
      </c>
    </row>
    <row r="2402" spans="27:27">
      <c r="AA2402" t="s">
        <v>5921</v>
      </c>
    </row>
    <row r="2403" spans="27:27">
      <c r="AA2403" t="s">
        <v>5922</v>
      </c>
    </row>
    <row r="2404" spans="27:27">
      <c r="AA2404" t="s">
        <v>1500</v>
      </c>
    </row>
    <row r="2405" spans="27:27">
      <c r="AA2405" t="s">
        <v>5923</v>
      </c>
    </row>
    <row r="2406" spans="27:27">
      <c r="AA2406" t="s">
        <v>5924</v>
      </c>
    </row>
    <row r="2407" spans="27:27">
      <c r="AA2407" t="s">
        <v>5925</v>
      </c>
    </row>
    <row r="2408" spans="27:27">
      <c r="AA2408" t="s">
        <v>5926</v>
      </c>
    </row>
    <row r="2409" spans="27:27">
      <c r="AA2409" t="s">
        <v>3581</v>
      </c>
    </row>
    <row r="2410" spans="27:27">
      <c r="AA2410" t="s">
        <v>5927</v>
      </c>
    </row>
    <row r="2411" spans="27:27">
      <c r="AA2411" t="s">
        <v>5928</v>
      </c>
    </row>
    <row r="2412" spans="27:27">
      <c r="AA2412" t="s">
        <v>3582</v>
      </c>
    </row>
    <row r="2413" spans="27:27">
      <c r="AA2413" t="s">
        <v>1501</v>
      </c>
    </row>
    <row r="2414" spans="27:27">
      <c r="AA2414" t="s">
        <v>5929</v>
      </c>
    </row>
    <row r="2415" spans="27:27">
      <c r="AA2415" t="s">
        <v>1502</v>
      </c>
    </row>
    <row r="2416" spans="27:27">
      <c r="AA2416" t="s">
        <v>3583</v>
      </c>
    </row>
    <row r="2417" spans="27:27">
      <c r="AA2417" t="s">
        <v>1503</v>
      </c>
    </row>
    <row r="2418" spans="27:27">
      <c r="AA2418" t="s">
        <v>5930</v>
      </c>
    </row>
    <row r="2419" spans="27:27">
      <c r="AA2419" t="s">
        <v>5931</v>
      </c>
    </row>
    <row r="2420" spans="27:27">
      <c r="AA2420" t="s">
        <v>3584</v>
      </c>
    </row>
    <row r="2421" spans="27:27">
      <c r="AA2421" t="s">
        <v>5932</v>
      </c>
    </row>
    <row r="2422" spans="27:27">
      <c r="AA2422" t="s">
        <v>5933</v>
      </c>
    </row>
    <row r="2423" spans="27:27">
      <c r="AA2423" t="s">
        <v>5934</v>
      </c>
    </row>
    <row r="2424" spans="27:27">
      <c r="AA2424" t="s">
        <v>5935</v>
      </c>
    </row>
    <row r="2425" spans="27:27">
      <c r="AA2425" t="s">
        <v>1504</v>
      </c>
    </row>
    <row r="2426" spans="27:27">
      <c r="AA2426" t="s">
        <v>5936</v>
      </c>
    </row>
    <row r="2427" spans="27:27">
      <c r="AA2427" t="s">
        <v>5937</v>
      </c>
    </row>
    <row r="2428" spans="27:27">
      <c r="AA2428" t="s">
        <v>5938</v>
      </c>
    </row>
    <row r="2429" spans="27:27">
      <c r="AA2429" t="s">
        <v>1505</v>
      </c>
    </row>
    <row r="2430" spans="27:27">
      <c r="AA2430" t="s">
        <v>3585</v>
      </c>
    </row>
    <row r="2431" spans="27:27">
      <c r="AA2431" t="s">
        <v>1506</v>
      </c>
    </row>
    <row r="2432" spans="27:27">
      <c r="AA2432" t="s">
        <v>5939</v>
      </c>
    </row>
    <row r="2433" spans="27:27">
      <c r="AA2433" t="s">
        <v>5940</v>
      </c>
    </row>
    <row r="2434" spans="27:27">
      <c r="AA2434" t="s">
        <v>5941</v>
      </c>
    </row>
    <row r="2435" spans="27:27">
      <c r="AA2435" t="s">
        <v>5942</v>
      </c>
    </row>
    <row r="2436" spans="27:27">
      <c r="AA2436" t="s">
        <v>5943</v>
      </c>
    </row>
    <row r="2437" spans="27:27">
      <c r="AA2437" t="s">
        <v>5944</v>
      </c>
    </row>
    <row r="2438" spans="27:27">
      <c r="AA2438" t="s">
        <v>5945</v>
      </c>
    </row>
    <row r="2439" spans="27:27">
      <c r="AA2439" t="s">
        <v>5946</v>
      </c>
    </row>
    <row r="2440" spans="27:27">
      <c r="AA2440" t="s">
        <v>5947</v>
      </c>
    </row>
    <row r="2441" spans="27:27">
      <c r="AA2441" t="s">
        <v>5948</v>
      </c>
    </row>
    <row r="2442" spans="27:27">
      <c r="AA2442" t="s">
        <v>5949</v>
      </c>
    </row>
    <row r="2443" spans="27:27">
      <c r="AA2443" t="s">
        <v>5950</v>
      </c>
    </row>
    <row r="2444" spans="27:27">
      <c r="AA2444" t="s">
        <v>5951</v>
      </c>
    </row>
    <row r="2445" spans="27:27">
      <c r="AA2445" t="s">
        <v>5952</v>
      </c>
    </row>
    <row r="2446" spans="27:27">
      <c r="AA2446" t="s">
        <v>5953</v>
      </c>
    </row>
    <row r="2447" spans="27:27">
      <c r="AA2447" t="s">
        <v>5954</v>
      </c>
    </row>
    <row r="2448" spans="27:27">
      <c r="AA2448" t="s">
        <v>5955</v>
      </c>
    </row>
    <row r="2449" spans="27:27">
      <c r="AA2449" t="s">
        <v>5956</v>
      </c>
    </row>
    <row r="2450" spans="27:27">
      <c r="AA2450" t="s">
        <v>5957</v>
      </c>
    </row>
    <row r="2451" spans="27:27">
      <c r="AA2451" t="s">
        <v>5958</v>
      </c>
    </row>
    <row r="2452" spans="27:27">
      <c r="AA2452" t="s">
        <v>5959</v>
      </c>
    </row>
    <row r="2453" spans="27:27">
      <c r="AA2453" t="s">
        <v>5960</v>
      </c>
    </row>
    <row r="2454" spans="27:27">
      <c r="AA2454" t="s">
        <v>1507</v>
      </c>
    </row>
    <row r="2455" spans="27:27">
      <c r="AA2455" t="s">
        <v>5961</v>
      </c>
    </row>
    <row r="2456" spans="27:27">
      <c r="AA2456" t="s">
        <v>1508</v>
      </c>
    </row>
    <row r="2457" spans="27:27">
      <c r="AA2457" t="s">
        <v>5962</v>
      </c>
    </row>
    <row r="2458" spans="27:27">
      <c r="AA2458" t="s">
        <v>5963</v>
      </c>
    </row>
    <row r="2459" spans="27:27">
      <c r="AA2459" t="s">
        <v>5964</v>
      </c>
    </row>
    <row r="2460" spans="27:27">
      <c r="AA2460" t="s">
        <v>5965</v>
      </c>
    </row>
    <row r="2461" spans="27:27">
      <c r="AA2461" t="s">
        <v>5966</v>
      </c>
    </row>
    <row r="2462" spans="27:27">
      <c r="AA2462" t="s">
        <v>1509</v>
      </c>
    </row>
    <row r="2463" spans="27:27">
      <c r="AA2463" t="s">
        <v>5967</v>
      </c>
    </row>
    <row r="2464" spans="27:27">
      <c r="AA2464" t="s">
        <v>5968</v>
      </c>
    </row>
    <row r="2465" spans="27:27">
      <c r="AA2465" t="s">
        <v>5969</v>
      </c>
    </row>
    <row r="2466" spans="27:27">
      <c r="AA2466" t="s">
        <v>5970</v>
      </c>
    </row>
    <row r="2467" spans="27:27">
      <c r="AA2467" t="s">
        <v>1510</v>
      </c>
    </row>
    <row r="2468" spans="27:27">
      <c r="AA2468" t="s">
        <v>5971</v>
      </c>
    </row>
    <row r="2469" spans="27:27">
      <c r="AA2469" t="s">
        <v>5972</v>
      </c>
    </row>
    <row r="2470" spans="27:27">
      <c r="AA2470" t="s">
        <v>1511</v>
      </c>
    </row>
    <row r="2471" spans="27:27">
      <c r="AA2471" t="s">
        <v>5973</v>
      </c>
    </row>
    <row r="2472" spans="27:27">
      <c r="AA2472" t="s">
        <v>5974</v>
      </c>
    </row>
    <row r="2473" spans="27:27">
      <c r="AA2473" t="s">
        <v>5975</v>
      </c>
    </row>
    <row r="2474" spans="27:27">
      <c r="AA2474" t="s">
        <v>5976</v>
      </c>
    </row>
    <row r="2475" spans="27:27">
      <c r="AA2475" t="s">
        <v>5977</v>
      </c>
    </row>
    <row r="2476" spans="27:27">
      <c r="AA2476" t="s">
        <v>5978</v>
      </c>
    </row>
    <row r="2477" spans="27:27">
      <c r="AA2477" t="s">
        <v>3586</v>
      </c>
    </row>
    <row r="2478" spans="27:27">
      <c r="AA2478" t="s">
        <v>1512</v>
      </c>
    </row>
    <row r="2479" spans="27:27">
      <c r="AA2479" t="s">
        <v>5979</v>
      </c>
    </row>
    <row r="2480" spans="27:27">
      <c r="AA2480" t="s">
        <v>1513</v>
      </c>
    </row>
    <row r="2481" spans="27:27">
      <c r="AA2481" t="s">
        <v>5980</v>
      </c>
    </row>
    <row r="2482" spans="27:27">
      <c r="AA2482" t="s">
        <v>5981</v>
      </c>
    </row>
    <row r="2483" spans="27:27">
      <c r="AA2483" t="s">
        <v>3587</v>
      </c>
    </row>
    <row r="2484" spans="27:27">
      <c r="AA2484" t="s">
        <v>5982</v>
      </c>
    </row>
    <row r="2485" spans="27:27">
      <c r="AA2485" t="s">
        <v>5983</v>
      </c>
    </row>
    <row r="2486" spans="27:27">
      <c r="AA2486" t="s">
        <v>5984</v>
      </c>
    </row>
    <row r="2487" spans="27:27">
      <c r="AA2487" t="s">
        <v>5985</v>
      </c>
    </row>
    <row r="2488" spans="27:27">
      <c r="AA2488" t="s">
        <v>1514</v>
      </c>
    </row>
    <row r="2489" spans="27:27">
      <c r="AA2489" t="s">
        <v>5986</v>
      </c>
    </row>
    <row r="2490" spans="27:27">
      <c r="AA2490" t="s">
        <v>1515</v>
      </c>
    </row>
    <row r="2491" spans="27:27">
      <c r="AA2491" t="s">
        <v>3588</v>
      </c>
    </row>
    <row r="2492" spans="27:27">
      <c r="AA2492" t="s">
        <v>1516</v>
      </c>
    </row>
    <row r="2493" spans="27:27">
      <c r="AA2493" t="s">
        <v>5987</v>
      </c>
    </row>
    <row r="2494" spans="27:27">
      <c r="AA2494" t="s">
        <v>5988</v>
      </c>
    </row>
    <row r="2495" spans="27:27">
      <c r="AA2495" t="s">
        <v>5989</v>
      </c>
    </row>
    <row r="2496" spans="27:27">
      <c r="AA2496" t="s">
        <v>5990</v>
      </c>
    </row>
    <row r="2497" spans="27:27">
      <c r="AA2497" t="s">
        <v>5991</v>
      </c>
    </row>
    <row r="2498" spans="27:27">
      <c r="AA2498" t="s">
        <v>5992</v>
      </c>
    </row>
    <row r="2499" spans="27:27">
      <c r="AA2499" t="s">
        <v>5993</v>
      </c>
    </row>
    <row r="2500" spans="27:27">
      <c r="AA2500" t="s">
        <v>1517</v>
      </c>
    </row>
    <row r="2501" spans="27:27">
      <c r="AA2501" t="s">
        <v>3589</v>
      </c>
    </row>
    <row r="2502" spans="27:27">
      <c r="AA2502" t="s">
        <v>1518</v>
      </c>
    </row>
    <row r="2503" spans="27:27">
      <c r="AA2503" t="s">
        <v>5994</v>
      </c>
    </row>
    <row r="2504" spans="27:27">
      <c r="AA2504" t="s">
        <v>3590</v>
      </c>
    </row>
    <row r="2505" spans="27:27">
      <c r="AA2505" t="s">
        <v>5995</v>
      </c>
    </row>
    <row r="2506" spans="27:27">
      <c r="AA2506" t="s">
        <v>5996</v>
      </c>
    </row>
    <row r="2507" spans="27:27">
      <c r="AA2507" t="s">
        <v>5997</v>
      </c>
    </row>
    <row r="2508" spans="27:27">
      <c r="AA2508" t="s">
        <v>5998</v>
      </c>
    </row>
    <row r="2509" spans="27:27">
      <c r="AA2509" t="s">
        <v>1519</v>
      </c>
    </row>
    <row r="2510" spans="27:27">
      <c r="AA2510" t="s">
        <v>3591</v>
      </c>
    </row>
    <row r="2511" spans="27:27">
      <c r="AA2511" t="s">
        <v>1520</v>
      </c>
    </row>
    <row r="2512" spans="27:27">
      <c r="AA2512" t="s">
        <v>5999</v>
      </c>
    </row>
    <row r="2513" spans="27:27">
      <c r="AA2513" t="s">
        <v>6000</v>
      </c>
    </row>
    <row r="2514" spans="27:27">
      <c r="AA2514" t="s">
        <v>6001</v>
      </c>
    </row>
    <row r="2515" spans="27:27">
      <c r="AA2515" t="s">
        <v>6002</v>
      </c>
    </row>
    <row r="2516" spans="27:27">
      <c r="AA2516" t="s">
        <v>6003</v>
      </c>
    </row>
    <row r="2517" spans="27:27">
      <c r="AA2517" t="s">
        <v>1521</v>
      </c>
    </row>
    <row r="2518" spans="27:27">
      <c r="AA2518" t="s">
        <v>6004</v>
      </c>
    </row>
    <row r="2519" spans="27:27">
      <c r="AA2519" t="s">
        <v>1522</v>
      </c>
    </row>
    <row r="2520" spans="27:27">
      <c r="AA2520" t="s">
        <v>6005</v>
      </c>
    </row>
    <row r="2521" spans="27:27">
      <c r="AA2521" t="s">
        <v>6006</v>
      </c>
    </row>
    <row r="2522" spans="27:27">
      <c r="AA2522" t="s">
        <v>1523</v>
      </c>
    </row>
    <row r="2523" spans="27:27">
      <c r="AA2523" t="s">
        <v>6007</v>
      </c>
    </row>
    <row r="2524" spans="27:27">
      <c r="AA2524" t="s">
        <v>1524</v>
      </c>
    </row>
    <row r="2525" spans="27:27">
      <c r="AA2525" t="s">
        <v>6008</v>
      </c>
    </row>
    <row r="2526" spans="27:27">
      <c r="AA2526" t="s">
        <v>3592</v>
      </c>
    </row>
    <row r="2527" spans="27:27">
      <c r="AA2527" t="s">
        <v>6009</v>
      </c>
    </row>
    <row r="2528" spans="27:27">
      <c r="AA2528" t="s">
        <v>6010</v>
      </c>
    </row>
    <row r="2529" spans="27:27">
      <c r="AA2529" t="s">
        <v>6011</v>
      </c>
    </row>
    <row r="2530" spans="27:27">
      <c r="AA2530" t="s">
        <v>1525</v>
      </c>
    </row>
    <row r="2531" spans="27:27">
      <c r="AA2531" t="s">
        <v>1526</v>
      </c>
    </row>
    <row r="2532" spans="27:27">
      <c r="AA2532" t="s">
        <v>1527</v>
      </c>
    </row>
    <row r="2533" spans="27:27">
      <c r="AA2533" t="s">
        <v>6012</v>
      </c>
    </row>
    <row r="2534" spans="27:27">
      <c r="AA2534" t="s">
        <v>6013</v>
      </c>
    </row>
    <row r="2535" spans="27:27">
      <c r="AA2535" t="s">
        <v>6014</v>
      </c>
    </row>
    <row r="2536" spans="27:27">
      <c r="AA2536" t="s">
        <v>6015</v>
      </c>
    </row>
    <row r="2537" spans="27:27">
      <c r="AA2537" t="s">
        <v>6016</v>
      </c>
    </row>
    <row r="2538" spans="27:27">
      <c r="AA2538" t="s">
        <v>6017</v>
      </c>
    </row>
    <row r="2539" spans="27:27">
      <c r="AA2539" t="s">
        <v>6018</v>
      </c>
    </row>
    <row r="2540" spans="27:27">
      <c r="AA2540" t="s">
        <v>6019</v>
      </c>
    </row>
    <row r="2541" spans="27:27">
      <c r="AA2541" t="s">
        <v>6020</v>
      </c>
    </row>
    <row r="2542" spans="27:27">
      <c r="AA2542" t="s">
        <v>6021</v>
      </c>
    </row>
    <row r="2543" spans="27:27">
      <c r="AA2543" t="s">
        <v>1528</v>
      </c>
    </row>
    <row r="2544" spans="27:27">
      <c r="AA2544" t="s">
        <v>1529</v>
      </c>
    </row>
    <row r="2545" spans="27:27">
      <c r="AA2545" t="s">
        <v>6022</v>
      </c>
    </row>
    <row r="2546" spans="27:27">
      <c r="AA2546" t="s">
        <v>6023</v>
      </c>
    </row>
    <row r="2547" spans="27:27">
      <c r="AA2547" t="s">
        <v>6024</v>
      </c>
    </row>
    <row r="2548" spans="27:27">
      <c r="AA2548" t="s">
        <v>6025</v>
      </c>
    </row>
    <row r="2549" spans="27:27">
      <c r="AA2549" t="s">
        <v>6026</v>
      </c>
    </row>
    <row r="2550" spans="27:27">
      <c r="AA2550" t="s">
        <v>6027</v>
      </c>
    </row>
    <row r="2551" spans="27:27">
      <c r="AA2551" t="s">
        <v>6028</v>
      </c>
    </row>
    <row r="2552" spans="27:27">
      <c r="AA2552" t="s">
        <v>1530</v>
      </c>
    </row>
    <row r="2553" spans="27:27">
      <c r="AA2553" t="s">
        <v>3593</v>
      </c>
    </row>
    <row r="2554" spans="27:27">
      <c r="AA2554" t="s">
        <v>1531</v>
      </c>
    </row>
    <row r="2555" spans="27:27">
      <c r="AA2555" t="s">
        <v>6029</v>
      </c>
    </row>
    <row r="2556" spans="27:27">
      <c r="AA2556" t="s">
        <v>6030</v>
      </c>
    </row>
    <row r="2557" spans="27:27">
      <c r="AA2557" t="s">
        <v>6031</v>
      </c>
    </row>
    <row r="2558" spans="27:27">
      <c r="AA2558" t="s">
        <v>6032</v>
      </c>
    </row>
    <row r="2559" spans="27:27">
      <c r="AA2559" t="s">
        <v>6033</v>
      </c>
    </row>
    <row r="2560" spans="27:27">
      <c r="AA2560" t="s">
        <v>6034</v>
      </c>
    </row>
    <row r="2561" spans="27:27">
      <c r="AA2561" t="s">
        <v>6035</v>
      </c>
    </row>
    <row r="2562" spans="27:27">
      <c r="AA2562" t="s">
        <v>6036</v>
      </c>
    </row>
    <row r="2563" spans="27:27">
      <c r="AA2563" t="s">
        <v>6037</v>
      </c>
    </row>
    <row r="2564" spans="27:27">
      <c r="AA2564" t="s">
        <v>6038</v>
      </c>
    </row>
    <row r="2565" spans="27:27">
      <c r="AA2565" t="s">
        <v>6039</v>
      </c>
    </row>
    <row r="2566" spans="27:27">
      <c r="AA2566" t="s">
        <v>6040</v>
      </c>
    </row>
    <row r="2567" spans="27:27">
      <c r="AA2567" t="s">
        <v>6041</v>
      </c>
    </row>
    <row r="2568" spans="27:27">
      <c r="AA2568" t="s">
        <v>6042</v>
      </c>
    </row>
    <row r="2569" spans="27:27">
      <c r="AA2569" t="s">
        <v>1532</v>
      </c>
    </row>
    <row r="2570" spans="27:27">
      <c r="AA2570" t="s">
        <v>1533</v>
      </c>
    </row>
    <row r="2571" spans="27:27">
      <c r="AA2571" t="s">
        <v>1534</v>
      </c>
    </row>
    <row r="2572" spans="27:27">
      <c r="AA2572" t="s">
        <v>6043</v>
      </c>
    </row>
    <row r="2573" spans="27:27">
      <c r="AA2573" t="s">
        <v>6044</v>
      </c>
    </row>
    <row r="2574" spans="27:27">
      <c r="AA2574" t="s">
        <v>6045</v>
      </c>
    </row>
    <row r="2575" spans="27:27">
      <c r="AA2575" t="s">
        <v>6046</v>
      </c>
    </row>
    <row r="2576" spans="27:27">
      <c r="AA2576" t="s">
        <v>6047</v>
      </c>
    </row>
    <row r="2577" spans="27:27">
      <c r="AA2577" t="s">
        <v>1535</v>
      </c>
    </row>
    <row r="2578" spans="27:27">
      <c r="AA2578" t="s">
        <v>6048</v>
      </c>
    </row>
    <row r="2579" spans="27:27">
      <c r="AA2579" t="s">
        <v>6049</v>
      </c>
    </row>
    <row r="2580" spans="27:27">
      <c r="AA2580" t="s">
        <v>1536</v>
      </c>
    </row>
    <row r="2581" spans="27:27">
      <c r="AA2581" t="s">
        <v>1537</v>
      </c>
    </row>
    <row r="2582" spans="27:27">
      <c r="AA2582" t="s">
        <v>6050</v>
      </c>
    </row>
    <row r="2583" spans="27:27">
      <c r="AA2583" t="s">
        <v>1538</v>
      </c>
    </row>
    <row r="2584" spans="27:27">
      <c r="AA2584" t="s">
        <v>1539</v>
      </c>
    </row>
    <row r="2585" spans="27:27">
      <c r="AA2585" t="s">
        <v>1540</v>
      </c>
    </row>
    <row r="2586" spans="27:27">
      <c r="AA2586" t="s">
        <v>6051</v>
      </c>
    </row>
    <row r="2587" spans="27:27">
      <c r="AA2587" t="s">
        <v>1541</v>
      </c>
    </row>
    <row r="2588" spans="27:27">
      <c r="AA2588" t="s">
        <v>1542</v>
      </c>
    </row>
    <row r="2589" spans="27:27">
      <c r="AA2589" t="s">
        <v>1543</v>
      </c>
    </row>
    <row r="2590" spans="27:27">
      <c r="AA2590" t="s">
        <v>6052</v>
      </c>
    </row>
    <row r="2591" spans="27:27">
      <c r="AA2591" t="s">
        <v>6053</v>
      </c>
    </row>
    <row r="2592" spans="27:27">
      <c r="AA2592" t="s">
        <v>6054</v>
      </c>
    </row>
    <row r="2593" spans="27:27">
      <c r="AA2593" t="s">
        <v>6055</v>
      </c>
    </row>
    <row r="2594" spans="27:27">
      <c r="AA2594" t="s">
        <v>6056</v>
      </c>
    </row>
    <row r="2595" spans="27:27">
      <c r="AA2595" t="s">
        <v>6057</v>
      </c>
    </row>
    <row r="2596" spans="27:27">
      <c r="AA2596" t="s">
        <v>6058</v>
      </c>
    </row>
    <row r="2597" spans="27:27">
      <c r="AA2597" t="s">
        <v>6059</v>
      </c>
    </row>
    <row r="2598" spans="27:27">
      <c r="AA2598" t="s">
        <v>6060</v>
      </c>
    </row>
    <row r="2599" spans="27:27">
      <c r="AA2599" t="s">
        <v>6061</v>
      </c>
    </row>
    <row r="2600" spans="27:27">
      <c r="AA2600" t="s">
        <v>6062</v>
      </c>
    </row>
    <row r="2601" spans="27:27">
      <c r="AA2601" t="s">
        <v>6063</v>
      </c>
    </row>
    <row r="2602" spans="27:27">
      <c r="AA2602" t="s">
        <v>6064</v>
      </c>
    </row>
    <row r="2603" spans="27:27">
      <c r="AA2603" t="s">
        <v>6065</v>
      </c>
    </row>
    <row r="2604" spans="27:27">
      <c r="AA2604" t="s">
        <v>6066</v>
      </c>
    </row>
    <row r="2605" spans="27:27">
      <c r="AA2605" t="s">
        <v>6067</v>
      </c>
    </row>
    <row r="2606" spans="27:27">
      <c r="AA2606" t="s">
        <v>6068</v>
      </c>
    </row>
    <row r="2607" spans="27:27">
      <c r="AA2607" t="s">
        <v>1544</v>
      </c>
    </row>
    <row r="2608" spans="27:27">
      <c r="AA2608" t="s">
        <v>6069</v>
      </c>
    </row>
    <row r="2609" spans="27:27">
      <c r="AA2609" t="s">
        <v>6070</v>
      </c>
    </row>
    <row r="2610" spans="27:27">
      <c r="AA2610" t="s">
        <v>6071</v>
      </c>
    </row>
    <row r="2611" spans="27:27">
      <c r="AA2611" t="s">
        <v>1545</v>
      </c>
    </row>
    <row r="2612" spans="27:27">
      <c r="AA2612" t="s">
        <v>6072</v>
      </c>
    </row>
    <row r="2613" spans="27:27">
      <c r="AA2613" t="s">
        <v>6073</v>
      </c>
    </row>
    <row r="2614" spans="27:27">
      <c r="AA2614" t="s">
        <v>1546</v>
      </c>
    </row>
    <row r="2615" spans="27:27">
      <c r="AA2615" t="s">
        <v>6074</v>
      </c>
    </row>
    <row r="2616" spans="27:27">
      <c r="AA2616" t="s">
        <v>6075</v>
      </c>
    </row>
    <row r="2617" spans="27:27">
      <c r="AA2617" t="s">
        <v>6076</v>
      </c>
    </row>
    <row r="2618" spans="27:27">
      <c r="AA2618" t="s">
        <v>6077</v>
      </c>
    </row>
    <row r="2619" spans="27:27">
      <c r="AA2619" t="s">
        <v>6078</v>
      </c>
    </row>
    <row r="2620" spans="27:27">
      <c r="AA2620" t="s">
        <v>6079</v>
      </c>
    </row>
    <row r="2621" spans="27:27">
      <c r="AA2621" t="s">
        <v>6080</v>
      </c>
    </row>
    <row r="2622" spans="27:27">
      <c r="AA2622" t="s">
        <v>3594</v>
      </c>
    </row>
    <row r="2623" spans="27:27">
      <c r="AA2623" t="s">
        <v>6081</v>
      </c>
    </row>
    <row r="2624" spans="27:27">
      <c r="AA2624" t="s">
        <v>6082</v>
      </c>
    </row>
    <row r="2625" spans="27:27">
      <c r="AA2625" t="s">
        <v>6083</v>
      </c>
    </row>
    <row r="2626" spans="27:27">
      <c r="AA2626" t="s">
        <v>6084</v>
      </c>
    </row>
    <row r="2627" spans="27:27">
      <c r="AA2627" t="s">
        <v>6085</v>
      </c>
    </row>
    <row r="2628" spans="27:27">
      <c r="AA2628" t="s">
        <v>6086</v>
      </c>
    </row>
    <row r="2629" spans="27:27">
      <c r="AA2629" t="s">
        <v>6087</v>
      </c>
    </row>
    <row r="2630" spans="27:27">
      <c r="AA2630" t="s">
        <v>6088</v>
      </c>
    </row>
    <row r="2631" spans="27:27">
      <c r="AA2631" t="s">
        <v>6089</v>
      </c>
    </row>
    <row r="2632" spans="27:27">
      <c r="AA2632" t="s">
        <v>6090</v>
      </c>
    </row>
    <row r="2633" spans="27:27">
      <c r="AA2633" t="s">
        <v>1547</v>
      </c>
    </row>
    <row r="2634" spans="27:27">
      <c r="AA2634" t="s">
        <v>1548</v>
      </c>
    </row>
    <row r="2635" spans="27:27">
      <c r="AA2635" t="s">
        <v>3595</v>
      </c>
    </row>
    <row r="2636" spans="27:27">
      <c r="AA2636" t="s">
        <v>6091</v>
      </c>
    </row>
    <row r="2637" spans="27:27">
      <c r="AA2637" t="s">
        <v>6092</v>
      </c>
    </row>
    <row r="2638" spans="27:27">
      <c r="AA2638" t="s">
        <v>1549</v>
      </c>
    </row>
    <row r="2639" spans="27:27">
      <c r="AA2639" t="s">
        <v>6093</v>
      </c>
    </row>
    <row r="2640" spans="27:27">
      <c r="AA2640" t="s">
        <v>1550</v>
      </c>
    </row>
    <row r="2641" spans="27:27">
      <c r="AA2641" t="s">
        <v>3596</v>
      </c>
    </row>
    <row r="2642" spans="27:27">
      <c r="AA2642" t="s">
        <v>1551</v>
      </c>
    </row>
    <row r="2643" spans="27:27">
      <c r="AA2643" t="s">
        <v>6094</v>
      </c>
    </row>
    <row r="2644" spans="27:27">
      <c r="AA2644" t="s">
        <v>6095</v>
      </c>
    </row>
    <row r="2645" spans="27:27">
      <c r="AA2645" t="s">
        <v>6096</v>
      </c>
    </row>
    <row r="2646" spans="27:27">
      <c r="AA2646" t="s">
        <v>6097</v>
      </c>
    </row>
    <row r="2647" spans="27:27">
      <c r="AA2647" t="s">
        <v>6098</v>
      </c>
    </row>
    <row r="2648" spans="27:27">
      <c r="AA2648" t="s">
        <v>6099</v>
      </c>
    </row>
    <row r="2649" spans="27:27">
      <c r="AA2649" t="s">
        <v>6100</v>
      </c>
    </row>
    <row r="2650" spans="27:27">
      <c r="AA2650" t="s">
        <v>6101</v>
      </c>
    </row>
    <row r="2651" spans="27:27">
      <c r="AA2651" t="s">
        <v>6102</v>
      </c>
    </row>
    <row r="2652" spans="27:27">
      <c r="AA2652" t="s">
        <v>6103</v>
      </c>
    </row>
    <row r="2653" spans="27:27">
      <c r="AA2653" t="s">
        <v>6104</v>
      </c>
    </row>
    <row r="2654" spans="27:27">
      <c r="AA2654" t="s">
        <v>6105</v>
      </c>
    </row>
    <row r="2655" spans="27:27">
      <c r="AA2655" t="s">
        <v>6106</v>
      </c>
    </row>
    <row r="2656" spans="27:27">
      <c r="AA2656" t="s">
        <v>6107</v>
      </c>
    </row>
    <row r="2657" spans="27:27">
      <c r="AA2657" t="s">
        <v>6108</v>
      </c>
    </row>
    <row r="2658" spans="27:27">
      <c r="AA2658" t="s">
        <v>6109</v>
      </c>
    </row>
    <row r="2659" spans="27:27">
      <c r="AA2659" t="s">
        <v>6110</v>
      </c>
    </row>
    <row r="2660" spans="27:27">
      <c r="AA2660" t="s">
        <v>6111</v>
      </c>
    </row>
    <row r="2661" spans="27:27">
      <c r="AA2661" t="s">
        <v>1552</v>
      </c>
    </row>
    <row r="2662" spans="27:27">
      <c r="AA2662" t="s">
        <v>6112</v>
      </c>
    </row>
    <row r="2663" spans="27:27">
      <c r="AA2663" t="s">
        <v>6113</v>
      </c>
    </row>
    <row r="2664" spans="27:27">
      <c r="AA2664" t="s">
        <v>6114</v>
      </c>
    </row>
    <row r="2665" spans="27:27">
      <c r="AA2665" t="s">
        <v>6115</v>
      </c>
    </row>
    <row r="2666" spans="27:27">
      <c r="AA2666" t="s">
        <v>6116</v>
      </c>
    </row>
    <row r="2667" spans="27:27">
      <c r="AA2667" t="s">
        <v>6117</v>
      </c>
    </row>
    <row r="2668" spans="27:27">
      <c r="AA2668" t="s">
        <v>6118</v>
      </c>
    </row>
    <row r="2669" spans="27:27">
      <c r="AA2669" t="s">
        <v>6119</v>
      </c>
    </row>
    <row r="2670" spans="27:27">
      <c r="AA2670" t="s">
        <v>6120</v>
      </c>
    </row>
    <row r="2671" spans="27:27">
      <c r="AA2671" t="s">
        <v>6121</v>
      </c>
    </row>
    <row r="2672" spans="27:27">
      <c r="AA2672" t="s">
        <v>6122</v>
      </c>
    </row>
    <row r="2673" spans="27:27">
      <c r="AA2673" t="s">
        <v>6123</v>
      </c>
    </row>
    <row r="2674" spans="27:27">
      <c r="AA2674" t="s">
        <v>6124</v>
      </c>
    </row>
    <row r="2675" spans="27:27">
      <c r="AA2675" t="s">
        <v>6125</v>
      </c>
    </row>
    <row r="2676" spans="27:27">
      <c r="AA2676" t="s">
        <v>1553</v>
      </c>
    </row>
    <row r="2677" spans="27:27">
      <c r="AA2677" t="s">
        <v>3597</v>
      </c>
    </row>
    <row r="2678" spans="27:27">
      <c r="AA2678" t="s">
        <v>1554</v>
      </c>
    </row>
    <row r="2679" spans="27:27">
      <c r="AA2679" t="s">
        <v>6126</v>
      </c>
    </row>
    <row r="2680" spans="27:27">
      <c r="AA2680" t="s">
        <v>6127</v>
      </c>
    </row>
    <row r="2681" spans="27:27">
      <c r="AA2681" t="s">
        <v>1555</v>
      </c>
    </row>
    <row r="2682" spans="27:27">
      <c r="AA2682" t="s">
        <v>1556</v>
      </c>
    </row>
    <row r="2683" spans="27:27">
      <c r="AA2683" t="s">
        <v>3598</v>
      </c>
    </row>
    <row r="2684" spans="27:27">
      <c r="AA2684" t="s">
        <v>6128</v>
      </c>
    </row>
    <row r="2685" spans="27:27">
      <c r="AA2685" t="s">
        <v>6129</v>
      </c>
    </row>
    <row r="2686" spans="27:27">
      <c r="AA2686" t="s">
        <v>6130</v>
      </c>
    </row>
    <row r="2687" spans="27:27">
      <c r="AA2687" t="s">
        <v>6131</v>
      </c>
    </row>
    <row r="2688" spans="27:27">
      <c r="AA2688" t="s">
        <v>1557</v>
      </c>
    </row>
    <row r="2689" spans="27:27">
      <c r="AA2689" t="s">
        <v>1558</v>
      </c>
    </row>
    <row r="2690" spans="27:27">
      <c r="AA2690" t="s">
        <v>3599</v>
      </c>
    </row>
    <row r="2691" spans="27:27">
      <c r="AA2691" t="s">
        <v>1559</v>
      </c>
    </row>
    <row r="2692" spans="27:27">
      <c r="AA2692" t="s">
        <v>6132</v>
      </c>
    </row>
    <row r="2693" spans="27:27">
      <c r="AA2693" t="s">
        <v>6133</v>
      </c>
    </row>
    <row r="2694" spans="27:27">
      <c r="AA2694" t="s">
        <v>6134</v>
      </c>
    </row>
    <row r="2695" spans="27:27">
      <c r="AA2695" t="s">
        <v>6135</v>
      </c>
    </row>
    <row r="2696" spans="27:27">
      <c r="AA2696" t="s">
        <v>6136</v>
      </c>
    </row>
    <row r="2697" spans="27:27">
      <c r="AA2697" t="s">
        <v>6137</v>
      </c>
    </row>
    <row r="2698" spans="27:27">
      <c r="AA2698" t="s">
        <v>6138</v>
      </c>
    </row>
    <row r="2699" spans="27:27">
      <c r="AA2699" t="s">
        <v>6139</v>
      </c>
    </row>
    <row r="2700" spans="27:27">
      <c r="AA2700" t="s">
        <v>6140</v>
      </c>
    </row>
    <row r="2701" spans="27:27">
      <c r="AA2701" t="s">
        <v>6141</v>
      </c>
    </row>
    <row r="2702" spans="27:27">
      <c r="AA2702" t="s">
        <v>6142</v>
      </c>
    </row>
    <row r="2703" spans="27:27">
      <c r="AA2703" t="s">
        <v>6143</v>
      </c>
    </row>
    <row r="2704" spans="27:27">
      <c r="AA2704" t="s">
        <v>1560</v>
      </c>
    </row>
    <row r="2705" spans="27:27">
      <c r="AA2705" t="s">
        <v>6144</v>
      </c>
    </row>
    <row r="2706" spans="27:27">
      <c r="AA2706" t="s">
        <v>6145</v>
      </c>
    </row>
    <row r="2707" spans="27:27">
      <c r="AA2707" t="s">
        <v>6146</v>
      </c>
    </row>
    <row r="2708" spans="27:27">
      <c r="AA2708" t="s">
        <v>6147</v>
      </c>
    </row>
    <row r="2709" spans="27:27">
      <c r="AA2709" t="s">
        <v>6148</v>
      </c>
    </row>
    <row r="2710" spans="27:27">
      <c r="AA2710" t="s">
        <v>6149</v>
      </c>
    </row>
    <row r="2711" spans="27:27">
      <c r="AA2711" t="s">
        <v>6150</v>
      </c>
    </row>
    <row r="2712" spans="27:27">
      <c r="AA2712" t="s">
        <v>6151</v>
      </c>
    </row>
    <row r="2713" spans="27:27">
      <c r="AA2713" t="s">
        <v>6152</v>
      </c>
    </row>
    <row r="2714" spans="27:27">
      <c r="AA2714" t="s">
        <v>6153</v>
      </c>
    </row>
    <row r="2715" spans="27:27">
      <c r="AA2715" t="s">
        <v>6154</v>
      </c>
    </row>
    <row r="2716" spans="27:27">
      <c r="AA2716" t="s">
        <v>6155</v>
      </c>
    </row>
    <row r="2717" spans="27:27">
      <c r="AA2717" t="s">
        <v>1561</v>
      </c>
    </row>
    <row r="2718" spans="27:27">
      <c r="AA2718" t="s">
        <v>3600</v>
      </c>
    </row>
    <row r="2719" spans="27:27">
      <c r="AA2719" t="s">
        <v>1562</v>
      </c>
    </row>
    <row r="2720" spans="27:27">
      <c r="AA2720" t="s">
        <v>6156</v>
      </c>
    </row>
    <row r="2721" spans="27:27">
      <c r="AA2721" t="s">
        <v>6157</v>
      </c>
    </row>
    <row r="2722" spans="27:27">
      <c r="AA2722" t="s">
        <v>1563</v>
      </c>
    </row>
    <row r="2723" spans="27:27">
      <c r="AA2723" t="s">
        <v>6158</v>
      </c>
    </row>
    <row r="2724" spans="27:27">
      <c r="AA2724" t="s">
        <v>6159</v>
      </c>
    </row>
    <row r="2725" spans="27:27">
      <c r="AA2725" t="s">
        <v>6160</v>
      </c>
    </row>
    <row r="2726" spans="27:27">
      <c r="AA2726" t="s">
        <v>1564</v>
      </c>
    </row>
    <row r="2727" spans="27:27">
      <c r="AA2727" t="s">
        <v>3601</v>
      </c>
    </row>
    <row r="2728" spans="27:27">
      <c r="AA2728" t="s">
        <v>1565</v>
      </c>
    </row>
    <row r="2729" spans="27:27">
      <c r="AA2729" t="s">
        <v>3602</v>
      </c>
    </row>
    <row r="2730" spans="27:27">
      <c r="AA2730" t="s">
        <v>6161</v>
      </c>
    </row>
    <row r="2731" spans="27:27">
      <c r="AA2731" t="s">
        <v>6162</v>
      </c>
    </row>
    <row r="2732" spans="27:27">
      <c r="AA2732" t="s">
        <v>6163</v>
      </c>
    </row>
    <row r="2733" spans="27:27">
      <c r="AA2733" t="s">
        <v>6164</v>
      </c>
    </row>
    <row r="2734" spans="27:27">
      <c r="AA2734" t="s">
        <v>6165</v>
      </c>
    </row>
    <row r="2735" spans="27:27">
      <c r="AA2735" t="s">
        <v>6166</v>
      </c>
    </row>
    <row r="2736" spans="27:27">
      <c r="AA2736" t="s">
        <v>6167</v>
      </c>
    </row>
    <row r="2737" spans="27:27">
      <c r="AA2737" t="s">
        <v>6168</v>
      </c>
    </row>
    <row r="2738" spans="27:27">
      <c r="AA2738" t="s">
        <v>6169</v>
      </c>
    </row>
    <row r="2739" spans="27:27">
      <c r="AA2739" t="s">
        <v>6170</v>
      </c>
    </row>
    <row r="2740" spans="27:27">
      <c r="AA2740" t="s">
        <v>6171</v>
      </c>
    </row>
    <row r="2741" spans="27:27">
      <c r="AA2741" t="s">
        <v>6172</v>
      </c>
    </row>
    <row r="2742" spans="27:27">
      <c r="AA2742" t="s">
        <v>1566</v>
      </c>
    </row>
    <row r="2743" spans="27:27">
      <c r="AA2743" t="s">
        <v>6173</v>
      </c>
    </row>
    <row r="2744" spans="27:27">
      <c r="AA2744" t="s">
        <v>6174</v>
      </c>
    </row>
    <row r="2745" spans="27:27">
      <c r="AA2745" t="s">
        <v>6175</v>
      </c>
    </row>
    <row r="2746" spans="27:27">
      <c r="AA2746" t="s">
        <v>1567</v>
      </c>
    </row>
    <row r="2747" spans="27:27">
      <c r="AA2747" t="s">
        <v>6176</v>
      </c>
    </row>
    <row r="2748" spans="27:27">
      <c r="AA2748" t="s">
        <v>1568</v>
      </c>
    </row>
    <row r="2749" spans="27:27">
      <c r="AA2749" t="s">
        <v>3603</v>
      </c>
    </row>
    <row r="2750" spans="27:27">
      <c r="AA2750" t="s">
        <v>6177</v>
      </c>
    </row>
    <row r="2751" spans="27:27">
      <c r="AA2751" t="s">
        <v>6178</v>
      </c>
    </row>
    <row r="2752" spans="27:27">
      <c r="AA2752" t="s">
        <v>6179</v>
      </c>
    </row>
    <row r="2753" spans="27:27">
      <c r="AA2753" t="s">
        <v>6180</v>
      </c>
    </row>
    <row r="2754" spans="27:27">
      <c r="AA2754" t="s">
        <v>6181</v>
      </c>
    </row>
    <row r="2755" spans="27:27">
      <c r="AA2755" t="s">
        <v>6182</v>
      </c>
    </row>
    <row r="2756" spans="27:27">
      <c r="AA2756" t="s">
        <v>6183</v>
      </c>
    </row>
    <row r="2757" spans="27:27">
      <c r="AA2757" t="s">
        <v>1569</v>
      </c>
    </row>
    <row r="2758" spans="27:27">
      <c r="AA2758" t="s">
        <v>6184</v>
      </c>
    </row>
    <row r="2759" spans="27:27">
      <c r="AA2759" t="s">
        <v>6185</v>
      </c>
    </row>
    <row r="2760" spans="27:27">
      <c r="AA2760" t="s">
        <v>6186</v>
      </c>
    </row>
    <row r="2761" spans="27:27">
      <c r="AA2761" t="s">
        <v>6187</v>
      </c>
    </row>
    <row r="2762" spans="27:27">
      <c r="AA2762" t="s">
        <v>6188</v>
      </c>
    </row>
    <row r="2763" spans="27:27">
      <c r="AA2763" t="s">
        <v>6189</v>
      </c>
    </row>
    <row r="2764" spans="27:27">
      <c r="AA2764" t="s">
        <v>6190</v>
      </c>
    </row>
    <row r="2765" spans="27:27">
      <c r="AA2765" t="s">
        <v>6191</v>
      </c>
    </row>
    <row r="2766" spans="27:27">
      <c r="AA2766" t="s">
        <v>6192</v>
      </c>
    </row>
    <row r="2767" spans="27:27">
      <c r="AA2767" t="s">
        <v>6193</v>
      </c>
    </row>
    <row r="2768" spans="27:27">
      <c r="AA2768" t="s">
        <v>6194</v>
      </c>
    </row>
    <row r="2769" spans="27:27">
      <c r="AA2769" t="s">
        <v>1570</v>
      </c>
    </row>
    <row r="2770" spans="27:27">
      <c r="AA2770" t="s">
        <v>6195</v>
      </c>
    </row>
    <row r="2771" spans="27:27">
      <c r="AA2771" t="s">
        <v>6196</v>
      </c>
    </row>
    <row r="2772" spans="27:27">
      <c r="AA2772" t="s">
        <v>6197</v>
      </c>
    </row>
    <row r="2773" spans="27:27">
      <c r="AA2773" t="s">
        <v>6198</v>
      </c>
    </row>
    <row r="2774" spans="27:27">
      <c r="AA2774" t="s">
        <v>6199</v>
      </c>
    </row>
    <row r="2775" spans="27:27">
      <c r="AA2775" t="s">
        <v>6200</v>
      </c>
    </row>
    <row r="2776" spans="27:27">
      <c r="AA2776" t="s">
        <v>6201</v>
      </c>
    </row>
    <row r="2777" spans="27:27">
      <c r="AA2777" t="s">
        <v>1571</v>
      </c>
    </row>
    <row r="2778" spans="27:27">
      <c r="AA2778" t="s">
        <v>6202</v>
      </c>
    </row>
    <row r="2779" spans="27:27">
      <c r="AA2779" t="s">
        <v>1572</v>
      </c>
    </row>
    <row r="2780" spans="27:27">
      <c r="AA2780" t="s">
        <v>3604</v>
      </c>
    </row>
    <row r="2781" spans="27:27">
      <c r="AA2781" t="s">
        <v>6203</v>
      </c>
    </row>
    <row r="2782" spans="27:27">
      <c r="AA2782" t="s">
        <v>6204</v>
      </c>
    </row>
    <row r="2783" spans="27:27">
      <c r="AA2783" t="s">
        <v>6205</v>
      </c>
    </row>
    <row r="2784" spans="27:27">
      <c r="AA2784" t="s">
        <v>6206</v>
      </c>
    </row>
    <row r="2785" spans="27:27">
      <c r="AA2785" t="s">
        <v>1573</v>
      </c>
    </row>
    <row r="2786" spans="27:27">
      <c r="AA2786" t="s">
        <v>1574</v>
      </c>
    </row>
    <row r="2787" spans="27:27">
      <c r="AA2787" t="s">
        <v>1575</v>
      </c>
    </row>
    <row r="2788" spans="27:27">
      <c r="AA2788" t="s">
        <v>6207</v>
      </c>
    </row>
    <row r="2789" spans="27:27">
      <c r="AA2789" t="s">
        <v>6208</v>
      </c>
    </row>
    <row r="2790" spans="27:27">
      <c r="AA2790" t="s">
        <v>6209</v>
      </c>
    </row>
    <row r="2791" spans="27:27">
      <c r="AA2791" t="s">
        <v>6210</v>
      </c>
    </row>
    <row r="2792" spans="27:27">
      <c r="AA2792" t="s">
        <v>6211</v>
      </c>
    </row>
    <row r="2793" spans="27:27">
      <c r="AA2793" t="s">
        <v>6212</v>
      </c>
    </row>
    <row r="2794" spans="27:27">
      <c r="AA2794" t="s">
        <v>6213</v>
      </c>
    </row>
    <row r="2795" spans="27:27">
      <c r="AA2795" t="s">
        <v>6214</v>
      </c>
    </row>
    <row r="2796" spans="27:27">
      <c r="AA2796" t="s">
        <v>1576</v>
      </c>
    </row>
    <row r="2797" spans="27:27">
      <c r="AA2797" t="s">
        <v>6215</v>
      </c>
    </row>
    <row r="2798" spans="27:27">
      <c r="AA2798" t="s">
        <v>6216</v>
      </c>
    </row>
    <row r="2799" spans="27:27">
      <c r="AA2799" t="s">
        <v>1577</v>
      </c>
    </row>
    <row r="2800" spans="27:27">
      <c r="AA2800" t="s">
        <v>6217</v>
      </c>
    </row>
    <row r="2801" spans="27:27">
      <c r="AA2801" t="s">
        <v>6218</v>
      </c>
    </row>
    <row r="2802" spans="27:27">
      <c r="AA2802" t="s">
        <v>6219</v>
      </c>
    </row>
    <row r="2803" spans="27:27">
      <c r="AA2803" t="s">
        <v>6220</v>
      </c>
    </row>
    <row r="2804" spans="27:27">
      <c r="AA2804" t="s">
        <v>6221</v>
      </c>
    </row>
    <row r="2805" spans="27:27">
      <c r="AA2805" t="s">
        <v>1578</v>
      </c>
    </row>
    <row r="2806" spans="27:27">
      <c r="AA2806" t="s">
        <v>6222</v>
      </c>
    </row>
    <row r="2807" spans="27:27">
      <c r="AA2807" t="s">
        <v>6223</v>
      </c>
    </row>
    <row r="2808" spans="27:27">
      <c r="AA2808" t="s">
        <v>6224</v>
      </c>
    </row>
    <row r="2809" spans="27:27">
      <c r="AA2809" t="s">
        <v>6225</v>
      </c>
    </row>
    <row r="2810" spans="27:27">
      <c r="AA2810" t="s">
        <v>6226</v>
      </c>
    </row>
    <row r="2811" spans="27:27">
      <c r="AA2811" t="s">
        <v>6227</v>
      </c>
    </row>
    <row r="2812" spans="27:27">
      <c r="AA2812" t="s">
        <v>6228</v>
      </c>
    </row>
    <row r="2813" spans="27:27">
      <c r="AA2813" t="s">
        <v>1579</v>
      </c>
    </row>
    <row r="2814" spans="27:27">
      <c r="AA2814" t="s">
        <v>3605</v>
      </c>
    </row>
    <row r="2815" spans="27:27">
      <c r="AA2815" t="s">
        <v>1580</v>
      </c>
    </row>
    <row r="2816" spans="27:27">
      <c r="AA2816" t="s">
        <v>6229</v>
      </c>
    </row>
    <row r="2817" spans="27:27">
      <c r="AA2817" t="s">
        <v>6230</v>
      </c>
    </row>
    <row r="2818" spans="27:27">
      <c r="AA2818" t="s">
        <v>6231</v>
      </c>
    </row>
    <row r="2819" spans="27:27">
      <c r="AA2819" t="s">
        <v>6232</v>
      </c>
    </row>
    <row r="2820" spans="27:27">
      <c r="AA2820" t="s">
        <v>6233</v>
      </c>
    </row>
    <row r="2821" spans="27:27">
      <c r="AA2821" t="s">
        <v>6234</v>
      </c>
    </row>
    <row r="2822" spans="27:27">
      <c r="AA2822" t="s">
        <v>6235</v>
      </c>
    </row>
    <row r="2823" spans="27:27">
      <c r="AA2823" t="s">
        <v>6236</v>
      </c>
    </row>
    <row r="2824" spans="27:27">
      <c r="AA2824" t="s">
        <v>1581</v>
      </c>
    </row>
    <row r="2825" spans="27:27">
      <c r="AA2825" t="s">
        <v>1582</v>
      </c>
    </row>
    <row r="2826" spans="27:27">
      <c r="AA2826" t="s">
        <v>6237</v>
      </c>
    </row>
    <row r="2827" spans="27:27">
      <c r="AA2827" t="s">
        <v>6238</v>
      </c>
    </row>
    <row r="2828" spans="27:27">
      <c r="AA2828" t="s">
        <v>13917</v>
      </c>
    </row>
    <row r="2829" spans="27:27">
      <c r="AA2829" t="s">
        <v>1583</v>
      </c>
    </row>
    <row r="2830" spans="27:27">
      <c r="AA2830" t="s">
        <v>6240</v>
      </c>
    </row>
    <row r="2831" spans="27:27">
      <c r="AA2831" t="s">
        <v>1584</v>
      </c>
    </row>
    <row r="2832" spans="27:27">
      <c r="AA2832" t="s">
        <v>6241</v>
      </c>
    </row>
    <row r="2833" spans="27:27">
      <c r="AA2833" t="s">
        <v>1585</v>
      </c>
    </row>
    <row r="2834" spans="27:27">
      <c r="AA2834" t="s">
        <v>6242</v>
      </c>
    </row>
    <row r="2835" spans="27:27">
      <c r="AA2835" t="s">
        <v>1586</v>
      </c>
    </row>
    <row r="2836" spans="27:27">
      <c r="AA2836" t="s">
        <v>6243</v>
      </c>
    </row>
    <row r="2837" spans="27:27">
      <c r="AA2837" t="s">
        <v>6244</v>
      </c>
    </row>
    <row r="2838" spans="27:27">
      <c r="AA2838" t="s">
        <v>6245</v>
      </c>
    </row>
    <row r="2839" spans="27:27">
      <c r="AA2839" t="s">
        <v>6246</v>
      </c>
    </row>
    <row r="2840" spans="27:27">
      <c r="AA2840" t="s">
        <v>6247</v>
      </c>
    </row>
    <row r="2841" spans="27:27">
      <c r="AA2841" t="s">
        <v>6248</v>
      </c>
    </row>
    <row r="2842" spans="27:27">
      <c r="AA2842" t="s">
        <v>6249</v>
      </c>
    </row>
    <row r="2843" spans="27:27">
      <c r="AA2843" t="s">
        <v>1587</v>
      </c>
    </row>
    <row r="2844" spans="27:27">
      <c r="AA2844" t="s">
        <v>1588</v>
      </c>
    </row>
    <row r="2845" spans="27:27">
      <c r="AA2845" t="s">
        <v>1589</v>
      </c>
    </row>
    <row r="2846" spans="27:27">
      <c r="AA2846" t="s">
        <v>6250</v>
      </c>
    </row>
    <row r="2847" spans="27:27">
      <c r="AA2847" t="s">
        <v>6251</v>
      </c>
    </row>
    <row r="2848" spans="27:27">
      <c r="AA2848" t="s">
        <v>6252</v>
      </c>
    </row>
    <row r="2849" spans="27:27">
      <c r="AA2849" t="s">
        <v>6253</v>
      </c>
    </row>
    <row r="2850" spans="27:27">
      <c r="AA2850" t="s">
        <v>6254</v>
      </c>
    </row>
    <row r="2851" spans="27:27">
      <c r="AA2851" t="s">
        <v>6255</v>
      </c>
    </row>
    <row r="2852" spans="27:27">
      <c r="AA2852" t="s">
        <v>6256</v>
      </c>
    </row>
    <row r="2853" spans="27:27">
      <c r="AA2853" t="s">
        <v>6257</v>
      </c>
    </row>
    <row r="2854" spans="27:27">
      <c r="AA2854" t="s">
        <v>6258</v>
      </c>
    </row>
    <row r="2855" spans="27:27">
      <c r="AA2855" t="s">
        <v>1590</v>
      </c>
    </row>
    <row r="2856" spans="27:27">
      <c r="AA2856" t="s">
        <v>6259</v>
      </c>
    </row>
    <row r="2857" spans="27:27">
      <c r="AA2857" t="s">
        <v>1591</v>
      </c>
    </row>
    <row r="2858" spans="27:27">
      <c r="AA2858" t="s">
        <v>6260</v>
      </c>
    </row>
    <row r="2859" spans="27:27">
      <c r="AA2859" t="s">
        <v>6261</v>
      </c>
    </row>
    <row r="2860" spans="27:27">
      <c r="AA2860" t="s">
        <v>6262</v>
      </c>
    </row>
    <row r="2861" spans="27:27">
      <c r="AA2861" t="s">
        <v>6263</v>
      </c>
    </row>
    <row r="2862" spans="27:27">
      <c r="AA2862" t="s">
        <v>6264</v>
      </c>
    </row>
    <row r="2863" spans="27:27">
      <c r="AA2863" t="s">
        <v>1592</v>
      </c>
    </row>
    <row r="2864" spans="27:27">
      <c r="AA2864" t="s">
        <v>6265</v>
      </c>
    </row>
    <row r="2865" spans="27:27">
      <c r="AA2865" t="s">
        <v>6266</v>
      </c>
    </row>
    <row r="2866" spans="27:27">
      <c r="AA2866" t="s">
        <v>6267</v>
      </c>
    </row>
    <row r="2867" spans="27:27">
      <c r="AA2867" t="s">
        <v>1593</v>
      </c>
    </row>
    <row r="2868" spans="27:27">
      <c r="AA2868" t="s">
        <v>6268</v>
      </c>
    </row>
    <row r="2869" spans="27:27">
      <c r="AA2869" t="s">
        <v>6269</v>
      </c>
    </row>
    <row r="2870" spans="27:27">
      <c r="AA2870" t="s">
        <v>6270</v>
      </c>
    </row>
    <row r="2871" spans="27:27">
      <c r="AA2871" t="s">
        <v>6271</v>
      </c>
    </row>
    <row r="2872" spans="27:27">
      <c r="AA2872" t="s">
        <v>6272</v>
      </c>
    </row>
    <row r="2873" spans="27:27">
      <c r="AA2873" t="s">
        <v>6273</v>
      </c>
    </row>
    <row r="2874" spans="27:27">
      <c r="AA2874" t="s">
        <v>6274</v>
      </c>
    </row>
    <row r="2875" spans="27:27">
      <c r="AA2875" t="s">
        <v>6275</v>
      </c>
    </row>
    <row r="2876" spans="27:27">
      <c r="AA2876" t="s">
        <v>6276</v>
      </c>
    </row>
    <row r="2877" spans="27:27">
      <c r="AA2877" t="s">
        <v>1594</v>
      </c>
    </row>
    <row r="2878" spans="27:27">
      <c r="AA2878" t="s">
        <v>6277</v>
      </c>
    </row>
    <row r="2879" spans="27:27">
      <c r="AA2879" t="s">
        <v>183</v>
      </c>
    </row>
    <row r="2880" spans="27:27">
      <c r="AA2880" t="s">
        <v>6278</v>
      </c>
    </row>
    <row r="2881" spans="27:27">
      <c r="AA2881" t="s">
        <v>6279</v>
      </c>
    </row>
    <row r="2882" spans="27:27">
      <c r="AA2882" t="s">
        <v>6280</v>
      </c>
    </row>
    <row r="2883" spans="27:27">
      <c r="AA2883" t="s">
        <v>6281</v>
      </c>
    </row>
    <row r="2884" spans="27:27">
      <c r="AA2884" t="s">
        <v>6282</v>
      </c>
    </row>
    <row r="2885" spans="27:27">
      <c r="AA2885" t="s">
        <v>6283</v>
      </c>
    </row>
    <row r="2886" spans="27:27">
      <c r="AA2886" t="s">
        <v>6284</v>
      </c>
    </row>
    <row r="2887" spans="27:27">
      <c r="AA2887" t="s">
        <v>6285</v>
      </c>
    </row>
    <row r="2888" spans="27:27">
      <c r="AA2888" t="s">
        <v>6286</v>
      </c>
    </row>
    <row r="2889" spans="27:27">
      <c r="AA2889" t="s">
        <v>6287</v>
      </c>
    </row>
    <row r="2890" spans="27:27">
      <c r="AA2890" t="s">
        <v>6288</v>
      </c>
    </row>
    <row r="2891" spans="27:27">
      <c r="AA2891" t="s">
        <v>6289</v>
      </c>
    </row>
    <row r="2892" spans="27:27">
      <c r="AA2892" t="s">
        <v>6290</v>
      </c>
    </row>
    <row r="2893" spans="27:27">
      <c r="AA2893" t="s">
        <v>6291</v>
      </c>
    </row>
    <row r="2894" spans="27:27">
      <c r="AA2894" t="s">
        <v>1595</v>
      </c>
    </row>
    <row r="2895" spans="27:27">
      <c r="AA2895" t="s">
        <v>3606</v>
      </c>
    </row>
    <row r="2896" spans="27:27">
      <c r="AA2896" t="s">
        <v>1596</v>
      </c>
    </row>
    <row r="2897" spans="27:27">
      <c r="AA2897" t="s">
        <v>6292</v>
      </c>
    </row>
    <row r="2898" spans="27:27">
      <c r="AA2898" t="s">
        <v>1597</v>
      </c>
    </row>
    <row r="2899" spans="27:27">
      <c r="AA2899" t="s">
        <v>6293</v>
      </c>
    </row>
    <row r="2900" spans="27:27">
      <c r="AA2900" t="s">
        <v>6294</v>
      </c>
    </row>
    <row r="2901" spans="27:27">
      <c r="AA2901" t="s">
        <v>6295</v>
      </c>
    </row>
    <row r="2902" spans="27:27">
      <c r="AA2902" t="s">
        <v>1598</v>
      </c>
    </row>
    <row r="2903" spans="27:27">
      <c r="AA2903" t="s">
        <v>6296</v>
      </c>
    </row>
    <row r="2904" spans="27:27">
      <c r="AA2904" t="s">
        <v>1599</v>
      </c>
    </row>
    <row r="2905" spans="27:27">
      <c r="AA2905" t="s">
        <v>6297</v>
      </c>
    </row>
    <row r="2906" spans="27:27">
      <c r="AA2906" t="s">
        <v>6298</v>
      </c>
    </row>
    <row r="2907" spans="27:27">
      <c r="AA2907" t="s">
        <v>6299</v>
      </c>
    </row>
    <row r="2908" spans="27:27">
      <c r="AA2908" t="s">
        <v>6300</v>
      </c>
    </row>
    <row r="2909" spans="27:27">
      <c r="AA2909" t="s">
        <v>6301</v>
      </c>
    </row>
    <row r="2910" spans="27:27">
      <c r="AA2910" t="s">
        <v>6302</v>
      </c>
    </row>
    <row r="2911" spans="27:27">
      <c r="AA2911" t="s">
        <v>1600</v>
      </c>
    </row>
    <row r="2912" spans="27:27">
      <c r="AA2912" t="s">
        <v>6303</v>
      </c>
    </row>
    <row r="2913" spans="27:27">
      <c r="AA2913" t="s">
        <v>6304</v>
      </c>
    </row>
    <row r="2914" spans="27:27">
      <c r="AA2914" t="s">
        <v>6305</v>
      </c>
    </row>
    <row r="2915" spans="27:27">
      <c r="AA2915" t="s">
        <v>1601</v>
      </c>
    </row>
    <row r="2916" spans="27:27">
      <c r="AA2916" t="s">
        <v>6306</v>
      </c>
    </row>
    <row r="2917" spans="27:27">
      <c r="AA2917" t="s">
        <v>6307</v>
      </c>
    </row>
    <row r="2918" spans="27:27">
      <c r="AA2918" t="s">
        <v>6308</v>
      </c>
    </row>
    <row r="2919" spans="27:27">
      <c r="AA2919" t="s">
        <v>6309</v>
      </c>
    </row>
    <row r="2920" spans="27:27">
      <c r="AA2920" t="s">
        <v>6310</v>
      </c>
    </row>
    <row r="2921" spans="27:27">
      <c r="AA2921" t="s">
        <v>6311</v>
      </c>
    </row>
    <row r="2922" spans="27:27">
      <c r="AA2922" t="s">
        <v>6312</v>
      </c>
    </row>
    <row r="2923" spans="27:27">
      <c r="AA2923" t="s">
        <v>6313</v>
      </c>
    </row>
    <row r="2924" spans="27:27">
      <c r="AA2924" t="s">
        <v>6314</v>
      </c>
    </row>
    <row r="2925" spans="27:27">
      <c r="AA2925" t="s">
        <v>1602</v>
      </c>
    </row>
    <row r="2926" spans="27:27">
      <c r="AA2926" t="s">
        <v>6315</v>
      </c>
    </row>
    <row r="2927" spans="27:27">
      <c r="AA2927" t="s">
        <v>1603</v>
      </c>
    </row>
    <row r="2928" spans="27:27">
      <c r="AA2928" t="s">
        <v>6316</v>
      </c>
    </row>
    <row r="2929" spans="27:27">
      <c r="AA2929" t="s">
        <v>1604</v>
      </c>
    </row>
    <row r="2930" spans="27:27">
      <c r="AA2930" t="s">
        <v>6317</v>
      </c>
    </row>
    <row r="2931" spans="27:27">
      <c r="AA2931" t="s">
        <v>1605</v>
      </c>
    </row>
    <row r="2932" spans="27:27">
      <c r="AA2932" t="s">
        <v>1606</v>
      </c>
    </row>
    <row r="2933" spans="27:27">
      <c r="AA2933" t="s">
        <v>3607</v>
      </c>
    </row>
    <row r="2934" spans="27:27">
      <c r="AA2934" t="s">
        <v>1607</v>
      </c>
    </row>
    <row r="2935" spans="27:27">
      <c r="AA2935" t="s">
        <v>6318</v>
      </c>
    </row>
    <row r="2936" spans="27:27">
      <c r="AA2936" t="s">
        <v>6319</v>
      </c>
    </row>
    <row r="2937" spans="27:27">
      <c r="AA2937" t="s">
        <v>6320</v>
      </c>
    </row>
    <row r="2938" spans="27:27">
      <c r="AA2938" t="s">
        <v>6321</v>
      </c>
    </row>
    <row r="2939" spans="27:27">
      <c r="AA2939" t="s">
        <v>6322</v>
      </c>
    </row>
    <row r="2940" spans="27:27">
      <c r="AA2940" t="s">
        <v>6323</v>
      </c>
    </row>
    <row r="2941" spans="27:27">
      <c r="AA2941" t="s">
        <v>6324</v>
      </c>
    </row>
    <row r="2942" spans="27:27">
      <c r="AA2942" t="s">
        <v>6325</v>
      </c>
    </row>
    <row r="2943" spans="27:27">
      <c r="AA2943" t="s">
        <v>6326</v>
      </c>
    </row>
    <row r="2944" spans="27:27">
      <c r="AA2944" t="s">
        <v>1608</v>
      </c>
    </row>
    <row r="2945" spans="27:27">
      <c r="AA2945" t="s">
        <v>3608</v>
      </c>
    </row>
    <row r="2946" spans="27:27">
      <c r="AA2946" t="s">
        <v>1609</v>
      </c>
    </row>
    <row r="2947" spans="27:27">
      <c r="AA2947" t="s">
        <v>6327</v>
      </c>
    </row>
    <row r="2948" spans="27:27">
      <c r="AA2948" t="s">
        <v>6328</v>
      </c>
    </row>
    <row r="2949" spans="27:27">
      <c r="AA2949" t="s">
        <v>6329</v>
      </c>
    </row>
    <row r="2950" spans="27:27">
      <c r="AA2950" t="s">
        <v>6330</v>
      </c>
    </row>
    <row r="2951" spans="27:27">
      <c r="AA2951" t="s">
        <v>6331</v>
      </c>
    </row>
    <row r="2952" spans="27:27">
      <c r="AA2952" t="s">
        <v>6332</v>
      </c>
    </row>
    <row r="2953" spans="27:27">
      <c r="AA2953" t="s">
        <v>6333</v>
      </c>
    </row>
    <row r="2954" spans="27:27">
      <c r="AA2954" t="s">
        <v>6334</v>
      </c>
    </row>
    <row r="2955" spans="27:27">
      <c r="AA2955" t="s">
        <v>6335</v>
      </c>
    </row>
    <row r="2956" spans="27:27">
      <c r="AA2956" t="s">
        <v>6336</v>
      </c>
    </row>
    <row r="2957" spans="27:27">
      <c r="AA2957" t="s">
        <v>1610</v>
      </c>
    </row>
    <row r="2958" spans="27:27">
      <c r="AA2958" t="s">
        <v>3609</v>
      </c>
    </row>
    <row r="2959" spans="27:27">
      <c r="AA2959" t="s">
        <v>1611</v>
      </c>
    </row>
    <row r="2960" spans="27:27">
      <c r="AA2960" t="s">
        <v>6337</v>
      </c>
    </row>
    <row r="2961" spans="27:27">
      <c r="AA2961" t="s">
        <v>6338</v>
      </c>
    </row>
    <row r="2962" spans="27:27">
      <c r="AA2962" t="s">
        <v>6339</v>
      </c>
    </row>
    <row r="2963" spans="27:27">
      <c r="AA2963" t="s">
        <v>6340</v>
      </c>
    </row>
    <row r="2964" spans="27:27">
      <c r="AA2964" t="s">
        <v>6341</v>
      </c>
    </row>
    <row r="2965" spans="27:27">
      <c r="AA2965" t="s">
        <v>3610</v>
      </c>
    </row>
    <row r="2966" spans="27:27">
      <c r="AA2966" t="s">
        <v>6342</v>
      </c>
    </row>
    <row r="2967" spans="27:27">
      <c r="AA2967" t="s">
        <v>6343</v>
      </c>
    </row>
    <row r="2968" spans="27:27">
      <c r="AA2968" t="s">
        <v>6344</v>
      </c>
    </row>
    <row r="2969" spans="27:27">
      <c r="AA2969" t="s">
        <v>6345</v>
      </c>
    </row>
    <row r="2970" spans="27:27">
      <c r="AA2970" t="s">
        <v>1612</v>
      </c>
    </row>
    <row r="2971" spans="27:27">
      <c r="AA2971" t="s">
        <v>6346</v>
      </c>
    </row>
    <row r="2972" spans="27:27">
      <c r="AA2972" t="s">
        <v>6347</v>
      </c>
    </row>
    <row r="2973" spans="27:27">
      <c r="AA2973" t="s">
        <v>6348</v>
      </c>
    </row>
    <row r="2974" spans="27:27">
      <c r="AA2974" t="s">
        <v>6349</v>
      </c>
    </row>
    <row r="2975" spans="27:27">
      <c r="AA2975" t="s">
        <v>6350</v>
      </c>
    </row>
    <row r="2976" spans="27:27">
      <c r="AA2976" t="s">
        <v>6351</v>
      </c>
    </row>
    <row r="2977" spans="27:27">
      <c r="AA2977" t="s">
        <v>6352</v>
      </c>
    </row>
    <row r="2978" spans="27:27">
      <c r="AA2978" t="s">
        <v>6353</v>
      </c>
    </row>
    <row r="2979" spans="27:27">
      <c r="AA2979" t="s">
        <v>3611</v>
      </c>
    </row>
    <row r="2980" spans="27:27">
      <c r="AA2980" t="s">
        <v>1613</v>
      </c>
    </row>
    <row r="2981" spans="27:27">
      <c r="AA2981" t="s">
        <v>6354</v>
      </c>
    </row>
    <row r="2982" spans="27:27">
      <c r="AA2982" t="s">
        <v>6355</v>
      </c>
    </row>
    <row r="2983" spans="27:27">
      <c r="AA2983" t="s">
        <v>1614</v>
      </c>
    </row>
    <row r="2984" spans="27:27">
      <c r="AA2984" t="s">
        <v>3612</v>
      </c>
    </row>
    <row r="2985" spans="27:27">
      <c r="AA2985" t="s">
        <v>6356</v>
      </c>
    </row>
    <row r="2986" spans="27:27">
      <c r="AA2986" t="s">
        <v>1615</v>
      </c>
    </row>
    <row r="2987" spans="27:27">
      <c r="AA2987" t="s">
        <v>6357</v>
      </c>
    </row>
    <row r="2988" spans="27:27">
      <c r="AA2988" t="s">
        <v>6358</v>
      </c>
    </row>
    <row r="2989" spans="27:27">
      <c r="AA2989" t="s">
        <v>6359</v>
      </c>
    </row>
    <row r="2990" spans="27:27">
      <c r="AA2990" t="s">
        <v>6360</v>
      </c>
    </row>
    <row r="2991" spans="27:27">
      <c r="AA2991" t="s">
        <v>6361</v>
      </c>
    </row>
    <row r="2992" spans="27:27">
      <c r="AA2992" t="s">
        <v>6362</v>
      </c>
    </row>
    <row r="2993" spans="27:27">
      <c r="AA2993" t="s">
        <v>6363</v>
      </c>
    </row>
    <row r="2994" spans="27:27">
      <c r="AA2994" t="s">
        <v>6364</v>
      </c>
    </row>
    <row r="2995" spans="27:27">
      <c r="AA2995" t="s">
        <v>6365</v>
      </c>
    </row>
    <row r="2996" spans="27:27">
      <c r="AA2996" t="s">
        <v>6366</v>
      </c>
    </row>
    <row r="2997" spans="27:27">
      <c r="AA2997" t="s">
        <v>6367</v>
      </c>
    </row>
    <row r="2998" spans="27:27">
      <c r="AA2998" t="s">
        <v>6368</v>
      </c>
    </row>
    <row r="2999" spans="27:27">
      <c r="AA2999" t="s">
        <v>6369</v>
      </c>
    </row>
    <row r="3000" spans="27:27">
      <c r="AA3000" t="s">
        <v>6370</v>
      </c>
    </row>
    <row r="3001" spans="27:27">
      <c r="AA3001" t="s">
        <v>6371</v>
      </c>
    </row>
    <row r="3002" spans="27:27">
      <c r="AA3002" t="s">
        <v>6372</v>
      </c>
    </row>
    <row r="3003" spans="27:27">
      <c r="AA3003" t="s">
        <v>6373</v>
      </c>
    </row>
    <row r="3004" spans="27:27">
      <c r="AA3004" t="s">
        <v>6374</v>
      </c>
    </row>
    <row r="3005" spans="27:27">
      <c r="AA3005" t="s">
        <v>6375</v>
      </c>
    </row>
    <row r="3006" spans="27:27">
      <c r="AA3006" t="s">
        <v>6376</v>
      </c>
    </row>
    <row r="3007" spans="27:27">
      <c r="AA3007" t="s">
        <v>6377</v>
      </c>
    </row>
    <row r="3008" spans="27:27">
      <c r="AA3008" t="s">
        <v>6378</v>
      </c>
    </row>
    <row r="3009" spans="27:27">
      <c r="AA3009" t="s">
        <v>6379</v>
      </c>
    </row>
    <row r="3010" spans="27:27">
      <c r="AA3010" t="s">
        <v>6380</v>
      </c>
    </row>
    <row r="3011" spans="27:27">
      <c r="AA3011" t="s">
        <v>6381</v>
      </c>
    </row>
    <row r="3012" spans="27:27">
      <c r="AA3012" t="s">
        <v>6382</v>
      </c>
    </row>
    <row r="3013" spans="27:27">
      <c r="AA3013" t="s">
        <v>1616</v>
      </c>
    </row>
    <row r="3014" spans="27:27">
      <c r="AA3014" t="s">
        <v>6383</v>
      </c>
    </row>
    <row r="3015" spans="27:27">
      <c r="AA3015" t="s">
        <v>1617</v>
      </c>
    </row>
    <row r="3016" spans="27:27">
      <c r="AA3016" t="s">
        <v>6384</v>
      </c>
    </row>
    <row r="3017" spans="27:27">
      <c r="AA3017" t="s">
        <v>6385</v>
      </c>
    </row>
    <row r="3018" spans="27:27">
      <c r="AA3018" t="s">
        <v>6386</v>
      </c>
    </row>
    <row r="3019" spans="27:27">
      <c r="AA3019" t="s">
        <v>6387</v>
      </c>
    </row>
    <row r="3020" spans="27:27">
      <c r="AA3020" t="s">
        <v>6388</v>
      </c>
    </row>
    <row r="3021" spans="27:27">
      <c r="AA3021" t="s">
        <v>6389</v>
      </c>
    </row>
    <row r="3022" spans="27:27">
      <c r="AA3022" t="s">
        <v>6390</v>
      </c>
    </row>
    <row r="3023" spans="27:27">
      <c r="AA3023" t="s">
        <v>6391</v>
      </c>
    </row>
    <row r="3024" spans="27:27">
      <c r="AA3024" t="s">
        <v>6392</v>
      </c>
    </row>
    <row r="3025" spans="27:27">
      <c r="AA3025" t="s">
        <v>6393</v>
      </c>
    </row>
    <row r="3026" spans="27:27">
      <c r="AA3026" t="s">
        <v>6394</v>
      </c>
    </row>
    <row r="3027" spans="27:27">
      <c r="AA3027" t="s">
        <v>6395</v>
      </c>
    </row>
    <row r="3028" spans="27:27">
      <c r="AA3028" t="s">
        <v>6396</v>
      </c>
    </row>
    <row r="3029" spans="27:27">
      <c r="AA3029" t="s">
        <v>6397</v>
      </c>
    </row>
    <row r="3030" spans="27:27">
      <c r="AA3030" t="s">
        <v>6398</v>
      </c>
    </row>
    <row r="3031" spans="27:27">
      <c r="AA3031" t="s">
        <v>6399</v>
      </c>
    </row>
    <row r="3032" spans="27:27">
      <c r="AA3032" t="s">
        <v>6400</v>
      </c>
    </row>
    <row r="3033" spans="27:27">
      <c r="AA3033" t="s">
        <v>6401</v>
      </c>
    </row>
    <row r="3034" spans="27:27">
      <c r="AA3034" t="s">
        <v>6402</v>
      </c>
    </row>
    <row r="3035" spans="27:27">
      <c r="AA3035" t="s">
        <v>6403</v>
      </c>
    </row>
    <row r="3036" spans="27:27">
      <c r="AA3036" t="s">
        <v>6404</v>
      </c>
    </row>
    <row r="3037" spans="27:27">
      <c r="AA3037" t="s">
        <v>6405</v>
      </c>
    </row>
    <row r="3038" spans="27:27">
      <c r="AA3038" t="s">
        <v>6406</v>
      </c>
    </row>
    <row r="3039" spans="27:27">
      <c r="AA3039" t="s">
        <v>6407</v>
      </c>
    </row>
    <row r="3040" spans="27:27">
      <c r="AA3040" t="s">
        <v>1618</v>
      </c>
    </row>
    <row r="3041" spans="27:27">
      <c r="AA3041" t="s">
        <v>3613</v>
      </c>
    </row>
    <row r="3042" spans="27:27">
      <c r="AA3042" t="s">
        <v>6408</v>
      </c>
    </row>
    <row r="3043" spans="27:27">
      <c r="AA3043" t="s">
        <v>6409</v>
      </c>
    </row>
    <row r="3044" spans="27:27">
      <c r="AA3044" t="s">
        <v>6410</v>
      </c>
    </row>
    <row r="3045" spans="27:27">
      <c r="AA3045" t="s">
        <v>6411</v>
      </c>
    </row>
    <row r="3046" spans="27:27">
      <c r="AA3046" t="s">
        <v>6412</v>
      </c>
    </row>
    <row r="3047" spans="27:27">
      <c r="AA3047" t="s">
        <v>6413</v>
      </c>
    </row>
    <row r="3048" spans="27:27">
      <c r="AA3048" t="s">
        <v>6414</v>
      </c>
    </row>
    <row r="3049" spans="27:27">
      <c r="AA3049" t="s">
        <v>6415</v>
      </c>
    </row>
    <row r="3050" spans="27:27">
      <c r="AA3050" t="s">
        <v>6416</v>
      </c>
    </row>
    <row r="3051" spans="27:27">
      <c r="AA3051" t="s">
        <v>6417</v>
      </c>
    </row>
    <row r="3052" spans="27:27">
      <c r="AA3052" t="s">
        <v>6418</v>
      </c>
    </row>
    <row r="3053" spans="27:27">
      <c r="AA3053" t="s">
        <v>6419</v>
      </c>
    </row>
    <row r="3054" spans="27:27">
      <c r="AA3054" t="s">
        <v>6420</v>
      </c>
    </row>
    <row r="3055" spans="27:27">
      <c r="AA3055" t="s">
        <v>1619</v>
      </c>
    </row>
    <row r="3056" spans="27:27">
      <c r="AA3056" t="s">
        <v>1620</v>
      </c>
    </row>
    <row r="3057" spans="27:27">
      <c r="AA3057" t="s">
        <v>6421</v>
      </c>
    </row>
    <row r="3058" spans="27:27">
      <c r="AA3058" t="s">
        <v>1621</v>
      </c>
    </row>
    <row r="3059" spans="27:27">
      <c r="AA3059" t="s">
        <v>6422</v>
      </c>
    </row>
    <row r="3060" spans="27:27">
      <c r="AA3060" t="s">
        <v>1622</v>
      </c>
    </row>
    <row r="3061" spans="27:27">
      <c r="AA3061" t="s">
        <v>6423</v>
      </c>
    </row>
    <row r="3062" spans="27:27">
      <c r="AA3062" t="s">
        <v>6424</v>
      </c>
    </row>
    <row r="3063" spans="27:27">
      <c r="AA3063" t="s">
        <v>1623</v>
      </c>
    </row>
    <row r="3064" spans="27:27">
      <c r="AA3064" t="s">
        <v>1624</v>
      </c>
    </row>
    <row r="3065" spans="27:27">
      <c r="AA3065" t="s">
        <v>3614</v>
      </c>
    </row>
    <row r="3066" spans="27:27">
      <c r="AA3066" t="s">
        <v>6425</v>
      </c>
    </row>
    <row r="3067" spans="27:27">
      <c r="AA3067" t="s">
        <v>6426</v>
      </c>
    </row>
    <row r="3068" spans="27:27">
      <c r="AA3068" t="s">
        <v>6427</v>
      </c>
    </row>
    <row r="3069" spans="27:27">
      <c r="AA3069" t="s">
        <v>6428</v>
      </c>
    </row>
    <row r="3070" spans="27:27">
      <c r="AA3070" t="s">
        <v>6429</v>
      </c>
    </row>
    <row r="3071" spans="27:27">
      <c r="AA3071" t="s">
        <v>6430</v>
      </c>
    </row>
    <row r="3072" spans="27:27">
      <c r="AA3072" t="s">
        <v>6431</v>
      </c>
    </row>
    <row r="3073" spans="27:27">
      <c r="AA3073" t="s">
        <v>6432</v>
      </c>
    </row>
    <row r="3074" spans="27:27">
      <c r="AA3074" t="s">
        <v>6433</v>
      </c>
    </row>
    <row r="3075" spans="27:27">
      <c r="AA3075" t="s">
        <v>3615</v>
      </c>
    </row>
    <row r="3076" spans="27:27">
      <c r="AA3076" t="s">
        <v>1625</v>
      </c>
    </row>
    <row r="3077" spans="27:27">
      <c r="AA3077" t="s">
        <v>6434</v>
      </c>
    </row>
    <row r="3078" spans="27:27">
      <c r="AA3078" t="s">
        <v>6435</v>
      </c>
    </row>
    <row r="3079" spans="27:27">
      <c r="AA3079" t="s">
        <v>6436</v>
      </c>
    </row>
    <row r="3080" spans="27:27">
      <c r="AA3080" t="s">
        <v>6437</v>
      </c>
    </row>
    <row r="3081" spans="27:27">
      <c r="AA3081" t="s">
        <v>1626</v>
      </c>
    </row>
    <row r="3082" spans="27:27">
      <c r="AA3082" t="s">
        <v>3616</v>
      </c>
    </row>
    <row r="3083" spans="27:27">
      <c r="AA3083" t="s">
        <v>184</v>
      </c>
    </row>
    <row r="3084" spans="27:27">
      <c r="AA3084" t="s">
        <v>185</v>
      </c>
    </row>
    <row r="3085" spans="27:27">
      <c r="AA3085" t="s">
        <v>6438</v>
      </c>
    </row>
    <row r="3086" spans="27:27">
      <c r="AA3086" t="s">
        <v>6439</v>
      </c>
    </row>
    <row r="3087" spans="27:27">
      <c r="AA3087" t="s">
        <v>6440</v>
      </c>
    </row>
    <row r="3088" spans="27:27">
      <c r="AA3088" t="s">
        <v>6441</v>
      </c>
    </row>
    <row r="3089" spans="27:27">
      <c r="AA3089" t="s">
        <v>1627</v>
      </c>
    </row>
    <row r="3090" spans="27:27">
      <c r="AA3090" t="s">
        <v>3617</v>
      </c>
    </row>
    <row r="3091" spans="27:27">
      <c r="AA3091" t="s">
        <v>1628</v>
      </c>
    </row>
    <row r="3092" spans="27:27">
      <c r="AA3092" t="s">
        <v>6442</v>
      </c>
    </row>
    <row r="3093" spans="27:27">
      <c r="AA3093" t="s">
        <v>6443</v>
      </c>
    </row>
    <row r="3094" spans="27:27">
      <c r="AA3094" t="s">
        <v>6444</v>
      </c>
    </row>
    <row r="3095" spans="27:27">
      <c r="AA3095" t="s">
        <v>6445</v>
      </c>
    </row>
    <row r="3096" spans="27:27">
      <c r="AA3096" t="s">
        <v>1629</v>
      </c>
    </row>
    <row r="3097" spans="27:27">
      <c r="AA3097" t="s">
        <v>6446</v>
      </c>
    </row>
    <row r="3098" spans="27:27">
      <c r="AA3098" t="s">
        <v>6447</v>
      </c>
    </row>
    <row r="3099" spans="27:27">
      <c r="AA3099" t="s">
        <v>6448</v>
      </c>
    </row>
    <row r="3100" spans="27:27">
      <c r="AA3100" t="s">
        <v>6449</v>
      </c>
    </row>
    <row r="3101" spans="27:27">
      <c r="AA3101" t="s">
        <v>1630</v>
      </c>
    </row>
    <row r="3102" spans="27:27">
      <c r="AA3102" t="s">
        <v>3618</v>
      </c>
    </row>
    <row r="3103" spans="27:27">
      <c r="AA3103" t="s">
        <v>1631</v>
      </c>
    </row>
    <row r="3104" spans="27:27">
      <c r="AA3104" t="s">
        <v>6450</v>
      </c>
    </row>
    <row r="3105" spans="27:27">
      <c r="AA3105" t="s">
        <v>6451</v>
      </c>
    </row>
    <row r="3106" spans="27:27">
      <c r="AA3106" t="s">
        <v>6452</v>
      </c>
    </row>
    <row r="3107" spans="27:27">
      <c r="AA3107" t="s">
        <v>6453</v>
      </c>
    </row>
    <row r="3108" spans="27:27">
      <c r="AA3108" t="s">
        <v>6454</v>
      </c>
    </row>
    <row r="3109" spans="27:27">
      <c r="AA3109" t="s">
        <v>6455</v>
      </c>
    </row>
    <row r="3110" spans="27:27">
      <c r="AA3110" t="s">
        <v>6456</v>
      </c>
    </row>
    <row r="3111" spans="27:27">
      <c r="AA3111" t="s">
        <v>6457</v>
      </c>
    </row>
    <row r="3112" spans="27:27">
      <c r="AA3112" t="s">
        <v>6458</v>
      </c>
    </row>
    <row r="3113" spans="27:27">
      <c r="AA3113" t="s">
        <v>6459</v>
      </c>
    </row>
    <row r="3114" spans="27:27">
      <c r="AA3114" t="s">
        <v>1632</v>
      </c>
    </row>
    <row r="3115" spans="27:27">
      <c r="AA3115" t="s">
        <v>6460</v>
      </c>
    </row>
    <row r="3116" spans="27:27">
      <c r="AA3116" t="s">
        <v>1633</v>
      </c>
    </row>
    <row r="3117" spans="27:27">
      <c r="AA3117" t="s">
        <v>6461</v>
      </c>
    </row>
    <row r="3118" spans="27:27">
      <c r="AA3118" t="s">
        <v>6462</v>
      </c>
    </row>
    <row r="3119" spans="27:27">
      <c r="AA3119" t="s">
        <v>6463</v>
      </c>
    </row>
    <row r="3120" spans="27:27">
      <c r="AA3120" t="s">
        <v>6464</v>
      </c>
    </row>
    <row r="3121" spans="27:27">
      <c r="AA3121" t="s">
        <v>6465</v>
      </c>
    </row>
    <row r="3122" spans="27:27">
      <c r="AA3122" t="s">
        <v>6466</v>
      </c>
    </row>
    <row r="3123" spans="27:27">
      <c r="AA3123" t="s">
        <v>6467</v>
      </c>
    </row>
    <row r="3124" spans="27:27">
      <c r="AA3124" t="s">
        <v>6468</v>
      </c>
    </row>
    <row r="3125" spans="27:27">
      <c r="AA3125" t="s">
        <v>6469</v>
      </c>
    </row>
    <row r="3126" spans="27:27">
      <c r="AA3126" t="s">
        <v>6470</v>
      </c>
    </row>
    <row r="3127" spans="27:27">
      <c r="AA3127" t="s">
        <v>6471</v>
      </c>
    </row>
    <row r="3128" spans="27:27">
      <c r="AA3128" t="s">
        <v>6472</v>
      </c>
    </row>
    <row r="3129" spans="27:27">
      <c r="AA3129" t="s">
        <v>6473</v>
      </c>
    </row>
    <row r="3130" spans="27:27">
      <c r="AA3130" t="s">
        <v>6474</v>
      </c>
    </row>
    <row r="3131" spans="27:27">
      <c r="AA3131" t="s">
        <v>6475</v>
      </c>
    </row>
    <row r="3132" spans="27:27">
      <c r="AA3132" t="s">
        <v>6476</v>
      </c>
    </row>
    <row r="3133" spans="27:27">
      <c r="AA3133" t="s">
        <v>6477</v>
      </c>
    </row>
    <row r="3134" spans="27:27">
      <c r="AA3134" t="s">
        <v>6478</v>
      </c>
    </row>
    <row r="3135" spans="27:27">
      <c r="AA3135" t="s">
        <v>1634</v>
      </c>
    </row>
    <row r="3136" spans="27:27">
      <c r="AA3136" t="s">
        <v>3619</v>
      </c>
    </row>
    <row r="3137" spans="27:27">
      <c r="AA3137" t="s">
        <v>6479</v>
      </c>
    </row>
    <row r="3138" spans="27:27">
      <c r="AA3138" t="s">
        <v>6480</v>
      </c>
    </row>
    <row r="3139" spans="27:27">
      <c r="AA3139" t="s">
        <v>6481</v>
      </c>
    </row>
    <row r="3140" spans="27:27">
      <c r="AA3140" t="s">
        <v>1635</v>
      </c>
    </row>
    <row r="3141" spans="27:27">
      <c r="AA3141" t="s">
        <v>6482</v>
      </c>
    </row>
    <row r="3142" spans="27:27">
      <c r="AA3142" t="s">
        <v>6483</v>
      </c>
    </row>
    <row r="3143" spans="27:27">
      <c r="AA3143" t="s">
        <v>6484</v>
      </c>
    </row>
    <row r="3144" spans="27:27">
      <c r="AA3144" t="s">
        <v>6485</v>
      </c>
    </row>
    <row r="3145" spans="27:27">
      <c r="AA3145" t="s">
        <v>6486</v>
      </c>
    </row>
    <row r="3146" spans="27:27">
      <c r="AA3146" t="s">
        <v>6487</v>
      </c>
    </row>
    <row r="3147" spans="27:27">
      <c r="AA3147" t="s">
        <v>1636</v>
      </c>
    </row>
    <row r="3148" spans="27:27">
      <c r="AA3148" t="s">
        <v>3620</v>
      </c>
    </row>
    <row r="3149" spans="27:27">
      <c r="AA3149" t="s">
        <v>1637</v>
      </c>
    </row>
    <row r="3150" spans="27:27">
      <c r="AA3150" t="s">
        <v>6488</v>
      </c>
    </row>
    <row r="3151" spans="27:27">
      <c r="AA3151" t="s">
        <v>6489</v>
      </c>
    </row>
    <row r="3152" spans="27:27">
      <c r="AA3152" t="s">
        <v>6490</v>
      </c>
    </row>
    <row r="3153" spans="27:27">
      <c r="AA3153" t="s">
        <v>6491</v>
      </c>
    </row>
    <row r="3154" spans="27:27">
      <c r="AA3154" t="s">
        <v>6492</v>
      </c>
    </row>
    <row r="3155" spans="27:27">
      <c r="AA3155" t="s">
        <v>1638</v>
      </c>
    </row>
    <row r="3156" spans="27:27">
      <c r="AA3156" t="s">
        <v>6493</v>
      </c>
    </row>
    <row r="3157" spans="27:27">
      <c r="AA3157" t="s">
        <v>6494</v>
      </c>
    </row>
    <row r="3158" spans="27:27">
      <c r="AA3158" t="s">
        <v>1639</v>
      </c>
    </row>
    <row r="3159" spans="27:27">
      <c r="AA3159" t="s">
        <v>6495</v>
      </c>
    </row>
    <row r="3160" spans="27:27">
      <c r="AA3160" t="s">
        <v>1640</v>
      </c>
    </row>
    <row r="3161" spans="27:27">
      <c r="AA3161" t="s">
        <v>6496</v>
      </c>
    </row>
    <row r="3162" spans="27:27">
      <c r="AA3162" t="s">
        <v>6497</v>
      </c>
    </row>
    <row r="3163" spans="27:27">
      <c r="AA3163" t="s">
        <v>1641</v>
      </c>
    </row>
    <row r="3164" spans="27:27">
      <c r="AA3164" t="s">
        <v>3621</v>
      </c>
    </row>
    <row r="3165" spans="27:27">
      <c r="AA3165" t="s">
        <v>6498</v>
      </c>
    </row>
    <row r="3166" spans="27:27">
      <c r="AA3166" t="s">
        <v>6499</v>
      </c>
    </row>
    <row r="3167" spans="27:27">
      <c r="AA3167" t="s">
        <v>6500</v>
      </c>
    </row>
    <row r="3168" spans="27:27">
      <c r="AA3168" t="s">
        <v>1642</v>
      </c>
    </row>
    <row r="3169" spans="27:27">
      <c r="AA3169" t="s">
        <v>3622</v>
      </c>
    </row>
    <row r="3170" spans="27:27">
      <c r="AA3170" t="s">
        <v>1643</v>
      </c>
    </row>
    <row r="3171" spans="27:27">
      <c r="AA3171" t="s">
        <v>6501</v>
      </c>
    </row>
    <row r="3172" spans="27:27">
      <c r="AA3172" t="s">
        <v>1644</v>
      </c>
    </row>
    <row r="3173" spans="27:27">
      <c r="AA3173" t="s">
        <v>6502</v>
      </c>
    </row>
    <row r="3174" spans="27:27">
      <c r="AA3174" t="s">
        <v>6503</v>
      </c>
    </row>
    <row r="3175" spans="27:27">
      <c r="AA3175" t="s">
        <v>6504</v>
      </c>
    </row>
    <row r="3176" spans="27:27">
      <c r="AA3176" t="s">
        <v>1645</v>
      </c>
    </row>
    <row r="3177" spans="27:27">
      <c r="AA3177" t="s">
        <v>6505</v>
      </c>
    </row>
    <row r="3178" spans="27:27">
      <c r="AA3178" t="s">
        <v>1646</v>
      </c>
    </row>
    <row r="3179" spans="27:27">
      <c r="AA3179" t="s">
        <v>3623</v>
      </c>
    </row>
    <row r="3180" spans="27:27">
      <c r="AA3180" t="s">
        <v>1647</v>
      </c>
    </row>
    <row r="3181" spans="27:27">
      <c r="AA3181" t="s">
        <v>6506</v>
      </c>
    </row>
    <row r="3182" spans="27:27">
      <c r="AA3182" t="s">
        <v>6507</v>
      </c>
    </row>
    <row r="3183" spans="27:27">
      <c r="AA3183" t="s">
        <v>6508</v>
      </c>
    </row>
    <row r="3184" spans="27:27">
      <c r="AA3184" t="s">
        <v>6509</v>
      </c>
    </row>
    <row r="3185" spans="27:27">
      <c r="AA3185" t="s">
        <v>6510</v>
      </c>
    </row>
    <row r="3186" spans="27:27">
      <c r="AA3186" t="s">
        <v>1648</v>
      </c>
    </row>
    <row r="3187" spans="27:27">
      <c r="AA3187" t="s">
        <v>1649</v>
      </c>
    </row>
    <row r="3188" spans="27:27">
      <c r="AA3188" t="s">
        <v>1650</v>
      </c>
    </row>
    <row r="3189" spans="27:27">
      <c r="AA3189" t="s">
        <v>6511</v>
      </c>
    </row>
    <row r="3190" spans="27:27">
      <c r="AA3190" t="s">
        <v>1651</v>
      </c>
    </row>
    <row r="3191" spans="27:27">
      <c r="AA3191" t="s">
        <v>6512</v>
      </c>
    </row>
    <row r="3192" spans="27:27">
      <c r="AA3192" t="s">
        <v>1652</v>
      </c>
    </row>
    <row r="3193" spans="27:27">
      <c r="AA3193" t="s">
        <v>1653</v>
      </c>
    </row>
    <row r="3194" spans="27:27">
      <c r="AA3194" t="s">
        <v>6513</v>
      </c>
    </row>
    <row r="3195" spans="27:27">
      <c r="AA3195" t="s">
        <v>6514</v>
      </c>
    </row>
    <row r="3196" spans="27:27">
      <c r="AA3196" t="s">
        <v>6515</v>
      </c>
    </row>
    <row r="3197" spans="27:27">
      <c r="AA3197" t="s">
        <v>6516</v>
      </c>
    </row>
    <row r="3198" spans="27:27">
      <c r="AA3198" t="s">
        <v>6517</v>
      </c>
    </row>
    <row r="3199" spans="27:27">
      <c r="AA3199" t="s">
        <v>6518</v>
      </c>
    </row>
    <row r="3200" spans="27:27">
      <c r="AA3200" t="s">
        <v>6519</v>
      </c>
    </row>
    <row r="3201" spans="27:27">
      <c r="AA3201" t="s">
        <v>6520</v>
      </c>
    </row>
    <row r="3202" spans="27:27">
      <c r="AA3202" t="s">
        <v>6521</v>
      </c>
    </row>
    <row r="3203" spans="27:27">
      <c r="AA3203" t="s">
        <v>6522</v>
      </c>
    </row>
    <row r="3204" spans="27:27">
      <c r="AA3204" t="s">
        <v>6523</v>
      </c>
    </row>
    <row r="3205" spans="27:27">
      <c r="AA3205" t="s">
        <v>1654</v>
      </c>
    </row>
    <row r="3206" spans="27:27">
      <c r="AA3206" t="s">
        <v>1655</v>
      </c>
    </row>
    <row r="3207" spans="27:27">
      <c r="AA3207" t="s">
        <v>1656</v>
      </c>
    </row>
    <row r="3208" spans="27:27">
      <c r="AA3208" t="s">
        <v>6524</v>
      </c>
    </row>
    <row r="3209" spans="27:27">
      <c r="AA3209" t="s">
        <v>6525</v>
      </c>
    </row>
    <row r="3210" spans="27:27">
      <c r="AA3210" t="s">
        <v>6526</v>
      </c>
    </row>
    <row r="3211" spans="27:27">
      <c r="AA3211" t="s">
        <v>6527</v>
      </c>
    </row>
    <row r="3212" spans="27:27">
      <c r="AA3212" t="s">
        <v>1657</v>
      </c>
    </row>
    <row r="3213" spans="27:27">
      <c r="AA3213" t="s">
        <v>6528</v>
      </c>
    </row>
    <row r="3214" spans="27:27">
      <c r="AA3214" t="s">
        <v>6529</v>
      </c>
    </row>
    <row r="3215" spans="27:27">
      <c r="AA3215" t="s">
        <v>6530</v>
      </c>
    </row>
    <row r="3216" spans="27:27">
      <c r="AA3216" t="s">
        <v>1658</v>
      </c>
    </row>
    <row r="3217" spans="27:27">
      <c r="AA3217" t="s">
        <v>1659</v>
      </c>
    </row>
    <row r="3218" spans="27:27">
      <c r="AA3218" t="s">
        <v>1660</v>
      </c>
    </row>
    <row r="3219" spans="27:27">
      <c r="AA3219" t="s">
        <v>6531</v>
      </c>
    </row>
    <row r="3220" spans="27:27">
      <c r="AA3220" t="s">
        <v>6532</v>
      </c>
    </row>
    <row r="3221" spans="27:27">
      <c r="AA3221" t="s">
        <v>6533</v>
      </c>
    </row>
    <row r="3222" spans="27:27">
      <c r="AA3222" t="s">
        <v>6534</v>
      </c>
    </row>
    <row r="3223" spans="27:27">
      <c r="AA3223" t="s">
        <v>1661</v>
      </c>
    </row>
    <row r="3224" spans="27:27">
      <c r="AA3224" t="s">
        <v>3624</v>
      </c>
    </row>
    <row r="3225" spans="27:27">
      <c r="AA3225" t="s">
        <v>1662</v>
      </c>
    </row>
    <row r="3226" spans="27:27">
      <c r="AA3226" t="s">
        <v>6535</v>
      </c>
    </row>
    <row r="3227" spans="27:27">
      <c r="AA3227" t="s">
        <v>6536</v>
      </c>
    </row>
    <row r="3228" spans="27:27">
      <c r="AA3228" t="s">
        <v>1663</v>
      </c>
    </row>
    <row r="3229" spans="27:27">
      <c r="AA3229" t="s">
        <v>6537</v>
      </c>
    </row>
    <row r="3230" spans="27:27">
      <c r="AA3230" t="s">
        <v>1664</v>
      </c>
    </row>
    <row r="3231" spans="27:27">
      <c r="AA3231" t="s">
        <v>1665</v>
      </c>
    </row>
    <row r="3232" spans="27:27">
      <c r="AA3232" t="s">
        <v>1666</v>
      </c>
    </row>
    <row r="3233" spans="27:27">
      <c r="AA3233" t="s">
        <v>6538</v>
      </c>
    </row>
    <row r="3234" spans="27:27">
      <c r="AA3234" t="s">
        <v>6539</v>
      </c>
    </row>
    <row r="3235" spans="27:27">
      <c r="AA3235" t="s">
        <v>6540</v>
      </c>
    </row>
    <row r="3236" spans="27:27">
      <c r="AA3236" t="s">
        <v>6541</v>
      </c>
    </row>
    <row r="3237" spans="27:27">
      <c r="AA3237" t="s">
        <v>1667</v>
      </c>
    </row>
    <row r="3238" spans="27:27">
      <c r="AA3238" t="s">
        <v>1668</v>
      </c>
    </row>
    <row r="3239" spans="27:27">
      <c r="AA3239" t="s">
        <v>1669</v>
      </c>
    </row>
    <row r="3240" spans="27:27">
      <c r="AA3240" t="s">
        <v>6542</v>
      </c>
    </row>
    <row r="3241" spans="27:27">
      <c r="AA3241" t="s">
        <v>6543</v>
      </c>
    </row>
    <row r="3242" spans="27:27">
      <c r="AA3242" t="s">
        <v>6544</v>
      </c>
    </row>
    <row r="3243" spans="27:27">
      <c r="AA3243" t="s">
        <v>6545</v>
      </c>
    </row>
    <row r="3244" spans="27:27">
      <c r="AA3244" t="s">
        <v>6546</v>
      </c>
    </row>
    <row r="3245" spans="27:27">
      <c r="AA3245" t="s">
        <v>6547</v>
      </c>
    </row>
    <row r="3246" spans="27:27">
      <c r="AA3246" t="s">
        <v>1670</v>
      </c>
    </row>
    <row r="3247" spans="27:27">
      <c r="AA3247" t="s">
        <v>1671</v>
      </c>
    </row>
    <row r="3248" spans="27:27">
      <c r="AA3248" t="s">
        <v>1672</v>
      </c>
    </row>
    <row r="3249" spans="27:27">
      <c r="AA3249" t="s">
        <v>6548</v>
      </c>
    </row>
    <row r="3250" spans="27:27">
      <c r="AA3250" t="s">
        <v>6549</v>
      </c>
    </row>
    <row r="3251" spans="27:27">
      <c r="AA3251" t="s">
        <v>3625</v>
      </c>
    </row>
    <row r="3252" spans="27:27">
      <c r="AA3252" t="s">
        <v>6550</v>
      </c>
    </row>
    <row r="3253" spans="27:27">
      <c r="AA3253" t="s">
        <v>1673</v>
      </c>
    </row>
    <row r="3254" spans="27:27">
      <c r="AA3254" t="s">
        <v>6551</v>
      </c>
    </row>
    <row r="3255" spans="27:27">
      <c r="AA3255" t="s">
        <v>6552</v>
      </c>
    </row>
    <row r="3256" spans="27:27">
      <c r="AA3256" t="s">
        <v>1674</v>
      </c>
    </row>
    <row r="3257" spans="27:27">
      <c r="AA3257" t="s">
        <v>3626</v>
      </c>
    </row>
    <row r="3258" spans="27:27">
      <c r="AA3258" t="s">
        <v>1675</v>
      </c>
    </row>
    <row r="3259" spans="27:27">
      <c r="AA3259" t="s">
        <v>3627</v>
      </c>
    </row>
    <row r="3260" spans="27:27">
      <c r="AA3260" t="s">
        <v>6553</v>
      </c>
    </row>
    <row r="3261" spans="27:27">
      <c r="AA3261" t="s">
        <v>6554</v>
      </c>
    </row>
    <row r="3262" spans="27:27">
      <c r="AA3262" t="s">
        <v>6555</v>
      </c>
    </row>
    <row r="3263" spans="27:27">
      <c r="AA3263" t="s">
        <v>6556</v>
      </c>
    </row>
    <row r="3264" spans="27:27">
      <c r="AA3264" t="s">
        <v>1676</v>
      </c>
    </row>
    <row r="3265" spans="27:27">
      <c r="AA3265" t="s">
        <v>6557</v>
      </c>
    </row>
    <row r="3266" spans="27:27">
      <c r="AA3266" t="s">
        <v>6558</v>
      </c>
    </row>
    <row r="3267" spans="27:27">
      <c r="AA3267" t="s">
        <v>1677</v>
      </c>
    </row>
    <row r="3268" spans="27:27">
      <c r="AA3268" t="s">
        <v>6559</v>
      </c>
    </row>
    <row r="3269" spans="27:27">
      <c r="AA3269" t="s">
        <v>6560</v>
      </c>
    </row>
    <row r="3270" spans="27:27">
      <c r="AA3270" t="s">
        <v>6561</v>
      </c>
    </row>
    <row r="3271" spans="27:27">
      <c r="AA3271" t="s">
        <v>6562</v>
      </c>
    </row>
    <row r="3272" spans="27:27">
      <c r="AA3272" t="s">
        <v>1678</v>
      </c>
    </row>
    <row r="3273" spans="27:27">
      <c r="AA3273" t="s">
        <v>6563</v>
      </c>
    </row>
    <row r="3274" spans="27:27">
      <c r="AA3274" t="s">
        <v>6564</v>
      </c>
    </row>
    <row r="3275" spans="27:27">
      <c r="AA3275" t="s">
        <v>6565</v>
      </c>
    </row>
    <row r="3276" spans="27:27">
      <c r="AA3276" t="s">
        <v>6566</v>
      </c>
    </row>
    <row r="3277" spans="27:27">
      <c r="AA3277" t="s">
        <v>6567</v>
      </c>
    </row>
    <row r="3278" spans="27:27">
      <c r="AA3278" t="s">
        <v>1679</v>
      </c>
    </row>
    <row r="3279" spans="27:27">
      <c r="AA3279" t="s">
        <v>6568</v>
      </c>
    </row>
    <row r="3280" spans="27:27">
      <c r="AA3280" t="s">
        <v>3628</v>
      </c>
    </row>
    <row r="3281" spans="27:27">
      <c r="AA3281" t="s">
        <v>6569</v>
      </c>
    </row>
    <row r="3282" spans="27:27">
      <c r="AA3282" t="s">
        <v>6570</v>
      </c>
    </row>
    <row r="3283" spans="27:27">
      <c r="AA3283" t="s">
        <v>1680</v>
      </c>
    </row>
    <row r="3284" spans="27:27">
      <c r="AA3284" t="s">
        <v>1681</v>
      </c>
    </row>
    <row r="3285" spans="27:27">
      <c r="AA3285" t="s">
        <v>1682</v>
      </c>
    </row>
    <row r="3286" spans="27:27">
      <c r="AA3286" t="s">
        <v>6571</v>
      </c>
    </row>
    <row r="3287" spans="27:27">
      <c r="AA3287" t="s">
        <v>6572</v>
      </c>
    </row>
    <row r="3288" spans="27:27">
      <c r="AA3288" t="s">
        <v>6573</v>
      </c>
    </row>
    <row r="3289" spans="27:27">
      <c r="AA3289" t="s">
        <v>3629</v>
      </c>
    </row>
    <row r="3290" spans="27:27">
      <c r="AA3290" t="s">
        <v>6574</v>
      </c>
    </row>
    <row r="3291" spans="27:27">
      <c r="AA3291" t="s">
        <v>1683</v>
      </c>
    </row>
    <row r="3292" spans="27:27">
      <c r="AA3292" t="s">
        <v>6575</v>
      </c>
    </row>
    <row r="3293" spans="27:27">
      <c r="AA3293" t="s">
        <v>6576</v>
      </c>
    </row>
    <row r="3294" spans="27:27">
      <c r="AA3294" t="s">
        <v>1684</v>
      </c>
    </row>
    <row r="3295" spans="27:27">
      <c r="AA3295" t="s">
        <v>3630</v>
      </c>
    </row>
    <row r="3296" spans="27:27">
      <c r="AA3296" t="s">
        <v>1685</v>
      </c>
    </row>
    <row r="3297" spans="27:27">
      <c r="AA3297" t="s">
        <v>3631</v>
      </c>
    </row>
    <row r="3298" spans="27:27">
      <c r="AA3298" t="s">
        <v>6577</v>
      </c>
    </row>
    <row r="3299" spans="27:27">
      <c r="AA3299" t="s">
        <v>6578</v>
      </c>
    </row>
    <row r="3300" spans="27:27">
      <c r="AA3300" t="s">
        <v>6579</v>
      </c>
    </row>
    <row r="3301" spans="27:27">
      <c r="AA3301" t="s">
        <v>6580</v>
      </c>
    </row>
    <row r="3302" spans="27:27">
      <c r="AA3302" t="s">
        <v>6581</v>
      </c>
    </row>
    <row r="3303" spans="27:27">
      <c r="AA3303" t="s">
        <v>6582</v>
      </c>
    </row>
    <row r="3304" spans="27:27">
      <c r="AA3304" t="s">
        <v>3632</v>
      </c>
    </row>
    <row r="3305" spans="27:27">
      <c r="AA3305" t="s">
        <v>6583</v>
      </c>
    </row>
    <row r="3306" spans="27:27">
      <c r="AA3306" t="s">
        <v>6584</v>
      </c>
    </row>
    <row r="3307" spans="27:27">
      <c r="AA3307" t="s">
        <v>1686</v>
      </c>
    </row>
    <row r="3308" spans="27:27">
      <c r="AA3308" t="s">
        <v>6585</v>
      </c>
    </row>
    <row r="3309" spans="27:27">
      <c r="AA3309" t="s">
        <v>1687</v>
      </c>
    </row>
    <row r="3310" spans="27:27">
      <c r="AA3310" t="s">
        <v>1688</v>
      </c>
    </row>
    <row r="3311" spans="27:27">
      <c r="AA3311" t="s">
        <v>1689</v>
      </c>
    </row>
    <row r="3312" spans="27:27">
      <c r="AA3312" t="s">
        <v>6586</v>
      </c>
    </row>
    <row r="3313" spans="27:27">
      <c r="AA3313" t="s">
        <v>1690</v>
      </c>
    </row>
    <row r="3314" spans="27:27">
      <c r="AA3314" t="s">
        <v>6587</v>
      </c>
    </row>
    <row r="3315" spans="27:27">
      <c r="AA3315" t="s">
        <v>6588</v>
      </c>
    </row>
    <row r="3316" spans="27:27">
      <c r="AA3316" t="s">
        <v>6589</v>
      </c>
    </row>
    <row r="3317" spans="27:27">
      <c r="AA3317" t="s">
        <v>6590</v>
      </c>
    </row>
    <row r="3318" spans="27:27">
      <c r="AA3318" t="s">
        <v>6591</v>
      </c>
    </row>
    <row r="3319" spans="27:27">
      <c r="AA3319" t="s">
        <v>6592</v>
      </c>
    </row>
    <row r="3320" spans="27:27">
      <c r="AA3320" t="s">
        <v>6593</v>
      </c>
    </row>
    <row r="3321" spans="27:27">
      <c r="AA3321" t="s">
        <v>6594</v>
      </c>
    </row>
    <row r="3322" spans="27:27">
      <c r="AA3322" t="s">
        <v>1691</v>
      </c>
    </row>
    <row r="3323" spans="27:27">
      <c r="AA3323" t="s">
        <v>6595</v>
      </c>
    </row>
    <row r="3324" spans="27:27">
      <c r="AA3324" t="s">
        <v>1692</v>
      </c>
    </row>
    <row r="3325" spans="27:27">
      <c r="AA3325" t="s">
        <v>6596</v>
      </c>
    </row>
    <row r="3326" spans="27:27">
      <c r="AA3326" t="s">
        <v>6597</v>
      </c>
    </row>
    <row r="3327" spans="27:27">
      <c r="AA3327" t="s">
        <v>1693</v>
      </c>
    </row>
    <row r="3328" spans="27:27">
      <c r="AA3328" t="s">
        <v>6598</v>
      </c>
    </row>
    <row r="3329" spans="27:27">
      <c r="AA3329" t="s">
        <v>1694</v>
      </c>
    </row>
    <row r="3330" spans="27:27">
      <c r="AA3330" t="s">
        <v>6599</v>
      </c>
    </row>
    <row r="3331" spans="27:27">
      <c r="AA3331" t="s">
        <v>6600</v>
      </c>
    </row>
    <row r="3332" spans="27:27">
      <c r="AA3332" t="s">
        <v>1695</v>
      </c>
    </row>
    <row r="3333" spans="27:27">
      <c r="AA3333" t="s">
        <v>6601</v>
      </c>
    </row>
    <row r="3334" spans="27:27">
      <c r="AA3334" t="s">
        <v>6602</v>
      </c>
    </row>
    <row r="3335" spans="27:27">
      <c r="AA3335" t="s">
        <v>6603</v>
      </c>
    </row>
    <row r="3336" spans="27:27">
      <c r="AA3336" t="s">
        <v>6604</v>
      </c>
    </row>
    <row r="3337" spans="27:27">
      <c r="AA3337" t="s">
        <v>1696</v>
      </c>
    </row>
    <row r="3338" spans="27:27">
      <c r="AA3338" t="s">
        <v>3633</v>
      </c>
    </row>
    <row r="3339" spans="27:27">
      <c r="AA3339" t="s">
        <v>1697</v>
      </c>
    </row>
    <row r="3340" spans="27:27">
      <c r="AA3340" t="s">
        <v>6605</v>
      </c>
    </row>
    <row r="3341" spans="27:27">
      <c r="AA3341" t="s">
        <v>1698</v>
      </c>
    </row>
    <row r="3342" spans="27:27">
      <c r="AA3342" t="s">
        <v>1699</v>
      </c>
    </row>
    <row r="3343" spans="27:27">
      <c r="AA3343" t="s">
        <v>6606</v>
      </c>
    </row>
    <row r="3344" spans="27:27">
      <c r="AA3344" t="s">
        <v>6607</v>
      </c>
    </row>
    <row r="3345" spans="27:27">
      <c r="AA3345" t="s">
        <v>3634</v>
      </c>
    </row>
    <row r="3346" spans="27:27">
      <c r="AA3346" t="s">
        <v>1700</v>
      </c>
    </row>
    <row r="3347" spans="27:27">
      <c r="AA3347" t="s">
        <v>6608</v>
      </c>
    </row>
    <row r="3348" spans="27:27">
      <c r="AA3348" t="s">
        <v>6609</v>
      </c>
    </row>
    <row r="3349" spans="27:27">
      <c r="AA3349" t="s">
        <v>6610</v>
      </c>
    </row>
    <row r="3350" spans="27:27">
      <c r="AA3350" t="s">
        <v>1701</v>
      </c>
    </row>
    <row r="3351" spans="27:27">
      <c r="AA3351" t="s">
        <v>6611</v>
      </c>
    </row>
    <row r="3352" spans="27:27">
      <c r="AA3352" t="s">
        <v>6612</v>
      </c>
    </row>
    <row r="3353" spans="27:27">
      <c r="AA3353" t="s">
        <v>6613</v>
      </c>
    </row>
    <row r="3354" spans="27:27">
      <c r="AA3354" t="s">
        <v>1702</v>
      </c>
    </row>
    <row r="3355" spans="27:27">
      <c r="AA3355" t="s">
        <v>6614</v>
      </c>
    </row>
    <row r="3356" spans="27:27">
      <c r="AA3356" t="s">
        <v>6615</v>
      </c>
    </row>
    <row r="3357" spans="27:27">
      <c r="AA3357" t="s">
        <v>6616</v>
      </c>
    </row>
    <row r="3358" spans="27:27">
      <c r="AA3358" t="s">
        <v>6617</v>
      </c>
    </row>
    <row r="3359" spans="27:27">
      <c r="AA3359" t="s">
        <v>1703</v>
      </c>
    </row>
    <row r="3360" spans="27:27">
      <c r="AA3360" t="s">
        <v>6618</v>
      </c>
    </row>
    <row r="3361" spans="27:27">
      <c r="AA3361" t="s">
        <v>6619</v>
      </c>
    </row>
    <row r="3362" spans="27:27">
      <c r="AA3362" t="s">
        <v>6620</v>
      </c>
    </row>
    <row r="3363" spans="27:27">
      <c r="AA3363" t="s">
        <v>6621</v>
      </c>
    </row>
    <row r="3364" spans="27:27">
      <c r="AA3364" t="s">
        <v>186</v>
      </c>
    </row>
    <row r="3365" spans="27:27">
      <c r="AA3365" t="s">
        <v>187</v>
      </c>
    </row>
    <row r="3366" spans="27:27">
      <c r="AA3366" t="s">
        <v>188</v>
      </c>
    </row>
    <row r="3367" spans="27:27">
      <c r="AA3367" t="s">
        <v>6622</v>
      </c>
    </row>
    <row r="3368" spans="27:27">
      <c r="AA3368" t="s">
        <v>189</v>
      </c>
    </row>
    <row r="3369" spans="27:27">
      <c r="AA3369" t="s">
        <v>6623</v>
      </c>
    </row>
    <row r="3370" spans="27:27">
      <c r="AA3370" t="s">
        <v>6624</v>
      </c>
    </row>
    <row r="3371" spans="27:27">
      <c r="AA3371" t="s">
        <v>6625</v>
      </c>
    </row>
    <row r="3372" spans="27:27">
      <c r="AA3372" t="s">
        <v>6626</v>
      </c>
    </row>
    <row r="3373" spans="27:27">
      <c r="AA3373" t="s">
        <v>6627</v>
      </c>
    </row>
    <row r="3374" spans="27:27">
      <c r="AA3374" t="s">
        <v>6628</v>
      </c>
    </row>
    <row r="3375" spans="27:27">
      <c r="AA3375" t="s">
        <v>190</v>
      </c>
    </row>
    <row r="3376" spans="27:27">
      <c r="AA3376" t="s">
        <v>191</v>
      </c>
    </row>
    <row r="3377" spans="27:27">
      <c r="AA3377" t="s">
        <v>192</v>
      </c>
    </row>
    <row r="3378" spans="27:27">
      <c r="AA3378" t="s">
        <v>6629</v>
      </c>
    </row>
    <row r="3379" spans="27:27">
      <c r="AA3379" t="s">
        <v>193</v>
      </c>
    </row>
    <row r="3380" spans="27:27">
      <c r="AA3380" t="s">
        <v>6630</v>
      </c>
    </row>
    <row r="3381" spans="27:27">
      <c r="AA3381" t="s">
        <v>194</v>
      </c>
    </row>
    <row r="3382" spans="27:27">
      <c r="AA3382" t="s">
        <v>6631</v>
      </c>
    </row>
    <row r="3383" spans="27:27">
      <c r="AA3383" t="s">
        <v>195</v>
      </c>
    </row>
    <row r="3384" spans="27:27">
      <c r="AA3384" t="s">
        <v>6632</v>
      </c>
    </row>
    <row r="3385" spans="27:27">
      <c r="AA3385" t="s">
        <v>6633</v>
      </c>
    </row>
    <row r="3386" spans="27:27">
      <c r="AA3386" t="s">
        <v>196</v>
      </c>
    </row>
    <row r="3387" spans="27:27">
      <c r="AA3387" t="s">
        <v>6634</v>
      </c>
    </row>
    <row r="3388" spans="27:27">
      <c r="AA3388" t="s">
        <v>6635</v>
      </c>
    </row>
    <row r="3389" spans="27:27">
      <c r="AA3389" t="s">
        <v>197</v>
      </c>
    </row>
    <row r="3390" spans="27:27">
      <c r="AA3390" t="s">
        <v>6636</v>
      </c>
    </row>
    <row r="3391" spans="27:27">
      <c r="AA3391" t="s">
        <v>6637</v>
      </c>
    </row>
    <row r="3392" spans="27:27">
      <c r="AA3392" t="s">
        <v>6638</v>
      </c>
    </row>
    <row r="3393" spans="27:27">
      <c r="AA3393" t="s">
        <v>198</v>
      </c>
    </row>
    <row r="3394" spans="27:27">
      <c r="AA3394" t="s">
        <v>6639</v>
      </c>
    </row>
    <row r="3395" spans="27:27">
      <c r="AA3395" t="s">
        <v>6640</v>
      </c>
    </row>
    <row r="3396" spans="27:27">
      <c r="AA3396" t="s">
        <v>6641</v>
      </c>
    </row>
    <row r="3397" spans="27:27">
      <c r="AA3397" t="s">
        <v>199</v>
      </c>
    </row>
    <row r="3398" spans="27:27">
      <c r="AA3398" t="s">
        <v>6642</v>
      </c>
    </row>
    <row r="3399" spans="27:27">
      <c r="AA3399" t="s">
        <v>6643</v>
      </c>
    </row>
    <row r="3400" spans="27:27">
      <c r="AA3400" t="s">
        <v>6644</v>
      </c>
    </row>
    <row r="3401" spans="27:27">
      <c r="AA3401" t="s">
        <v>6645</v>
      </c>
    </row>
    <row r="3402" spans="27:27">
      <c r="AA3402" t="s">
        <v>200</v>
      </c>
    </row>
    <row r="3403" spans="27:27">
      <c r="AA3403" t="s">
        <v>6646</v>
      </c>
    </row>
    <row r="3404" spans="27:27">
      <c r="AA3404" t="s">
        <v>6647</v>
      </c>
    </row>
    <row r="3405" spans="27:27">
      <c r="AA3405" t="s">
        <v>6648</v>
      </c>
    </row>
    <row r="3406" spans="27:27">
      <c r="AA3406" t="s">
        <v>6649</v>
      </c>
    </row>
    <row r="3407" spans="27:27">
      <c r="AA3407" t="s">
        <v>201</v>
      </c>
    </row>
    <row r="3408" spans="27:27">
      <c r="AA3408" t="s">
        <v>1704</v>
      </c>
    </row>
    <row r="3409" spans="27:27">
      <c r="AA3409" t="s">
        <v>1705</v>
      </c>
    </row>
    <row r="3410" spans="27:27">
      <c r="AA3410" t="s">
        <v>6650</v>
      </c>
    </row>
    <row r="3411" spans="27:27">
      <c r="AA3411" t="s">
        <v>1706</v>
      </c>
    </row>
    <row r="3412" spans="27:27">
      <c r="AA3412" t="s">
        <v>6651</v>
      </c>
    </row>
    <row r="3413" spans="27:27">
      <c r="AA3413" t="s">
        <v>202</v>
      </c>
    </row>
    <row r="3414" spans="27:27">
      <c r="AA3414" t="s">
        <v>6652</v>
      </c>
    </row>
    <row r="3415" spans="27:27">
      <c r="AA3415" t="s">
        <v>6653</v>
      </c>
    </row>
    <row r="3416" spans="27:27">
      <c r="AA3416" t="s">
        <v>6654</v>
      </c>
    </row>
    <row r="3417" spans="27:27">
      <c r="AA3417" t="s">
        <v>203</v>
      </c>
    </row>
    <row r="3418" spans="27:27">
      <c r="AA3418" t="s">
        <v>6655</v>
      </c>
    </row>
    <row r="3419" spans="27:27">
      <c r="AA3419" t="s">
        <v>204</v>
      </c>
    </row>
    <row r="3420" spans="27:27">
      <c r="AA3420" t="s">
        <v>6656</v>
      </c>
    </row>
    <row r="3421" spans="27:27">
      <c r="AA3421" t="s">
        <v>1707</v>
      </c>
    </row>
    <row r="3422" spans="27:27">
      <c r="AA3422" t="s">
        <v>205</v>
      </c>
    </row>
    <row r="3423" spans="27:27">
      <c r="AA3423" t="s">
        <v>206</v>
      </c>
    </row>
    <row r="3424" spans="27:27">
      <c r="AA3424" t="s">
        <v>6657</v>
      </c>
    </row>
    <row r="3425" spans="27:27">
      <c r="AA3425" t="s">
        <v>207</v>
      </c>
    </row>
    <row r="3426" spans="27:27">
      <c r="AA3426" t="s">
        <v>6658</v>
      </c>
    </row>
    <row r="3427" spans="27:27">
      <c r="AA3427" t="s">
        <v>208</v>
      </c>
    </row>
    <row r="3428" spans="27:27">
      <c r="AA3428" t="s">
        <v>6659</v>
      </c>
    </row>
    <row r="3429" spans="27:27">
      <c r="AA3429" t="s">
        <v>6660</v>
      </c>
    </row>
    <row r="3430" spans="27:27">
      <c r="AA3430" t="s">
        <v>6661</v>
      </c>
    </row>
    <row r="3431" spans="27:27">
      <c r="AA3431" t="s">
        <v>3635</v>
      </c>
    </row>
    <row r="3432" spans="27:27">
      <c r="AA3432" t="s">
        <v>1708</v>
      </c>
    </row>
    <row r="3433" spans="27:27">
      <c r="AA3433" t="s">
        <v>6662</v>
      </c>
    </row>
    <row r="3434" spans="27:27">
      <c r="AA3434" t="s">
        <v>6663</v>
      </c>
    </row>
    <row r="3435" spans="27:27">
      <c r="AA3435" t="s">
        <v>1709</v>
      </c>
    </row>
    <row r="3436" spans="27:27">
      <c r="AA3436" t="s">
        <v>3636</v>
      </c>
    </row>
    <row r="3437" spans="27:27">
      <c r="AA3437" t="s">
        <v>1710</v>
      </c>
    </row>
    <row r="3438" spans="27:27">
      <c r="AA3438" t="s">
        <v>209</v>
      </c>
    </row>
    <row r="3439" spans="27:27">
      <c r="AA3439" t="s">
        <v>210</v>
      </c>
    </row>
    <row r="3440" spans="27:27">
      <c r="AA3440" t="s">
        <v>211</v>
      </c>
    </row>
    <row r="3441" spans="27:27">
      <c r="AA3441" t="s">
        <v>212</v>
      </c>
    </row>
    <row r="3442" spans="27:27">
      <c r="AA3442" t="s">
        <v>213</v>
      </c>
    </row>
    <row r="3443" spans="27:27">
      <c r="AA3443" t="s">
        <v>3637</v>
      </c>
    </row>
    <row r="3444" spans="27:27">
      <c r="AA3444" t="s">
        <v>6664</v>
      </c>
    </row>
    <row r="3445" spans="27:27">
      <c r="AA3445" t="s">
        <v>6665</v>
      </c>
    </row>
    <row r="3446" spans="27:27">
      <c r="AA3446" t="s">
        <v>6666</v>
      </c>
    </row>
    <row r="3447" spans="27:27">
      <c r="AA3447" t="s">
        <v>6667</v>
      </c>
    </row>
    <row r="3448" spans="27:27">
      <c r="AA3448" t="s">
        <v>6668</v>
      </c>
    </row>
    <row r="3449" spans="27:27">
      <c r="AA3449" t="s">
        <v>6669</v>
      </c>
    </row>
    <row r="3450" spans="27:27">
      <c r="AA3450" t="s">
        <v>6670</v>
      </c>
    </row>
    <row r="3451" spans="27:27">
      <c r="AA3451" t="s">
        <v>6671</v>
      </c>
    </row>
    <row r="3452" spans="27:27">
      <c r="AA3452" t="s">
        <v>214</v>
      </c>
    </row>
    <row r="3453" spans="27:27">
      <c r="AA3453" t="s">
        <v>215</v>
      </c>
    </row>
    <row r="3454" spans="27:27">
      <c r="AA3454" t="s">
        <v>3638</v>
      </c>
    </row>
    <row r="3455" spans="27:27">
      <c r="AA3455" t="s">
        <v>216</v>
      </c>
    </row>
    <row r="3456" spans="27:27">
      <c r="AA3456" t="s">
        <v>3639</v>
      </c>
    </row>
    <row r="3457" spans="27:27">
      <c r="AA3457" t="s">
        <v>217</v>
      </c>
    </row>
    <row r="3458" spans="27:27">
      <c r="AA3458" t="s">
        <v>218</v>
      </c>
    </row>
    <row r="3459" spans="27:27">
      <c r="AA3459" t="s">
        <v>219</v>
      </c>
    </row>
    <row r="3460" spans="27:27">
      <c r="AA3460" t="s">
        <v>1711</v>
      </c>
    </row>
    <row r="3461" spans="27:27">
      <c r="AA3461" t="s">
        <v>6672</v>
      </c>
    </row>
    <row r="3462" spans="27:27">
      <c r="AA3462" t="s">
        <v>1712</v>
      </c>
    </row>
    <row r="3463" spans="27:27">
      <c r="AA3463" t="s">
        <v>6673</v>
      </c>
    </row>
    <row r="3464" spans="27:27">
      <c r="AA3464" t="s">
        <v>6674</v>
      </c>
    </row>
    <row r="3465" spans="27:27">
      <c r="AA3465" t="s">
        <v>6675</v>
      </c>
    </row>
    <row r="3466" spans="27:27">
      <c r="AA3466" t="s">
        <v>6676</v>
      </c>
    </row>
    <row r="3467" spans="27:27">
      <c r="AA3467" t="s">
        <v>13652</v>
      </c>
    </row>
    <row r="3468" spans="27:27">
      <c r="AA3468" t="s">
        <v>13653</v>
      </c>
    </row>
    <row r="3469" spans="27:27">
      <c r="AA3469" t="s">
        <v>13654</v>
      </c>
    </row>
    <row r="3470" spans="27:27">
      <c r="AA3470" t="s">
        <v>6677</v>
      </c>
    </row>
    <row r="3471" spans="27:27">
      <c r="AA3471" t="s">
        <v>6678</v>
      </c>
    </row>
    <row r="3472" spans="27:27">
      <c r="AA3472" t="s">
        <v>6679</v>
      </c>
    </row>
    <row r="3473" spans="27:27">
      <c r="AA3473" t="s">
        <v>1713</v>
      </c>
    </row>
    <row r="3474" spans="27:27">
      <c r="AA3474" t="s">
        <v>1714</v>
      </c>
    </row>
    <row r="3475" spans="27:27">
      <c r="AA3475" t="s">
        <v>6680</v>
      </c>
    </row>
    <row r="3476" spans="27:27">
      <c r="AA3476" t="s">
        <v>1715</v>
      </c>
    </row>
    <row r="3477" spans="27:27">
      <c r="AA3477" t="s">
        <v>6681</v>
      </c>
    </row>
    <row r="3478" spans="27:27">
      <c r="AA3478" t="s">
        <v>1716</v>
      </c>
    </row>
    <row r="3479" spans="27:27">
      <c r="AA3479" t="s">
        <v>6682</v>
      </c>
    </row>
    <row r="3480" spans="27:27">
      <c r="AA3480" t="s">
        <v>1717</v>
      </c>
    </row>
    <row r="3481" spans="27:27">
      <c r="AA3481" t="s">
        <v>6683</v>
      </c>
    </row>
    <row r="3482" spans="27:27">
      <c r="AA3482" t="s">
        <v>1718</v>
      </c>
    </row>
    <row r="3483" spans="27:27">
      <c r="AA3483" t="s">
        <v>220</v>
      </c>
    </row>
    <row r="3484" spans="27:27">
      <c r="AA3484" t="s">
        <v>1719</v>
      </c>
    </row>
    <row r="3485" spans="27:27">
      <c r="AA3485" t="s">
        <v>6684</v>
      </c>
    </row>
    <row r="3486" spans="27:27">
      <c r="AA3486" t="s">
        <v>1720</v>
      </c>
    </row>
    <row r="3487" spans="27:27">
      <c r="AA3487" t="s">
        <v>6685</v>
      </c>
    </row>
    <row r="3488" spans="27:27">
      <c r="AA3488" t="s">
        <v>221</v>
      </c>
    </row>
    <row r="3489" spans="27:27">
      <c r="AA3489" t="s">
        <v>222</v>
      </c>
    </row>
    <row r="3490" spans="27:27">
      <c r="AA3490" t="s">
        <v>223</v>
      </c>
    </row>
    <row r="3491" spans="27:27">
      <c r="AA3491" t="s">
        <v>224</v>
      </c>
    </row>
    <row r="3492" spans="27:27">
      <c r="AA3492" t="s">
        <v>225</v>
      </c>
    </row>
    <row r="3493" spans="27:27">
      <c r="AA3493" t="s">
        <v>226</v>
      </c>
    </row>
    <row r="3494" spans="27:27">
      <c r="AA3494" t="s">
        <v>227</v>
      </c>
    </row>
    <row r="3495" spans="27:27">
      <c r="AA3495" t="s">
        <v>228</v>
      </c>
    </row>
    <row r="3496" spans="27:27">
      <c r="AA3496" t="s">
        <v>229</v>
      </c>
    </row>
    <row r="3497" spans="27:27">
      <c r="AA3497" t="s">
        <v>230</v>
      </c>
    </row>
    <row r="3498" spans="27:27">
      <c r="AA3498" t="s">
        <v>231</v>
      </c>
    </row>
    <row r="3499" spans="27:27">
      <c r="AA3499" t="s">
        <v>232</v>
      </c>
    </row>
    <row r="3500" spans="27:27">
      <c r="AA3500" t="s">
        <v>233</v>
      </c>
    </row>
    <row r="3501" spans="27:27">
      <c r="AA3501" t="s">
        <v>234</v>
      </c>
    </row>
    <row r="3502" spans="27:27">
      <c r="AA3502" t="s">
        <v>235</v>
      </c>
    </row>
    <row r="3503" spans="27:27">
      <c r="AA3503" t="s">
        <v>236</v>
      </c>
    </row>
    <row r="3504" spans="27:27">
      <c r="AA3504" t="s">
        <v>237</v>
      </c>
    </row>
    <row r="3505" spans="27:27">
      <c r="AA3505" t="s">
        <v>238</v>
      </c>
    </row>
    <row r="3506" spans="27:27">
      <c r="AA3506" t="s">
        <v>239</v>
      </c>
    </row>
    <row r="3507" spans="27:27">
      <c r="AA3507" t="s">
        <v>240</v>
      </c>
    </row>
    <row r="3508" spans="27:27">
      <c r="AA3508" t="s">
        <v>241</v>
      </c>
    </row>
    <row r="3509" spans="27:27">
      <c r="AA3509" t="s">
        <v>242</v>
      </c>
    </row>
    <row r="3510" spans="27:27">
      <c r="AA3510" t="s">
        <v>243</v>
      </c>
    </row>
    <row r="3511" spans="27:27">
      <c r="AA3511" t="s">
        <v>244</v>
      </c>
    </row>
    <row r="3512" spans="27:27">
      <c r="AA3512" t="s">
        <v>245</v>
      </c>
    </row>
    <row r="3513" spans="27:27">
      <c r="AA3513" t="s">
        <v>246</v>
      </c>
    </row>
    <row r="3514" spans="27:27">
      <c r="AA3514" t="s">
        <v>247</v>
      </c>
    </row>
    <row r="3515" spans="27:27">
      <c r="AA3515" t="s">
        <v>248</v>
      </c>
    </row>
    <row r="3516" spans="27:27">
      <c r="AA3516" t="s">
        <v>249</v>
      </c>
    </row>
    <row r="3517" spans="27:27">
      <c r="AA3517" t="s">
        <v>250</v>
      </c>
    </row>
    <row r="3518" spans="27:27">
      <c r="AA3518" t="s">
        <v>251</v>
      </c>
    </row>
    <row r="3519" spans="27:27">
      <c r="AA3519" t="s">
        <v>6686</v>
      </c>
    </row>
    <row r="3520" spans="27:27">
      <c r="AA3520" t="s">
        <v>252</v>
      </c>
    </row>
    <row r="3521" spans="27:27">
      <c r="AA3521" t="s">
        <v>253</v>
      </c>
    </row>
    <row r="3522" spans="27:27">
      <c r="AA3522" t="s">
        <v>254</v>
      </c>
    </row>
    <row r="3523" spans="27:27">
      <c r="AA3523" t="s">
        <v>255</v>
      </c>
    </row>
    <row r="3524" spans="27:27">
      <c r="AA3524" t="s">
        <v>6687</v>
      </c>
    </row>
    <row r="3525" spans="27:27">
      <c r="AA3525" t="s">
        <v>256</v>
      </c>
    </row>
    <row r="3526" spans="27:27">
      <c r="AA3526" t="s">
        <v>257</v>
      </c>
    </row>
    <row r="3527" spans="27:27">
      <c r="AA3527" t="s">
        <v>6688</v>
      </c>
    </row>
    <row r="3528" spans="27:27">
      <c r="AA3528" t="s">
        <v>6689</v>
      </c>
    </row>
    <row r="3529" spans="27:27">
      <c r="AA3529" t="s">
        <v>6690</v>
      </c>
    </row>
    <row r="3530" spans="27:27">
      <c r="AA3530" t="s">
        <v>6691</v>
      </c>
    </row>
    <row r="3531" spans="27:27">
      <c r="AA3531" t="s">
        <v>6692</v>
      </c>
    </row>
    <row r="3532" spans="27:27">
      <c r="AA3532" t="s">
        <v>6693</v>
      </c>
    </row>
    <row r="3533" spans="27:27">
      <c r="AA3533" t="s">
        <v>6694</v>
      </c>
    </row>
    <row r="3534" spans="27:27">
      <c r="AA3534" t="s">
        <v>1721</v>
      </c>
    </row>
    <row r="3535" spans="27:27">
      <c r="AA3535" t="s">
        <v>6695</v>
      </c>
    </row>
    <row r="3536" spans="27:27">
      <c r="AA3536" t="s">
        <v>1722</v>
      </c>
    </row>
    <row r="3537" spans="27:27">
      <c r="AA3537" t="s">
        <v>6696</v>
      </c>
    </row>
    <row r="3538" spans="27:27">
      <c r="AA3538" t="s">
        <v>6697</v>
      </c>
    </row>
    <row r="3539" spans="27:27">
      <c r="AA3539" t="s">
        <v>6698</v>
      </c>
    </row>
    <row r="3540" spans="27:27">
      <c r="AA3540" t="s">
        <v>6699</v>
      </c>
    </row>
    <row r="3541" spans="27:27">
      <c r="AA3541" t="s">
        <v>6700</v>
      </c>
    </row>
    <row r="3542" spans="27:27">
      <c r="AA3542" t="s">
        <v>6701</v>
      </c>
    </row>
    <row r="3543" spans="27:27">
      <c r="AA3543" t="s">
        <v>6702</v>
      </c>
    </row>
    <row r="3544" spans="27:27">
      <c r="AA3544" t="s">
        <v>1723</v>
      </c>
    </row>
    <row r="3545" spans="27:27">
      <c r="AA3545" t="s">
        <v>1724</v>
      </c>
    </row>
    <row r="3546" spans="27:27">
      <c r="AA3546" t="s">
        <v>1725</v>
      </c>
    </row>
    <row r="3547" spans="27:27">
      <c r="AA3547" t="s">
        <v>6703</v>
      </c>
    </row>
    <row r="3548" spans="27:27">
      <c r="AA3548" t="s">
        <v>6704</v>
      </c>
    </row>
    <row r="3549" spans="27:27">
      <c r="AA3549" t="s">
        <v>6705</v>
      </c>
    </row>
    <row r="3550" spans="27:27">
      <c r="AA3550" t="s">
        <v>1726</v>
      </c>
    </row>
    <row r="3551" spans="27:27">
      <c r="AA3551" t="s">
        <v>1727</v>
      </c>
    </row>
    <row r="3552" spans="27:27">
      <c r="AA3552" t="s">
        <v>1728</v>
      </c>
    </row>
    <row r="3553" spans="27:27">
      <c r="AA3553" t="s">
        <v>6706</v>
      </c>
    </row>
    <row r="3554" spans="27:27">
      <c r="AA3554" t="s">
        <v>6707</v>
      </c>
    </row>
    <row r="3555" spans="27:27">
      <c r="AA3555" t="s">
        <v>6708</v>
      </c>
    </row>
    <row r="3556" spans="27:27">
      <c r="AA3556" t="s">
        <v>6709</v>
      </c>
    </row>
    <row r="3557" spans="27:27">
      <c r="AA3557" t="s">
        <v>6710</v>
      </c>
    </row>
    <row r="3558" spans="27:27">
      <c r="AA3558" t="s">
        <v>6711</v>
      </c>
    </row>
    <row r="3559" spans="27:27">
      <c r="AA3559" t="s">
        <v>6712</v>
      </c>
    </row>
    <row r="3560" spans="27:27">
      <c r="AA3560" t="s">
        <v>6713</v>
      </c>
    </row>
    <row r="3561" spans="27:27">
      <c r="AA3561" t="s">
        <v>6714</v>
      </c>
    </row>
    <row r="3562" spans="27:27">
      <c r="AA3562" t="s">
        <v>1729</v>
      </c>
    </row>
    <row r="3563" spans="27:27">
      <c r="AA3563" t="s">
        <v>1730</v>
      </c>
    </row>
    <row r="3564" spans="27:27">
      <c r="AA3564" t="s">
        <v>3640</v>
      </c>
    </row>
    <row r="3565" spans="27:27">
      <c r="AA3565" t="s">
        <v>6715</v>
      </c>
    </row>
    <row r="3566" spans="27:27">
      <c r="AA3566" t="s">
        <v>6716</v>
      </c>
    </row>
    <row r="3567" spans="27:27">
      <c r="AA3567" t="s">
        <v>6717</v>
      </c>
    </row>
    <row r="3568" spans="27:27">
      <c r="AA3568" t="s">
        <v>6718</v>
      </c>
    </row>
    <row r="3569" spans="27:27">
      <c r="AA3569" t="s">
        <v>6719</v>
      </c>
    </row>
    <row r="3570" spans="27:27">
      <c r="AA3570" t="s">
        <v>6720</v>
      </c>
    </row>
    <row r="3571" spans="27:27">
      <c r="AA3571" t="s">
        <v>6721</v>
      </c>
    </row>
    <row r="3572" spans="27:27">
      <c r="AA3572" t="s">
        <v>1731</v>
      </c>
    </row>
    <row r="3573" spans="27:27">
      <c r="AA3573" t="s">
        <v>6722</v>
      </c>
    </row>
    <row r="3574" spans="27:27">
      <c r="AA3574" t="s">
        <v>6723</v>
      </c>
    </row>
    <row r="3575" spans="27:27">
      <c r="AA3575" t="s">
        <v>1732</v>
      </c>
    </row>
    <row r="3576" spans="27:27">
      <c r="AA3576" t="s">
        <v>6724</v>
      </c>
    </row>
    <row r="3577" spans="27:27">
      <c r="AA3577" t="s">
        <v>6725</v>
      </c>
    </row>
    <row r="3578" spans="27:27">
      <c r="AA3578" t="s">
        <v>6726</v>
      </c>
    </row>
    <row r="3579" spans="27:27">
      <c r="AA3579" t="s">
        <v>6727</v>
      </c>
    </row>
    <row r="3580" spans="27:27">
      <c r="AA3580" t="s">
        <v>6728</v>
      </c>
    </row>
    <row r="3581" spans="27:27">
      <c r="AA3581" t="s">
        <v>6729</v>
      </c>
    </row>
    <row r="3582" spans="27:27">
      <c r="AA3582" t="s">
        <v>6730</v>
      </c>
    </row>
    <row r="3583" spans="27:27">
      <c r="AA3583" t="s">
        <v>6731</v>
      </c>
    </row>
    <row r="3584" spans="27:27">
      <c r="AA3584" t="s">
        <v>6732</v>
      </c>
    </row>
    <row r="3585" spans="27:27">
      <c r="AA3585" t="s">
        <v>6733</v>
      </c>
    </row>
    <row r="3586" spans="27:27">
      <c r="AA3586" t="s">
        <v>6734</v>
      </c>
    </row>
    <row r="3587" spans="27:27">
      <c r="AA3587" t="s">
        <v>6735</v>
      </c>
    </row>
    <row r="3588" spans="27:27">
      <c r="AA3588" t="s">
        <v>6736</v>
      </c>
    </row>
    <row r="3589" spans="27:27">
      <c r="AA3589" t="s">
        <v>6737</v>
      </c>
    </row>
    <row r="3590" spans="27:27">
      <c r="AA3590" t="s">
        <v>1733</v>
      </c>
    </row>
    <row r="3591" spans="27:27">
      <c r="AA3591" t="s">
        <v>6738</v>
      </c>
    </row>
    <row r="3592" spans="27:27">
      <c r="AA3592" t="s">
        <v>6739</v>
      </c>
    </row>
    <row r="3593" spans="27:27">
      <c r="AA3593" t="s">
        <v>6740</v>
      </c>
    </row>
    <row r="3594" spans="27:27">
      <c r="AA3594" t="s">
        <v>6741</v>
      </c>
    </row>
    <row r="3595" spans="27:27">
      <c r="AA3595" t="s">
        <v>1734</v>
      </c>
    </row>
    <row r="3596" spans="27:27">
      <c r="AA3596" t="s">
        <v>6742</v>
      </c>
    </row>
    <row r="3597" spans="27:27">
      <c r="AA3597" t="s">
        <v>6743</v>
      </c>
    </row>
    <row r="3598" spans="27:27">
      <c r="AA3598" t="s">
        <v>1735</v>
      </c>
    </row>
    <row r="3599" spans="27:27">
      <c r="AA3599" t="s">
        <v>6744</v>
      </c>
    </row>
    <row r="3600" spans="27:27">
      <c r="AA3600" t="s">
        <v>6745</v>
      </c>
    </row>
    <row r="3601" spans="27:27">
      <c r="AA3601" t="s">
        <v>1736</v>
      </c>
    </row>
    <row r="3602" spans="27:27">
      <c r="AA3602" t="s">
        <v>6746</v>
      </c>
    </row>
    <row r="3603" spans="27:27">
      <c r="AA3603" t="s">
        <v>1737</v>
      </c>
    </row>
    <row r="3604" spans="27:27">
      <c r="AA3604" t="s">
        <v>6747</v>
      </c>
    </row>
    <row r="3605" spans="27:27">
      <c r="AA3605" t="s">
        <v>6748</v>
      </c>
    </row>
    <row r="3606" spans="27:27">
      <c r="AA3606" t="s">
        <v>6749</v>
      </c>
    </row>
    <row r="3607" spans="27:27">
      <c r="AA3607" t="s">
        <v>6750</v>
      </c>
    </row>
    <row r="3608" spans="27:27">
      <c r="AA3608" t="s">
        <v>6751</v>
      </c>
    </row>
    <row r="3609" spans="27:27">
      <c r="AA3609" t="s">
        <v>6752</v>
      </c>
    </row>
    <row r="3610" spans="27:27">
      <c r="AA3610" t="s">
        <v>6753</v>
      </c>
    </row>
    <row r="3611" spans="27:27">
      <c r="AA3611" t="s">
        <v>1738</v>
      </c>
    </row>
    <row r="3612" spans="27:27">
      <c r="AA3612" t="s">
        <v>6754</v>
      </c>
    </row>
    <row r="3613" spans="27:27">
      <c r="AA3613" t="s">
        <v>6755</v>
      </c>
    </row>
    <row r="3614" spans="27:27">
      <c r="AA3614" t="s">
        <v>1739</v>
      </c>
    </row>
    <row r="3615" spans="27:27">
      <c r="AA3615" t="s">
        <v>1740</v>
      </c>
    </row>
    <row r="3616" spans="27:27">
      <c r="AA3616" t="s">
        <v>1741</v>
      </c>
    </row>
    <row r="3617" spans="27:27">
      <c r="AA3617" t="s">
        <v>6756</v>
      </c>
    </row>
    <row r="3618" spans="27:27">
      <c r="AA3618" t="s">
        <v>6757</v>
      </c>
    </row>
    <row r="3619" spans="27:27">
      <c r="AA3619" t="s">
        <v>6758</v>
      </c>
    </row>
    <row r="3620" spans="27:27">
      <c r="AA3620" t="s">
        <v>1742</v>
      </c>
    </row>
    <row r="3621" spans="27:27">
      <c r="AA3621" t="s">
        <v>6759</v>
      </c>
    </row>
    <row r="3622" spans="27:27">
      <c r="AA3622" t="s">
        <v>6760</v>
      </c>
    </row>
    <row r="3623" spans="27:27">
      <c r="AA3623" t="s">
        <v>6761</v>
      </c>
    </row>
    <row r="3624" spans="27:27">
      <c r="AA3624" t="s">
        <v>6762</v>
      </c>
    </row>
    <row r="3625" spans="27:27">
      <c r="AA3625" t="s">
        <v>1743</v>
      </c>
    </row>
    <row r="3626" spans="27:27">
      <c r="AA3626" t="s">
        <v>3641</v>
      </c>
    </row>
    <row r="3627" spans="27:27">
      <c r="AA3627" t="s">
        <v>6763</v>
      </c>
    </row>
    <row r="3628" spans="27:27">
      <c r="AA3628" t="s">
        <v>6764</v>
      </c>
    </row>
    <row r="3629" spans="27:27">
      <c r="AA3629" t="s">
        <v>1744</v>
      </c>
    </row>
    <row r="3630" spans="27:27">
      <c r="AA3630" t="s">
        <v>6765</v>
      </c>
    </row>
    <row r="3631" spans="27:27">
      <c r="AA3631" t="s">
        <v>1745</v>
      </c>
    </row>
    <row r="3632" spans="27:27">
      <c r="AA3632" t="s">
        <v>6766</v>
      </c>
    </row>
    <row r="3633" spans="27:27">
      <c r="AA3633" t="s">
        <v>6767</v>
      </c>
    </row>
    <row r="3634" spans="27:27">
      <c r="AA3634" t="s">
        <v>6768</v>
      </c>
    </row>
    <row r="3635" spans="27:27">
      <c r="AA3635" t="s">
        <v>6769</v>
      </c>
    </row>
    <row r="3636" spans="27:27">
      <c r="AA3636" t="s">
        <v>6770</v>
      </c>
    </row>
    <row r="3637" spans="27:27">
      <c r="AA3637" t="s">
        <v>6771</v>
      </c>
    </row>
    <row r="3638" spans="27:27">
      <c r="AA3638" t="s">
        <v>6772</v>
      </c>
    </row>
    <row r="3639" spans="27:27">
      <c r="AA3639" t="s">
        <v>6773</v>
      </c>
    </row>
    <row r="3640" spans="27:27">
      <c r="AA3640" t="s">
        <v>6774</v>
      </c>
    </row>
    <row r="3641" spans="27:27">
      <c r="AA3641" t="s">
        <v>6775</v>
      </c>
    </row>
    <row r="3642" spans="27:27">
      <c r="AA3642" t="s">
        <v>6776</v>
      </c>
    </row>
    <row r="3643" spans="27:27">
      <c r="AA3643" t="s">
        <v>1746</v>
      </c>
    </row>
    <row r="3644" spans="27:27">
      <c r="AA3644" t="s">
        <v>6777</v>
      </c>
    </row>
    <row r="3645" spans="27:27">
      <c r="AA3645" t="s">
        <v>6778</v>
      </c>
    </row>
    <row r="3646" spans="27:27">
      <c r="AA3646" t="s">
        <v>6779</v>
      </c>
    </row>
    <row r="3647" spans="27:27">
      <c r="AA3647" t="s">
        <v>1747</v>
      </c>
    </row>
    <row r="3648" spans="27:27">
      <c r="AA3648" t="s">
        <v>6780</v>
      </c>
    </row>
    <row r="3649" spans="27:27">
      <c r="AA3649" t="s">
        <v>6781</v>
      </c>
    </row>
    <row r="3650" spans="27:27">
      <c r="AA3650" t="s">
        <v>6782</v>
      </c>
    </row>
    <row r="3651" spans="27:27">
      <c r="AA3651" t="s">
        <v>6783</v>
      </c>
    </row>
    <row r="3652" spans="27:27">
      <c r="AA3652" t="s">
        <v>1748</v>
      </c>
    </row>
    <row r="3653" spans="27:27">
      <c r="AA3653" t="s">
        <v>6784</v>
      </c>
    </row>
    <row r="3654" spans="27:27">
      <c r="AA3654" t="s">
        <v>6785</v>
      </c>
    </row>
    <row r="3655" spans="27:27">
      <c r="AA3655" t="s">
        <v>1749</v>
      </c>
    </row>
    <row r="3656" spans="27:27">
      <c r="AA3656" t="s">
        <v>6786</v>
      </c>
    </row>
    <row r="3657" spans="27:27">
      <c r="AA3657" t="s">
        <v>1750</v>
      </c>
    </row>
    <row r="3658" spans="27:27">
      <c r="AA3658" t="s">
        <v>6787</v>
      </c>
    </row>
    <row r="3659" spans="27:27">
      <c r="AA3659" t="s">
        <v>6788</v>
      </c>
    </row>
    <row r="3660" spans="27:27">
      <c r="AA3660" t="s">
        <v>1751</v>
      </c>
    </row>
    <row r="3661" spans="27:27">
      <c r="AA3661" t="s">
        <v>1752</v>
      </c>
    </row>
    <row r="3662" spans="27:27">
      <c r="AA3662" t="s">
        <v>6789</v>
      </c>
    </row>
    <row r="3663" spans="27:27">
      <c r="AA3663" t="s">
        <v>6790</v>
      </c>
    </row>
    <row r="3664" spans="27:27">
      <c r="AA3664" t="s">
        <v>6791</v>
      </c>
    </row>
    <row r="3665" spans="27:27">
      <c r="AA3665" t="s">
        <v>6792</v>
      </c>
    </row>
    <row r="3666" spans="27:27">
      <c r="AA3666" t="s">
        <v>6793</v>
      </c>
    </row>
    <row r="3667" spans="27:27">
      <c r="AA3667" t="s">
        <v>6794</v>
      </c>
    </row>
    <row r="3668" spans="27:27">
      <c r="AA3668" t="s">
        <v>6795</v>
      </c>
    </row>
    <row r="3669" spans="27:27">
      <c r="AA3669" t="s">
        <v>1753</v>
      </c>
    </row>
    <row r="3670" spans="27:27">
      <c r="AA3670" t="s">
        <v>6796</v>
      </c>
    </row>
    <row r="3671" spans="27:27">
      <c r="AA3671" t="s">
        <v>1754</v>
      </c>
    </row>
    <row r="3672" spans="27:27">
      <c r="AA3672" t="s">
        <v>3642</v>
      </c>
    </row>
    <row r="3673" spans="27:27">
      <c r="AA3673" t="s">
        <v>1755</v>
      </c>
    </row>
    <row r="3674" spans="27:27">
      <c r="AA3674" t="s">
        <v>1756</v>
      </c>
    </row>
    <row r="3675" spans="27:27">
      <c r="AA3675" t="s">
        <v>6797</v>
      </c>
    </row>
    <row r="3676" spans="27:27">
      <c r="AA3676" t="s">
        <v>6798</v>
      </c>
    </row>
    <row r="3677" spans="27:27">
      <c r="AA3677" t="s">
        <v>6799</v>
      </c>
    </row>
    <row r="3678" spans="27:27">
      <c r="AA3678" t="s">
        <v>6800</v>
      </c>
    </row>
    <row r="3679" spans="27:27">
      <c r="AA3679" t="s">
        <v>1757</v>
      </c>
    </row>
    <row r="3680" spans="27:27">
      <c r="AA3680" t="s">
        <v>6801</v>
      </c>
    </row>
    <row r="3681" spans="27:27">
      <c r="AA3681" t="s">
        <v>1758</v>
      </c>
    </row>
    <row r="3682" spans="27:27">
      <c r="AA3682" t="s">
        <v>6802</v>
      </c>
    </row>
    <row r="3683" spans="27:27">
      <c r="AA3683" t="s">
        <v>6803</v>
      </c>
    </row>
    <row r="3684" spans="27:27">
      <c r="AA3684" t="s">
        <v>6804</v>
      </c>
    </row>
    <row r="3685" spans="27:27">
      <c r="AA3685" t="s">
        <v>6805</v>
      </c>
    </row>
    <row r="3686" spans="27:27">
      <c r="AA3686" t="s">
        <v>6806</v>
      </c>
    </row>
    <row r="3687" spans="27:27">
      <c r="AA3687" t="s">
        <v>6807</v>
      </c>
    </row>
    <row r="3688" spans="27:27">
      <c r="AA3688" t="s">
        <v>6808</v>
      </c>
    </row>
    <row r="3689" spans="27:27">
      <c r="AA3689" t="s">
        <v>1759</v>
      </c>
    </row>
    <row r="3690" spans="27:27">
      <c r="AA3690" t="s">
        <v>6809</v>
      </c>
    </row>
    <row r="3691" spans="27:27">
      <c r="AA3691" t="s">
        <v>1760</v>
      </c>
    </row>
    <row r="3692" spans="27:27">
      <c r="AA3692" t="s">
        <v>6810</v>
      </c>
    </row>
    <row r="3693" spans="27:27">
      <c r="AA3693" t="s">
        <v>1761</v>
      </c>
    </row>
    <row r="3694" spans="27:27">
      <c r="AA3694" t="s">
        <v>6811</v>
      </c>
    </row>
    <row r="3695" spans="27:27">
      <c r="AA3695" t="s">
        <v>6812</v>
      </c>
    </row>
    <row r="3696" spans="27:27">
      <c r="AA3696" t="s">
        <v>1762</v>
      </c>
    </row>
    <row r="3697" spans="27:27">
      <c r="AA3697" t="s">
        <v>6813</v>
      </c>
    </row>
    <row r="3698" spans="27:27">
      <c r="AA3698" t="s">
        <v>6814</v>
      </c>
    </row>
    <row r="3699" spans="27:27">
      <c r="AA3699" t="s">
        <v>1763</v>
      </c>
    </row>
    <row r="3700" spans="27:27">
      <c r="AA3700" t="s">
        <v>6815</v>
      </c>
    </row>
    <row r="3701" spans="27:27">
      <c r="AA3701" t="s">
        <v>6816</v>
      </c>
    </row>
    <row r="3702" spans="27:27">
      <c r="AA3702" t="s">
        <v>1764</v>
      </c>
    </row>
    <row r="3703" spans="27:27">
      <c r="AA3703" t="s">
        <v>6817</v>
      </c>
    </row>
    <row r="3704" spans="27:27">
      <c r="AA3704" t="s">
        <v>6818</v>
      </c>
    </row>
    <row r="3705" spans="27:27">
      <c r="AA3705" t="s">
        <v>1765</v>
      </c>
    </row>
    <row r="3706" spans="27:27">
      <c r="AA3706" t="s">
        <v>6819</v>
      </c>
    </row>
    <row r="3707" spans="27:27">
      <c r="AA3707" t="s">
        <v>6820</v>
      </c>
    </row>
    <row r="3708" spans="27:27">
      <c r="AA3708" t="s">
        <v>1766</v>
      </c>
    </row>
    <row r="3709" spans="27:27">
      <c r="AA3709" t="s">
        <v>6821</v>
      </c>
    </row>
    <row r="3710" spans="27:27">
      <c r="AA3710" t="s">
        <v>6822</v>
      </c>
    </row>
    <row r="3711" spans="27:27">
      <c r="AA3711" t="s">
        <v>1767</v>
      </c>
    </row>
    <row r="3712" spans="27:27">
      <c r="AA3712" t="s">
        <v>6823</v>
      </c>
    </row>
    <row r="3713" spans="27:27">
      <c r="AA3713" t="s">
        <v>1768</v>
      </c>
    </row>
    <row r="3714" spans="27:27">
      <c r="AA3714" t="s">
        <v>6824</v>
      </c>
    </row>
    <row r="3715" spans="27:27">
      <c r="AA3715" t="s">
        <v>6825</v>
      </c>
    </row>
    <row r="3716" spans="27:27">
      <c r="AA3716" t="s">
        <v>1769</v>
      </c>
    </row>
    <row r="3717" spans="27:27">
      <c r="AA3717" t="s">
        <v>6826</v>
      </c>
    </row>
    <row r="3718" spans="27:27">
      <c r="AA3718" t="s">
        <v>6827</v>
      </c>
    </row>
    <row r="3719" spans="27:27">
      <c r="AA3719" t="s">
        <v>1770</v>
      </c>
    </row>
    <row r="3720" spans="27:27">
      <c r="AA3720" t="s">
        <v>6828</v>
      </c>
    </row>
    <row r="3721" spans="27:27">
      <c r="AA3721" t="s">
        <v>6829</v>
      </c>
    </row>
    <row r="3722" spans="27:27">
      <c r="AA3722" t="s">
        <v>1771</v>
      </c>
    </row>
    <row r="3723" spans="27:27">
      <c r="AA3723" t="s">
        <v>6830</v>
      </c>
    </row>
    <row r="3724" spans="27:27">
      <c r="AA3724" t="s">
        <v>6831</v>
      </c>
    </row>
    <row r="3725" spans="27:27">
      <c r="AA3725" t="s">
        <v>1772</v>
      </c>
    </row>
    <row r="3726" spans="27:27">
      <c r="AA3726" t="s">
        <v>6832</v>
      </c>
    </row>
    <row r="3727" spans="27:27">
      <c r="AA3727" t="s">
        <v>6833</v>
      </c>
    </row>
    <row r="3728" spans="27:27">
      <c r="AA3728" t="s">
        <v>1773</v>
      </c>
    </row>
    <row r="3729" spans="27:27">
      <c r="AA3729" t="s">
        <v>6834</v>
      </c>
    </row>
    <row r="3730" spans="27:27">
      <c r="AA3730" t="s">
        <v>6835</v>
      </c>
    </row>
    <row r="3731" spans="27:27">
      <c r="AA3731" t="s">
        <v>1774</v>
      </c>
    </row>
    <row r="3732" spans="27:27">
      <c r="AA3732" t="s">
        <v>6836</v>
      </c>
    </row>
    <row r="3733" spans="27:27">
      <c r="AA3733" t="s">
        <v>1775</v>
      </c>
    </row>
    <row r="3734" spans="27:27">
      <c r="AA3734" t="s">
        <v>3643</v>
      </c>
    </row>
    <row r="3735" spans="27:27">
      <c r="AA3735" t="s">
        <v>1776</v>
      </c>
    </row>
    <row r="3736" spans="27:27">
      <c r="AA3736" t="s">
        <v>6837</v>
      </c>
    </row>
    <row r="3737" spans="27:27">
      <c r="AA3737" t="s">
        <v>6838</v>
      </c>
    </row>
    <row r="3738" spans="27:27">
      <c r="AA3738" t="s">
        <v>6839</v>
      </c>
    </row>
    <row r="3739" spans="27:27">
      <c r="AA3739" t="s">
        <v>1777</v>
      </c>
    </row>
    <row r="3740" spans="27:27">
      <c r="AA3740" t="s">
        <v>6840</v>
      </c>
    </row>
    <row r="3741" spans="27:27">
      <c r="AA3741" t="s">
        <v>1778</v>
      </c>
    </row>
    <row r="3742" spans="27:27">
      <c r="AA3742" t="s">
        <v>6841</v>
      </c>
    </row>
    <row r="3743" spans="27:27">
      <c r="AA3743" t="s">
        <v>6842</v>
      </c>
    </row>
    <row r="3744" spans="27:27">
      <c r="AA3744" t="s">
        <v>6843</v>
      </c>
    </row>
    <row r="3745" spans="27:27">
      <c r="AA3745" t="s">
        <v>6844</v>
      </c>
    </row>
    <row r="3746" spans="27:27">
      <c r="AA3746" t="s">
        <v>6845</v>
      </c>
    </row>
    <row r="3747" spans="27:27">
      <c r="AA3747" t="s">
        <v>6846</v>
      </c>
    </row>
    <row r="3748" spans="27:27">
      <c r="AA3748" t="s">
        <v>6847</v>
      </c>
    </row>
    <row r="3749" spans="27:27">
      <c r="AA3749" t="s">
        <v>1779</v>
      </c>
    </row>
    <row r="3750" spans="27:27">
      <c r="AA3750" t="s">
        <v>1780</v>
      </c>
    </row>
    <row r="3751" spans="27:27">
      <c r="AA3751" t="s">
        <v>1781</v>
      </c>
    </row>
    <row r="3752" spans="27:27">
      <c r="AA3752" t="s">
        <v>6848</v>
      </c>
    </row>
    <row r="3753" spans="27:27">
      <c r="AA3753" t="s">
        <v>6849</v>
      </c>
    </row>
    <row r="3754" spans="27:27">
      <c r="AA3754" t="s">
        <v>6850</v>
      </c>
    </row>
    <row r="3755" spans="27:27">
      <c r="AA3755" t="s">
        <v>6851</v>
      </c>
    </row>
    <row r="3756" spans="27:27">
      <c r="AA3756" t="s">
        <v>6852</v>
      </c>
    </row>
    <row r="3757" spans="27:27">
      <c r="AA3757" t="s">
        <v>1782</v>
      </c>
    </row>
    <row r="3758" spans="27:27">
      <c r="AA3758" t="s">
        <v>6853</v>
      </c>
    </row>
    <row r="3759" spans="27:27">
      <c r="AA3759" t="s">
        <v>6854</v>
      </c>
    </row>
    <row r="3760" spans="27:27">
      <c r="AA3760" t="s">
        <v>6855</v>
      </c>
    </row>
    <row r="3761" spans="27:27">
      <c r="AA3761" t="s">
        <v>1783</v>
      </c>
    </row>
    <row r="3762" spans="27:27">
      <c r="AA3762" t="s">
        <v>6856</v>
      </c>
    </row>
    <row r="3763" spans="27:27">
      <c r="AA3763" t="s">
        <v>1784</v>
      </c>
    </row>
    <row r="3764" spans="27:27">
      <c r="AA3764" t="s">
        <v>1785</v>
      </c>
    </row>
    <row r="3765" spans="27:27">
      <c r="AA3765" t="s">
        <v>1786</v>
      </c>
    </row>
    <row r="3766" spans="27:27">
      <c r="AA3766" t="s">
        <v>6857</v>
      </c>
    </row>
    <row r="3767" spans="27:27">
      <c r="AA3767" t="s">
        <v>6858</v>
      </c>
    </row>
    <row r="3768" spans="27:27">
      <c r="AA3768" t="s">
        <v>6859</v>
      </c>
    </row>
    <row r="3769" spans="27:27">
      <c r="AA3769" t="s">
        <v>1787</v>
      </c>
    </row>
    <row r="3770" spans="27:27">
      <c r="AA3770" t="s">
        <v>1788</v>
      </c>
    </row>
    <row r="3771" spans="27:27">
      <c r="AA3771" t="s">
        <v>1789</v>
      </c>
    </row>
    <row r="3772" spans="27:27">
      <c r="AA3772" t="s">
        <v>6860</v>
      </c>
    </row>
    <row r="3773" spans="27:27">
      <c r="AA3773" t="s">
        <v>6861</v>
      </c>
    </row>
    <row r="3774" spans="27:27">
      <c r="AA3774" t="s">
        <v>1790</v>
      </c>
    </row>
    <row r="3775" spans="27:27">
      <c r="AA3775" t="s">
        <v>6862</v>
      </c>
    </row>
    <row r="3776" spans="27:27">
      <c r="AA3776" t="s">
        <v>6863</v>
      </c>
    </row>
    <row r="3777" spans="27:27">
      <c r="AA3777" t="s">
        <v>1791</v>
      </c>
    </row>
    <row r="3778" spans="27:27">
      <c r="AA3778" t="s">
        <v>6864</v>
      </c>
    </row>
    <row r="3779" spans="27:27">
      <c r="AA3779" t="s">
        <v>6865</v>
      </c>
    </row>
    <row r="3780" spans="27:27">
      <c r="AA3780" t="s">
        <v>6866</v>
      </c>
    </row>
    <row r="3781" spans="27:27">
      <c r="AA3781" t="s">
        <v>1792</v>
      </c>
    </row>
    <row r="3782" spans="27:27">
      <c r="AA3782" t="s">
        <v>6867</v>
      </c>
    </row>
    <row r="3783" spans="27:27">
      <c r="AA3783" t="s">
        <v>6868</v>
      </c>
    </row>
    <row r="3784" spans="27:27">
      <c r="AA3784" t="s">
        <v>1793</v>
      </c>
    </row>
    <row r="3785" spans="27:27">
      <c r="AA3785" t="s">
        <v>6869</v>
      </c>
    </row>
    <row r="3786" spans="27:27">
      <c r="AA3786" t="s">
        <v>1794</v>
      </c>
    </row>
    <row r="3787" spans="27:27">
      <c r="AA3787" t="s">
        <v>6870</v>
      </c>
    </row>
    <row r="3788" spans="27:27">
      <c r="AA3788" t="s">
        <v>1795</v>
      </c>
    </row>
    <row r="3789" spans="27:27">
      <c r="AA3789" t="s">
        <v>6871</v>
      </c>
    </row>
    <row r="3790" spans="27:27">
      <c r="AA3790" t="s">
        <v>1796</v>
      </c>
    </row>
    <row r="3791" spans="27:27">
      <c r="AA3791" t="s">
        <v>1797</v>
      </c>
    </row>
    <row r="3792" spans="27:27">
      <c r="AA3792" t="s">
        <v>1798</v>
      </c>
    </row>
    <row r="3793" spans="27:27">
      <c r="AA3793" t="s">
        <v>6872</v>
      </c>
    </row>
    <row r="3794" spans="27:27">
      <c r="AA3794" t="s">
        <v>6873</v>
      </c>
    </row>
    <row r="3795" spans="27:27">
      <c r="AA3795" t="s">
        <v>6874</v>
      </c>
    </row>
    <row r="3796" spans="27:27">
      <c r="AA3796" t="s">
        <v>1799</v>
      </c>
    </row>
    <row r="3797" spans="27:27">
      <c r="AA3797" t="s">
        <v>3644</v>
      </c>
    </row>
    <row r="3798" spans="27:27">
      <c r="AA3798" t="s">
        <v>1800</v>
      </c>
    </row>
    <row r="3799" spans="27:27">
      <c r="AA3799" t="s">
        <v>1801</v>
      </c>
    </row>
    <row r="3800" spans="27:27">
      <c r="AA3800" t="s">
        <v>1802</v>
      </c>
    </row>
    <row r="3801" spans="27:27">
      <c r="AA3801" t="s">
        <v>6875</v>
      </c>
    </row>
    <row r="3802" spans="27:27">
      <c r="AA3802" t="s">
        <v>6876</v>
      </c>
    </row>
    <row r="3803" spans="27:27">
      <c r="AA3803" t="s">
        <v>6877</v>
      </c>
    </row>
    <row r="3804" spans="27:27">
      <c r="AA3804" t="s">
        <v>1803</v>
      </c>
    </row>
    <row r="3805" spans="27:27">
      <c r="AA3805" t="s">
        <v>6878</v>
      </c>
    </row>
    <row r="3806" spans="27:27">
      <c r="AA3806" t="s">
        <v>6879</v>
      </c>
    </row>
    <row r="3807" spans="27:27">
      <c r="AA3807" t="s">
        <v>6880</v>
      </c>
    </row>
    <row r="3808" spans="27:27">
      <c r="AA3808" t="s">
        <v>6881</v>
      </c>
    </row>
    <row r="3809" spans="27:27">
      <c r="AA3809" t="s">
        <v>6882</v>
      </c>
    </row>
    <row r="3810" spans="27:27">
      <c r="AA3810" t="s">
        <v>6883</v>
      </c>
    </row>
    <row r="3811" spans="27:27">
      <c r="AA3811" t="s">
        <v>1804</v>
      </c>
    </row>
    <row r="3812" spans="27:27">
      <c r="AA3812" t="s">
        <v>6884</v>
      </c>
    </row>
    <row r="3813" spans="27:27">
      <c r="AA3813" t="s">
        <v>6885</v>
      </c>
    </row>
    <row r="3814" spans="27:27">
      <c r="AA3814" t="s">
        <v>6886</v>
      </c>
    </row>
    <row r="3815" spans="27:27">
      <c r="AA3815" t="s">
        <v>6887</v>
      </c>
    </row>
    <row r="3816" spans="27:27">
      <c r="AA3816" t="s">
        <v>6888</v>
      </c>
    </row>
    <row r="3817" spans="27:27">
      <c r="AA3817" t="s">
        <v>6889</v>
      </c>
    </row>
    <row r="3818" spans="27:27">
      <c r="AA3818" t="s">
        <v>1805</v>
      </c>
    </row>
    <row r="3819" spans="27:27">
      <c r="AA3819" t="s">
        <v>6890</v>
      </c>
    </row>
    <row r="3820" spans="27:27">
      <c r="AA3820" t="s">
        <v>1806</v>
      </c>
    </row>
    <row r="3821" spans="27:27">
      <c r="AA3821" t="s">
        <v>1807</v>
      </c>
    </row>
    <row r="3822" spans="27:27">
      <c r="AA3822" t="s">
        <v>1808</v>
      </c>
    </row>
    <row r="3823" spans="27:27">
      <c r="AA3823" t="s">
        <v>6891</v>
      </c>
    </row>
    <row r="3824" spans="27:27">
      <c r="AA3824" t="s">
        <v>1809</v>
      </c>
    </row>
    <row r="3825" spans="27:27">
      <c r="AA3825" t="s">
        <v>6892</v>
      </c>
    </row>
    <row r="3826" spans="27:27">
      <c r="AA3826" t="s">
        <v>6893</v>
      </c>
    </row>
    <row r="3827" spans="27:27">
      <c r="AA3827" t="s">
        <v>1810</v>
      </c>
    </row>
    <row r="3828" spans="27:27">
      <c r="AA3828" t="s">
        <v>6894</v>
      </c>
    </row>
    <row r="3829" spans="27:27">
      <c r="AA3829" t="s">
        <v>1811</v>
      </c>
    </row>
    <row r="3830" spans="27:27">
      <c r="AA3830" t="s">
        <v>1812</v>
      </c>
    </row>
    <row r="3831" spans="27:27">
      <c r="AA3831" t="s">
        <v>6895</v>
      </c>
    </row>
    <row r="3832" spans="27:27">
      <c r="AA3832" t="s">
        <v>6896</v>
      </c>
    </row>
    <row r="3833" spans="27:27">
      <c r="AA3833" t="s">
        <v>6897</v>
      </c>
    </row>
    <row r="3834" spans="27:27">
      <c r="AA3834" t="s">
        <v>6898</v>
      </c>
    </row>
    <row r="3835" spans="27:27">
      <c r="AA3835" t="s">
        <v>6899</v>
      </c>
    </row>
    <row r="3836" spans="27:27">
      <c r="AA3836" t="s">
        <v>6900</v>
      </c>
    </row>
    <row r="3837" spans="27:27">
      <c r="AA3837" t="s">
        <v>6901</v>
      </c>
    </row>
    <row r="3838" spans="27:27">
      <c r="AA3838" t="s">
        <v>6902</v>
      </c>
    </row>
    <row r="3839" spans="27:27">
      <c r="AA3839" t="s">
        <v>1813</v>
      </c>
    </row>
    <row r="3840" spans="27:27">
      <c r="AA3840" t="s">
        <v>6903</v>
      </c>
    </row>
    <row r="3841" spans="27:27">
      <c r="AA3841" t="s">
        <v>6904</v>
      </c>
    </row>
    <row r="3842" spans="27:27">
      <c r="AA3842" t="s">
        <v>6905</v>
      </c>
    </row>
    <row r="3843" spans="27:27">
      <c r="AA3843" t="s">
        <v>6906</v>
      </c>
    </row>
    <row r="3844" spans="27:27">
      <c r="AA3844" t="s">
        <v>6907</v>
      </c>
    </row>
    <row r="3845" spans="27:27">
      <c r="AA3845" t="s">
        <v>6908</v>
      </c>
    </row>
    <row r="3846" spans="27:27">
      <c r="AA3846" t="s">
        <v>6909</v>
      </c>
    </row>
    <row r="3847" spans="27:27">
      <c r="AA3847" t="s">
        <v>1814</v>
      </c>
    </row>
    <row r="3848" spans="27:27">
      <c r="AA3848" t="s">
        <v>6910</v>
      </c>
    </row>
    <row r="3849" spans="27:27">
      <c r="AA3849" t="s">
        <v>1815</v>
      </c>
    </row>
    <row r="3850" spans="27:27">
      <c r="AA3850" t="s">
        <v>6911</v>
      </c>
    </row>
    <row r="3851" spans="27:27">
      <c r="AA3851" t="s">
        <v>1816</v>
      </c>
    </row>
    <row r="3852" spans="27:27">
      <c r="AA3852" t="s">
        <v>6912</v>
      </c>
    </row>
    <row r="3853" spans="27:27">
      <c r="AA3853" t="s">
        <v>1817</v>
      </c>
    </row>
    <row r="3854" spans="27:27">
      <c r="AA3854" t="s">
        <v>6913</v>
      </c>
    </row>
    <row r="3855" spans="27:27">
      <c r="AA3855" t="s">
        <v>1818</v>
      </c>
    </row>
    <row r="3856" spans="27:27">
      <c r="AA3856" t="s">
        <v>3645</v>
      </c>
    </row>
    <row r="3857" spans="27:27">
      <c r="AA3857" t="s">
        <v>1819</v>
      </c>
    </row>
    <row r="3858" spans="27:27">
      <c r="AA3858" t="s">
        <v>6914</v>
      </c>
    </row>
    <row r="3859" spans="27:27">
      <c r="AA3859" t="s">
        <v>6915</v>
      </c>
    </row>
    <row r="3860" spans="27:27">
      <c r="AA3860" t="s">
        <v>6916</v>
      </c>
    </row>
    <row r="3861" spans="27:27">
      <c r="AA3861" t="s">
        <v>6917</v>
      </c>
    </row>
    <row r="3862" spans="27:27">
      <c r="AA3862" t="s">
        <v>6918</v>
      </c>
    </row>
    <row r="3863" spans="27:27">
      <c r="AA3863" t="s">
        <v>1820</v>
      </c>
    </row>
    <row r="3864" spans="27:27">
      <c r="AA3864" t="s">
        <v>6919</v>
      </c>
    </row>
    <row r="3865" spans="27:27">
      <c r="AA3865" t="s">
        <v>1821</v>
      </c>
    </row>
    <row r="3866" spans="27:27">
      <c r="AA3866" t="s">
        <v>3646</v>
      </c>
    </row>
    <row r="3867" spans="27:27">
      <c r="AA3867" t="s">
        <v>6920</v>
      </c>
    </row>
    <row r="3868" spans="27:27">
      <c r="AA3868" t="s">
        <v>6921</v>
      </c>
    </row>
    <row r="3869" spans="27:27">
      <c r="AA3869" t="s">
        <v>1822</v>
      </c>
    </row>
    <row r="3870" spans="27:27">
      <c r="AA3870" t="s">
        <v>6922</v>
      </c>
    </row>
    <row r="3871" spans="27:27">
      <c r="AA3871" t="s">
        <v>1823</v>
      </c>
    </row>
    <row r="3872" spans="27:27">
      <c r="AA3872" t="s">
        <v>6923</v>
      </c>
    </row>
    <row r="3873" spans="27:27">
      <c r="AA3873" t="s">
        <v>1824</v>
      </c>
    </row>
    <row r="3874" spans="27:27">
      <c r="AA3874" t="s">
        <v>1825</v>
      </c>
    </row>
    <row r="3875" spans="27:27">
      <c r="AA3875" t="s">
        <v>1826</v>
      </c>
    </row>
    <row r="3876" spans="27:27">
      <c r="AA3876" t="s">
        <v>6924</v>
      </c>
    </row>
    <row r="3877" spans="27:27">
      <c r="AA3877" t="s">
        <v>6925</v>
      </c>
    </row>
    <row r="3878" spans="27:27">
      <c r="AA3878" t="s">
        <v>1827</v>
      </c>
    </row>
    <row r="3879" spans="27:27">
      <c r="AA3879" t="s">
        <v>6926</v>
      </c>
    </row>
    <row r="3880" spans="27:27">
      <c r="AA3880" t="s">
        <v>1828</v>
      </c>
    </row>
    <row r="3881" spans="27:27">
      <c r="AA3881" t="s">
        <v>6927</v>
      </c>
    </row>
    <row r="3882" spans="27:27">
      <c r="AA3882" t="s">
        <v>1829</v>
      </c>
    </row>
    <row r="3883" spans="27:27">
      <c r="AA3883" t="s">
        <v>6928</v>
      </c>
    </row>
    <row r="3884" spans="27:27">
      <c r="AA3884" t="s">
        <v>6929</v>
      </c>
    </row>
    <row r="3885" spans="27:27">
      <c r="AA3885" t="s">
        <v>1830</v>
      </c>
    </row>
    <row r="3886" spans="27:27">
      <c r="AA3886" t="s">
        <v>6930</v>
      </c>
    </row>
    <row r="3887" spans="27:27">
      <c r="AA3887" t="s">
        <v>1831</v>
      </c>
    </row>
    <row r="3888" spans="27:27">
      <c r="AA3888" t="s">
        <v>6931</v>
      </c>
    </row>
    <row r="3889" spans="27:27">
      <c r="AA3889" t="s">
        <v>6932</v>
      </c>
    </row>
    <row r="3890" spans="27:27">
      <c r="AA3890" t="s">
        <v>6933</v>
      </c>
    </row>
    <row r="3891" spans="27:27">
      <c r="AA3891" t="s">
        <v>1832</v>
      </c>
    </row>
    <row r="3892" spans="27:27">
      <c r="AA3892" t="s">
        <v>6934</v>
      </c>
    </row>
    <row r="3893" spans="27:27">
      <c r="AA3893" t="s">
        <v>6935</v>
      </c>
    </row>
    <row r="3894" spans="27:27">
      <c r="AA3894" t="s">
        <v>1833</v>
      </c>
    </row>
    <row r="3895" spans="27:27">
      <c r="AA3895" t="s">
        <v>6936</v>
      </c>
    </row>
    <row r="3896" spans="27:27">
      <c r="AA3896" t="s">
        <v>6937</v>
      </c>
    </row>
    <row r="3897" spans="27:27">
      <c r="AA3897" t="s">
        <v>6938</v>
      </c>
    </row>
    <row r="3898" spans="27:27">
      <c r="AA3898" t="s">
        <v>1834</v>
      </c>
    </row>
    <row r="3899" spans="27:27">
      <c r="AA3899" t="s">
        <v>6939</v>
      </c>
    </row>
    <row r="3900" spans="27:27">
      <c r="AA3900" t="s">
        <v>6940</v>
      </c>
    </row>
    <row r="3901" spans="27:27">
      <c r="AA3901" t="s">
        <v>1835</v>
      </c>
    </row>
    <row r="3902" spans="27:27">
      <c r="AA3902" t="s">
        <v>6941</v>
      </c>
    </row>
    <row r="3903" spans="27:27">
      <c r="AA3903" t="s">
        <v>1836</v>
      </c>
    </row>
    <row r="3904" spans="27:27">
      <c r="AA3904" t="s">
        <v>6942</v>
      </c>
    </row>
    <row r="3905" spans="27:27">
      <c r="AA3905" t="s">
        <v>6943</v>
      </c>
    </row>
    <row r="3906" spans="27:27">
      <c r="AA3906" t="s">
        <v>6944</v>
      </c>
    </row>
    <row r="3907" spans="27:27">
      <c r="AA3907" t="s">
        <v>1837</v>
      </c>
    </row>
    <row r="3908" spans="27:27">
      <c r="AA3908" t="s">
        <v>6945</v>
      </c>
    </row>
    <row r="3909" spans="27:27">
      <c r="AA3909" t="s">
        <v>6946</v>
      </c>
    </row>
    <row r="3910" spans="27:27">
      <c r="AA3910" t="s">
        <v>1838</v>
      </c>
    </row>
    <row r="3911" spans="27:27">
      <c r="AA3911" t="s">
        <v>6947</v>
      </c>
    </row>
    <row r="3912" spans="27:27">
      <c r="AA3912" t="s">
        <v>6948</v>
      </c>
    </row>
    <row r="3913" spans="27:27">
      <c r="AA3913" t="s">
        <v>6949</v>
      </c>
    </row>
    <row r="3914" spans="27:27">
      <c r="AA3914" t="s">
        <v>1839</v>
      </c>
    </row>
    <row r="3915" spans="27:27">
      <c r="AA3915" t="s">
        <v>6950</v>
      </c>
    </row>
    <row r="3916" spans="27:27">
      <c r="AA3916" t="s">
        <v>6951</v>
      </c>
    </row>
    <row r="3917" spans="27:27">
      <c r="AA3917" t="s">
        <v>1840</v>
      </c>
    </row>
    <row r="3918" spans="27:27">
      <c r="AA3918" t="s">
        <v>6952</v>
      </c>
    </row>
    <row r="3919" spans="27:27">
      <c r="AA3919" t="s">
        <v>6953</v>
      </c>
    </row>
    <row r="3920" spans="27:27">
      <c r="AA3920" t="s">
        <v>6954</v>
      </c>
    </row>
    <row r="3921" spans="27:27">
      <c r="AA3921" t="s">
        <v>6955</v>
      </c>
    </row>
    <row r="3922" spans="27:27">
      <c r="AA3922" t="s">
        <v>1841</v>
      </c>
    </row>
    <row r="3923" spans="27:27">
      <c r="AA3923" t="s">
        <v>6956</v>
      </c>
    </row>
    <row r="3924" spans="27:27">
      <c r="AA3924" t="s">
        <v>6957</v>
      </c>
    </row>
    <row r="3925" spans="27:27">
      <c r="AA3925" t="s">
        <v>1842</v>
      </c>
    </row>
    <row r="3926" spans="27:27">
      <c r="AA3926" t="s">
        <v>6958</v>
      </c>
    </row>
    <row r="3927" spans="27:27">
      <c r="AA3927" t="s">
        <v>6959</v>
      </c>
    </row>
    <row r="3928" spans="27:27">
      <c r="AA3928" t="s">
        <v>1843</v>
      </c>
    </row>
    <row r="3929" spans="27:27">
      <c r="AA3929" t="s">
        <v>6960</v>
      </c>
    </row>
    <row r="3930" spans="27:27">
      <c r="AA3930" t="s">
        <v>6961</v>
      </c>
    </row>
    <row r="3931" spans="27:27">
      <c r="AA3931" t="s">
        <v>6962</v>
      </c>
    </row>
    <row r="3932" spans="27:27">
      <c r="AA3932" t="s">
        <v>6963</v>
      </c>
    </row>
    <row r="3933" spans="27:27">
      <c r="AA3933" t="s">
        <v>1844</v>
      </c>
    </row>
    <row r="3934" spans="27:27">
      <c r="AA3934" t="s">
        <v>6964</v>
      </c>
    </row>
    <row r="3935" spans="27:27">
      <c r="AA3935" t="s">
        <v>6965</v>
      </c>
    </row>
    <row r="3936" spans="27:27">
      <c r="AA3936" t="s">
        <v>6966</v>
      </c>
    </row>
    <row r="3937" spans="27:27">
      <c r="AA3937" t="s">
        <v>6967</v>
      </c>
    </row>
    <row r="3938" spans="27:27">
      <c r="AA3938" t="s">
        <v>1845</v>
      </c>
    </row>
    <row r="3939" spans="27:27">
      <c r="AA3939" t="s">
        <v>6968</v>
      </c>
    </row>
    <row r="3940" spans="27:27">
      <c r="AA3940" t="s">
        <v>6969</v>
      </c>
    </row>
    <row r="3941" spans="27:27">
      <c r="AA3941" t="s">
        <v>6970</v>
      </c>
    </row>
    <row r="3942" spans="27:27">
      <c r="AA3942" t="s">
        <v>6971</v>
      </c>
    </row>
    <row r="3943" spans="27:27">
      <c r="AA3943" t="s">
        <v>1846</v>
      </c>
    </row>
    <row r="3944" spans="27:27">
      <c r="AA3944" t="s">
        <v>6972</v>
      </c>
    </row>
    <row r="3945" spans="27:27">
      <c r="AA3945" t="s">
        <v>6973</v>
      </c>
    </row>
    <row r="3946" spans="27:27">
      <c r="AA3946" t="s">
        <v>6974</v>
      </c>
    </row>
    <row r="3947" spans="27:27">
      <c r="AA3947" t="s">
        <v>6975</v>
      </c>
    </row>
    <row r="3948" spans="27:27">
      <c r="AA3948" t="s">
        <v>1847</v>
      </c>
    </row>
    <row r="3949" spans="27:27">
      <c r="AA3949" t="s">
        <v>6976</v>
      </c>
    </row>
    <row r="3950" spans="27:27">
      <c r="AA3950" t="s">
        <v>6977</v>
      </c>
    </row>
    <row r="3951" spans="27:27">
      <c r="AA3951" t="s">
        <v>1848</v>
      </c>
    </row>
    <row r="3952" spans="27:27">
      <c r="AA3952" t="s">
        <v>6978</v>
      </c>
    </row>
    <row r="3953" spans="27:27">
      <c r="AA3953" t="s">
        <v>6979</v>
      </c>
    </row>
    <row r="3954" spans="27:27">
      <c r="AA3954" t="s">
        <v>6980</v>
      </c>
    </row>
    <row r="3955" spans="27:27">
      <c r="AA3955" t="s">
        <v>258</v>
      </c>
    </row>
    <row r="3956" spans="27:27">
      <c r="AA3956" t="s">
        <v>6981</v>
      </c>
    </row>
    <row r="3957" spans="27:27">
      <c r="AA3957" t="s">
        <v>6982</v>
      </c>
    </row>
    <row r="3958" spans="27:27">
      <c r="AA3958" t="s">
        <v>1849</v>
      </c>
    </row>
    <row r="3959" spans="27:27">
      <c r="AA3959" t="s">
        <v>6983</v>
      </c>
    </row>
    <row r="3960" spans="27:27">
      <c r="AA3960" t="s">
        <v>1850</v>
      </c>
    </row>
    <row r="3961" spans="27:27">
      <c r="AA3961" t="s">
        <v>1851</v>
      </c>
    </row>
    <row r="3962" spans="27:27">
      <c r="AA3962" t="s">
        <v>1852</v>
      </c>
    </row>
    <row r="3963" spans="27:27">
      <c r="AA3963" t="s">
        <v>6984</v>
      </c>
    </row>
    <row r="3964" spans="27:27">
      <c r="AA3964" t="s">
        <v>6985</v>
      </c>
    </row>
    <row r="3965" spans="27:27">
      <c r="AA3965" t="s">
        <v>6986</v>
      </c>
    </row>
    <row r="3966" spans="27:27">
      <c r="AA3966" t="s">
        <v>1853</v>
      </c>
    </row>
    <row r="3967" spans="27:27">
      <c r="AA3967" t="s">
        <v>1854</v>
      </c>
    </row>
    <row r="3968" spans="27:27">
      <c r="AA3968" t="s">
        <v>6987</v>
      </c>
    </row>
    <row r="3969" spans="27:27">
      <c r="AA3969" t="s">
        <v>1855</v>
      </c>
    </row>
    <row r="3970" spans="27:27">
      <c r="AA3970" t="s">
        <v>1856</v>
      </c>
    </row>
    <row r="3971" spans="27:27">
      <c r="AA3971" t="s">
        <v>1857</v>
      </c>
    </row>
    <row r="3972" spans="27:27">
      <c r="AA3972" t="s">
        <v>6988</v>
      </c>
    </row>
    <row r="3973" spans="27:27">
      <c r="AA3973" t="s">
        <v>6989</v>
      </c>
    </row>
    <row r="3974" spans="27:27">
      <c r="AA3974" t="s">
        <v>6990</v>
      </c>
    </row>
    <row r="3975" spans="27:27">
      <c r="AA3975" t="s">
        <v>6991</v>
      </c>
    </row>
    <row r="3976" spans="27:27">
      <c r="AA3976" t="s">
        <v>6992</v>
      </c>
    </row>
    <row r="3977" spans="27:27">
      <c r="AA3977" t="s">
        <v>6993</v>
      </c>
    </row>
    <row r="3978" spans="27:27">
      <c r="AA3978" t="s">
        <v>6994</v>
      </c>
    </row>
    <row r="3979" spans="27:27">
      <c r="AA3979" t="s">
        <v>6995</v>
      </c>
    </row>
    <row r="3980" spans="27:27">
      <c r="AA3980" t="s">
        <v>6996</v>
      </c>
    </row>
    <row r="3981" spans="27:27">
      <c r="AA3981" t="s">
        <v>6997</v>
      </c>
    </row>
    <row r="3982" spans="27:27">
      <c r="AA3982" t="s">
        <v>6998</v>
      </c>
    </row>
    <row r="3983" spans="27:27">
      <c r="AA3983" t="s">
        <v>6999</v>
      </c>
    </row>
    <row r="3984" spans="27:27">
      <c r="AA3984" t="s">
        <v>1858</v>
      </c>
    </row>
    <row r="3985" spans="27:27">
      <c r="AA3985" t="s">
        <v>7000</v>
      </c>
    </row>
    <row r="3986" spans="27:27">
      <c r="AA3986" t="s">
        <v>7001</v>
      </c>
    </row>
    <row r="3987" spans="27:27">
      <c r="AA3987" t="s">
        <v>7002</v>
      </c>
    </row>
    <row r="3988" spans="27:27">
      <c r="AA3988" t="s">
        <v>7003</v>
      </c>
    </row>
    <row r="3989" spans="27:27">
      <c r="AA3989" t="s">
        <v>7004</v>
      </c>
    </row>
    <row r="3990" spans="27:27">
      <c r="AA3990" t="s">
        <v>7005</v>
      </c>
    </row>
    <row r="3991" spans="27:27">
      <c r="AA3991" t="s">
        <v>7006</v>
      </c>
    </row>
    <row r="3992" spans="27:27">
      <c r="AA3992" t="s">
        <v>1859</v>
      </c>
    </row>
    <row r="3993" spans="27:27">
      <c r="AA3993" t="s">
        <v>259</v>
      </c>
    </row>
    <row r="3994" spans="27:27">
      <c r="AA3994" t="s">
        <v>260</v>
      </c>
    </row>
    <row r="3995" spans="27:27">
      <c r="AA3995" t="s">
        <v>1860</v>
      </c>
    </row>
    <row r="3996" spans="27:27">
      <c r="AA3996" t="s">
        <v>1861</v>
      </c>
    </row>
    <row r="3997" spans="27:27">
      <c r="AA3997" t="s">
        <v>1862</v>
      </c>
    </row>
    <row r="3998" spans="27:27">
      <c r="AA3998" t="s">
        <v>1863</v>
      </c>
    </row>
    <row r="3999" spans="27:27">
      <c r="AA3999" t="s">
        <v>7007</v>
      </c>
    </row>
    <row r="4000" spans="27:27">
      <c r="AA4000" t="s">
        <v>7008</v>
      </c>
    </row>
    <row r="4001" spans="27:27">
      <c r="AA4001" t="s">
        <v>1864</v>
      </c>
    </row>
    <row r="4002" spans="27:27">
      <c r="AA4002" t="s">
        <v>7009</v>
      </c>
    </row>
    <row r="4003" spans="27:27">
      <c r="AA4003" t="s">
        <v>1865</v>
      </c>
    </row>
    <row r="4004" spans="27:27">
      <c r="AA4004" t="s">
        <v>7010</v>
      </c>
    </row>
    <row r="4005" spans="27:27">
      <c r="AA4005" t="s">
        <v>7011</v>
      </c>
    </row>
    <row r="4006" spans="27:27">
      <c r="AA4006" t="s">
        <v>7012</v>
      </c>
    </row>
    <row r="4007" spans="27:27">
      <c r="AA4007" t="s">
        <v>7013</v>
      </c>
    </row>
    <row r="4008" spans="27:27">
      <c r="AA4008" t="s">
        <v>1866</v>
      </c>
    </row>
    <row r="4009" spans="27:27">
      <c r="AA4009" t="s">
        <v>261</v>
      </c>
    </row>
    <row r="4010" spans="27:27">
      <c r="AA4010" t="s">
        <v>262</v>
      </c>
    </row>
    <row r="4011" spans="27:27">
      <c r="AA4011" t="s">
        <v>1867</v>
      </c>
    </row>
    <row r="4012" spans="27:27">
      <c r="AA4012" t="s">
        <v>7014</v>
      </c>
    </row>
    <row r="4013" spans="27:27">
      <c r="AA4013" t="s">
        <v>1868</v>
      </c>
    </row>
    <row r="4014" spans="27:27">
      <c r="AA4014" t="s">
        <v>7015</v>
      </c>
    </row>
    <row r="4015" spans="27:27">
      <c r="AA4015" t="s">
        <v>7016</v>
      </c>
    </row>
    <row r="4016" spans="27:27">
      <c r="AA4016" t="s">
        <v>7017</v>
      </c>
    </row>
    <row r="4017" spans="27:27">
      <c r="AA4017" t="s">
        <v>7018</v>
      </c>
    </row>
    <row r="4018" spans="27:27">
      <c r="AA4018" t="s">
        <v>7019</v>
      </c>
    </row>
    <row r="4019" spans="27:27">
      <c r="AA4019" t="s">
        <v>1869</v>
      </c>
    </row>
    <row r="4020" spans="27:27">
      <c r="AA4020" t="s">
        <v>7020</v>
      </c>
    </row>
    <row r="4021" spans="27:27">
      <c r="AA4021" t="s">
        <v>7021</v>
      </c>
    </row>
    <row r="4022" spans="27:27">
      <c r="AA4022" t="s">
        <v>7022</v>
      </c>
    </row>
    <row r="4023" spans="27:27">
      <c r="AA4023" t="s">
        <v>7023</v>
      </c>
    </row>
    <row r="4024" spans="27:27">
      <c r="AA4024" t="s">
        <v>7024</v>
      </c>
    </row>
    <row r="4025" spans="27:27">
      <c r="AA4025" t="s">
        <v>1870</v>
      </c>
    </row>
    <row r="4026" spans="27:27">
      <c r="AA4026" t="s">
        <v>7025</v>
      </c>
    </row>
    <row r="4027" spans="27:27">
      <c r="AA4027" t="s">
        <v>1871</v>
      </c>
    </row>
    <row r="4028" spans="27:27">
      <c r="AA4028" t="s">
        <v>7026</v>
      </c>
    </row>
    <row r="4029" spans="27:27">
      <c r="AA4029" t="s">
        <v>7027</v>
      </c>
    </row>
    <row r="4030" spans="27:27">
      <c r="AA4030" t="s">
        <v>1872</v>
      </c>
    </row>
    <row r="4031" spans="27:27">
      <c r="AA4031" t="s">
        <v>263</v>
      </c>
    </row>
    <row r="4032" spans="27:27">
      <c r="AA4032" t="s">
        <v>1873</v>
      </c>
    </row>
    <row r="4033" spans="27:27">
      <c r="AA4033" t="s">
        <v>7028</v>
      </c>
    </row>
    <row r="4034" spans="27:27">
      <c r="AA4034" t="s">
        <v>1874</v>
      </c>
    </row>
    <row r="4035" spans="27:27">
      <c r="AA4035" t="s">
        <v>7029</v>
      </c>
    </row>
    <row r="4036" spans="27:27">
      <c r="AA4036" t="s">
        <v>7030</v>
      </c>
    </row>
    <row r="4037" spans="27:27">
      <c r="AA4037" t="s">
        <v>7031</v>
      </c>
    </row>
    <row r="4038" spans="27:27">
      <c r="AA4038" t="s">
        <v>7032</v>
      </c>
    </row>
    <row r="4039" spans="27:27">
      <c r="AA4039" t="s">
        <v>1875</v>
      </c>
    </row>
    <row r="4040" spans="27:27">
      <c r="AA4040" t="s">
        <v>1876</v>
      </c>
    </row>
    <row r="4041" spans="27:27">
      <c r="AA4041" t="s">
        <v>7033</v>
      </c>
    </row>
    <row r="4042" spans="27:27">
      <c r="AA4042" t="s">
        <v>1877</v>
      </c>
    </row>
    <row r="4043" spans="27:27">
      <c r="AA4043" t="s">
        <v>7034</v>
      </c>
    </row>
    <row r="4044" spans="27:27">
      <c r="AA4044" t="s">
        <v>1878</v>
      </c>
    </row>
    <row r="4045" spans="27:27">
      <c r="AA4045" t="s">
        <v>7035</v>
      </c>
    </row>
    <row r="4046" spans="27:27">
      <c r="AA4046" t="s">
        <v>7036</v>
      </c>
    </row>
    <row r="4047" spans="27:27">
      <c r="AA4047" t="s">
        <v>7037</v>
      </c>
    </row>
    <row r="4048" spans="27:27">
      <c r="AA4048" t="s">
        <v>7038</v>
      </c>
    </row>
    <row r="4049" spans="27:27">
      <c r="AA4049" t="s">
        <v>1879</v>
      </c>
    </row>
    <row r="4050" spans="27:27">
      <c r="AA4050" t="s">
        <v>7039</v>
      </c>
    </row>
    <row r="4051" spans="27:27">
      <c r="AA4051" t="s">
        <v>7040</v>
      </c>
    </row>
    <row r="4052" spans="27:27">
      <c r="AA4052" t="s">
        <v>1880</v>
      </c>
    </row>
    <row r="4053" spans="27:27">
      <c r="AA4053" t="s">
        <v>7041</v>
      </c>
    </row>
    <row r="4054" spans="27:27">
      <c r="AA4054" t="s">
        <v>7042</v>
      </c>
    </row>
    <row r="4055" spans="27:27">
      <c r="AA4055" t="s">
        <v>7043</v>
      </c>
    </row>
    <row r="4056" spans="27:27">
      <c r="AA4056" t="s">
        <v>7044</v>
      </c>
    </row>
    <row r="4057" spans="27:27">
      <c r="AA4057" t="s">
        <v>1881</v>
      </c>
    </row>
    <row r="4058" spans="27:27">
      <c r="AA4058" t="s">
        <v>7045</v>
      </c>
    </row>
    <row r="4059" spans="27:27">
      <c r="AA4059" t="s">
        <v>7046</v>
      </c>
    </row>
    <row r="4060" spans="27:27">
      <c r="AA4060" t="s">
        <v>1882</v>
      </c>
    </row>
    <row r="4061" spans="27:27">
      <c r="AA4061" t="s">
        <v>1883</v>
      </c>
    </row>
    <row r="4062" spans="27:27">
      <c r="AA4062" t="s">
        <v>7047</v>
      </c>
    </row>
    <row r="4063" spans="27:27">
      <c r="AA4063" t="s">
        <v>7048</v>
      </c>
    </row>
    <row r="4064" spans="27:27">
      <c r="AA4064" t="s">
        <v>7049</v>
      </c>
    </row>
    <row r="4065" spans="27:27">
      <c r="AA4065" t="s">
        <v>1884</v>
      </c>
    </row>
    <row r="4066" spans="27:27">
      <c r="AA4066" t="s">
        <v>7050</v>
      </c>
    </row>
    <row r="4067" spans="27:27">
      <c r="AA4067" t="s">
        <v>7051</v>
      </c>
    </row>
    <row r="4068" spans="27:27">
      <c r="AA4068" t="s">
        <v>7052</v>
      </c>
    </row>
    <row r="4069" spans="27:27">
      <c r="AA4069" t="s">
        <v>7053</v>
      </c>
    </row>
    <row r="4070" spans="27:27">
      <c r="AA4070" t="s">
        <v>7054</v>
      </c>
    </row>
    <row r="4071" spans="27:27">
      <c r="AA4071" t="s">
        <v>1885</v>
      </c>
    </row>
    <row r="4072" spans="27:27">
      <c r="AA4072" t="s">
        <v>7055</v>
      </c>
    </row>
    <row r="4073" spans="27:27">
      <c r="AA4073" t="s">
        <v>7056</v>
      </c>
    </row>
    <row r="4074" spans="27:27">
      <c r="AA4074" t="s">
        <v>7057</v>
      </c>
    </row>
    <row r="4075" spans="27:27">
      <c r="AA4075" t="s">
        <v>7058</v>
      </c>
    </row>
    <row r="4076" spans="27:27">
      <c r="AA4076" t="s">
        <v>1886</v>
      </c>
    </row>
    <row r="4077" spans="27:27">
      <c r="AA4077" t="s">
        <v>1887</v>
      </c>
    </row>
    <row r="4078" spans="27:27">
      <c r="AA4078" t="s">
        <v>1888</v>
      </c>
    </row>
    <row r="4079" spans="27:27">
      <c r="AA4079" t="s">
        <v>7059</v>
      </c>
    </row>
    <row r="4080" spans="27:27">
      <c r="AA4080" t="s">
        <v>1889</v>
      </c>
    </row>
    <row r="4081" spans="27:27">
      <c r="AA4081" t="s">
        <v>7060</v>
      </c>
    </row>
    <row r="4082" spans="27:27">
      <c r="AA4082" t="s">
        <v>7061</v>
      </c>
    </row>
    <row r="4083" spans="27:27">
      <c r="AA4083" t="s">
        <v>7062</v>
      </c>
    </row>
    <row r="4084" spans="27:27">
      <c r="AA4084" t="s">
        <v>1890</v>
      </c>
    </row>
    <row r="4085" spans="27:27">
      <c r="AA4085" t="s">
        <v>7063</v>
      </c>
    </row>
    <row r="4086" spans="27:27">
      <c r="AA4086" t="s">
        <v>7064</v>
      </c>
    </row>
    <row r="4087" spans="27:27">
      <c r="AA4087" t="s">
        <v>7065</v>
      </c>
    </row>
    <row r="4088" spans="27:27">
      <c r="AA4088" t="s">
        <v>1891</v>
      </c>
    </row>
    <row r="4089" spans="27:27">
      <c r="AA4089" t="s">
        <v>7066</v>
      </c>
    </row>
    <row r="4090" spans="27:27">
      <c r="AA4090" t="s">
        <v>1892</v>
      </c>
    </row>
    <row r="4091" spans="27:27">
      <c r="AA4091" t="s">
        <v>7067</v>
      </c>
    </row>
    <row r="4092" spans="27:27">
      <c r="AA4092" t="s">
        <v>7068</v>
      </c>
    </row>
    <row r="4093" spans="27:27">
      <c r="AA4093" t="s">
        <v>7069</v>
      </c>
    </row>
    <row r="4094" spans="27:27">
      <c r="AA4094" t="s">
        <v>7070</v>
      </c>
    </row>
    <row r="4095" spans="27:27">
      <c r="AA4095" t="s">
        <v>1893</v>
      </c>
    </row>
    <row r="4096" spans="27:27">
      <c r="AA4096" t="s">
        <v>7071</v>
      </c>
    </row>
    <row r="4097" spans="27:27">
      <c r="AA4097" t="s">
        <v>7072</v>
      </c>
    </row>
    <row r="4098" spans="27:27">
      <c r="AA4098" t="s">
        <v>7073</v>
      </c>
    </row>
    <row r="4099" spans="27:27">
      <c r="AA4099" t="s">
        <v>1894</v>
      </c>
    </row>
    <row r="4100" spans="27:27">
      <c r="AA4100" t="s">
        <v>7074</v>
      </c>
    </row>
    <row r="4101" spans="27:27">
      <c r="AA4101" t="s">
        <v>1895</v>
      </c>
    </row>
    <row r="4102" spans="27:27">
      <c r="AA4102" t="s">
        <v>7075</v>
      </c>
    </row>
    <row r="4103" spans="27:27">
      <c r="AA4103" t="s">
        <v>1896</v>
      </c>
    </row>
    <row r="4104" spans="27:27">
      <c r="AA4104" t="s">
        <v>7076</v>
      </c>
    </row>
    <row r="4105" spans="27:27">
      <c r="AA4105" t="s">
        <v>7077</v>
      </c>
    </row>
    <row r="4106" spans="27:27">
      <c r="AA4106" t="s">
        <v>1897</v>
      </c>
    </row>
    <row r="4107" spans="27:27">
      <c r="AA4107" t="s">
        <v>7078</v>
      </c>
    </row>
    <row r="4108" spans="27:27">
      <c r="AA4108" t="s">
        <v>7079</v>
      </c>
    </row>
    <row r="4109" spans="27:27">
      <c r="AA4109" t="s">
        <v>1898</v>
      </c>
    </row>
    <row r="4110" spans="27:27">
      <c r="AA4110" t="s">
        <v>7080</v>
      </c>
    </row>
    <row r="4111" spans="27:27">
      <c r="AA4111" t="s">
        <v>7081</v>
      </c>
    </row>
    <row r="4112" spans="27:27">
      <c r="AA4112" t="s">
        <v>1899</v>
      </c>
    </row>
    <row r="4113" spans="27:27">
      <c r="AA4113" t="s">
        <v>7082</v>
      </c>
    </row>
    <row r="4114" spans="27:27">
      <c r="AA4114" t="s">
        <v>7083</v>
      </c>
    </row>
    <row r="4115" spans="27:27">
      <c r="AA4115" t="s">
        <v>1900</v>
      </c>
    </row>
    <row r="4116" spans="27:27">
      <c r="AA4116" t="s">
        <v>7084</v>
      </c>
    </row>
    <row r="4117" spans="27:27">
      <c r="AA4117" t="s">
        <v>7085</v>
      </c>
    </row>
    <row r="4118" spans="27:27">
      <c r="AA4118" t="s">
        <v>1901</v>
      </c>
    </row>
    <row r="4119" spans="27:27">
      <c r="AA4119" t="s">
        <v>7086</v>
      </c>
    </row>
    <row r="4120" spans="27:27">
      <c r="AA4120" t="s">
        <v>7087</v>
      </c>
    </row>
    <row r="4121" spans="27:27">
      <c r="AA4121" t="s">
        <v>1902</v>
      </c>
    </row>
    <row r="4122" spans="27:27">
      <c r="AA4122" t="s">
        <v>7088</v>
      </c>
    </row>
    <row r="4123" spans="27:27">
      <c r="AA4123" t="s">
        <v>7089</v>
      </c>
    </row>
    <row r="4124" spans="27:27">
      <c r="AA4124" t="s">
        <v>7090</v>
      </c>
    </row>
    <row r="4125" spans="27:27">
      <c r="AA4125" t="s">
        <v>1903</v>
      </c>
    </row>
    <row r="4126" spans="27:27">
      <c r="AA4126" t="s">
        <v>7091</v>
      </c>
    </row>
    <row r="4127" spans="27:27">
      <c r="AA4127" t="s">
        <v>7092</v>
      </c>
    </row>
    <row r="4128" spans="27:27">
      <c r="AA4128" t="s">
        <v>1904</v>
      </c>
    </row>
    <row r="4129" spans="27:27">
      <c r="AA4129" t="s">
        <v>7093</v>
      </c>
    </row>
    <row r="4130" spans="27:27">
      <c r="AA4130" t="s">
        <v>7094</v>
      </c>
    </row>
    <row r="4131" spans="27:27">
      <c r="AA4131" t="s">
        <v>1905</v>
      </c>
    </row>
    <row r="4132" spans="27:27">
      <c r="AA4132" t="s">
        <v>7095</v>
      </c>
    </row>
    <row r="4133" spans="27:27">
      <c r="AA4133" t="s">
        <v>7096</v>
      </c>
    </row>
    <row r="4134" spans="27:27">
      <c r="AA4134" t="s">
        <v>7097</v>
      </c>
    </row>
    <row r="4135" spans="27:27">
      <c r="AA4135" t="s">
        <v>7098</v>
      </c>
    </row>
    <row r="4136" spans="27:27">
      <c r="AA4136" t="s">
        <v>1906</v>
      </c>
    </row>
    <row r="4137" spans="27:27">
      <c r="AA4137" t="s">
        <v>7099</v>
      </c>
    </row>
    <row r="4138" spans="27:27">
      <c r="AA4138" t="s">
        <v>1907</v>
      </c>
    </row>
    <row r="4139" spans="27:27">
      <c r="AA4139" t="s">
        <v>7100</v>
      </c>
    </row>
    <row r="4140" spans="27:27">
      <c r="AA4140" t="s">
        <v>7101</v>
      </c>
    </row>
    <row r="4141" spans="27:27">
      <c r="AA4141" t="s">
        <v>1908</v>
      </c>
    </row>
    <row r="4142" spans="27:27">
      <c r="AA4142" t="s">
        <v>7102</v>
      </c>
    </row>
    <row r="4143" spans="27:27">
      <c r="AA4143" t="s">
        <v>7103</v>
      </c>
    </row>
    <row r="4144" spans="27:27">
      <c r="AA4144" t="s">
        <v>1909</v>
      </c>
    </row>
    <row r="4145" spans="27:27">
      <c r="AA4145" t="s">
        <v>7104</v>
      </c>
    </row>
    <row r="4146" spans="27:27">
      <c r="AA4146" t="s">
        <v>7105</v>
      </c>
    </row>
    <row r="4147" spans="27:27">
      <c r="AA4147" t="s">
        <v>1910</v>
      </c>
    </row>
    <row r="4148" spans="27:27">
      <c r="AA4148" t="s">
        <v>7106</v>
      </c>
    </row>
    <row r="4149" spans="27:27">
      <c r="AA4149" t="s">
        <v>7107</v>
      </c>
    </row>
    <row r="4150" spans="27:27">
      <c r="AA4150" t="s">
        <v>1911</v>
      </c>
    </row>
    <row r="4151" spans="27:27">
      <c r="AA4151" t="s">
        <v>7108</v>
      </c>
    </row>
    <row r="4152" spans="27:27">
      <c r="AA4152" t="s">
        <v>7109</v>
      </c>
    </row>
    <row r="4153" spans="27:27">
      <c r="AA4153" t="s">
        <v>1912</v>
      </c>
    </row>
    <row r="4154" spans="27:27">
      <c r="AA4154" t="s">
        <v>7110</v>
      </c>
    </row>
    <row r="4155" spans="27:27">
      <c r="AA4155" t="s">
        <v>7111</v>
      </c>
    </row>
    <row r="4156" spans="27:27">
      <c r="AA4156" t="s">
        <v>1913</v>
      </c>
    </row>
    <row r="4157" spans="27:27">
      <c r="AA4157" t="s">
        <v>7112</v>
      </c>
    </row>
    <row r="4158" spans="27:27">
      <c r="AA4158" t="s">
        <v>1914</v>
      </c>
    </row>
    <row r="4159" spans="27:27">
      <c r="AA4159" t="s">
        <v>7113</v>
      </c>
    </row>
    <row r="4160" spans="27:27">
      <c r="AA4160" t="s">
        <v>7114</v>
      </c>
    </row>
    <row r="4161" spans="27:27">
      <c r="AA4161" t="s">
        <v>1915</v>
      </c>
    </row>
    <row r="4162" spans="27:27">
      <c r="AA4162" t="s">
        <v>7115</v>
      </c>
    </row>
    <row r="4163" spans="27:27">
      <c r="AA4163" t="s">
        <v>7116</v>
      </c>
    </row>
    <row r="4164" spans="27:27">
      <c r="AA4164" t="s">
        <v>1916</v>
      </c>
    </row>
    <row r="4165" spans="27:27">
      <c r="AA4165" t="s">
        <v>7117</v>
      </c>
    </row>
    <row r="4166" spans="27:27">
      <c r="AA4166" t="s">
        <v>7118</v>
      </c>
    </row>
    <row r="4167" spans="27:27">
      <c r="AA4167" t="s">
        <v>1917</v>
      </c>
    </row>
    <row r="4168" spans="27:27">
      <c r="AA4168" t="s">
        <v>7119</v>
      </c>
    </row>
    <row r="4169" spans="27:27">
      <c r="AA4169" t="s">
        <v>1918</v>
      </c>
    </row>
    <row r="4170" spans="27:27">
      <c r="AA4170" t="s">
        <v>7120</v>
      </c>
    </row>
    <row r="4171" spans="27:27">
      <c r="AA4171" t="s">
        <v>1919</v>
      </c>
    </row>
    <row r="4172" spans="27:27">
      <c r="AA4172" t="s">
        <v>7121</v>
      </c>
    </row>
    <row r="4173" spans="27:27">
      <c r="AA4173" t="s">
        <v>264</v>
      </c>
    </row>
    <row r="4174" spans="27:27">
      <c r="AA4174" t="s">
        <v>265</v>
      </c>
    </row>
    <row r="4175" spans="27:27">
      <c r="AA4175" t="s">
        <v>266</v>
      </c>
    </row>
    <row r="4176" spans="27:27">
      <c r="AA4176" t="s">
        <v>267</v>
      </c>
    </row>
    <row r="4177" spans="27:27">
      <c r="AA4177" t="s">
        <v>268</v>
      </c>
    </row>
    <row r="4178" spans="27:27">
      <c r="AA4178" t="s">
        <v>3647</v>
      </c>
    </row>
    <row r="4179" spans="27:27">
      <c r="AA4179" t="s">
        <v>3648</v>
      </c>
    </row>
    <row r="4180" spans="27:27">
      <c r="AA4180" t="s">
        <v>3649</v>
      </c>
    </row>
    <row r="4181" spans="27:27">
      <c r="AA4181" t="s">
        <v>3650</v>
      </c>
    </row>
    <row r="4182" spans="27:27">
      <c r="AA4182" t="s">
        <v>269</v>
      </c>
    </row>
    <row r="4183" spans="27:27">
      <c r="AA4183" t="s">
        <v>7122</v>
      </c>
    </row>
    <row r="4184" spans="27:27">
      <c r="AA4184" t="s">
        <v>7123</v>
      </c>
    </row>
    <row r="4185" spans="27:27">
      <c r="AA4185" t="s">
        <v>270</v>
      </c>
    </row>
    <row r="4186" spans="27:27">
      <c r="AA4186" t="s">
        <v>3651</v>
      </c>
    </row>
    <row r="4187" spans="27:27">
      <c r="AA4187" t="s">
        <v>271</v>
      </c>
    </row>
    <row r="4188" spans="27:27">
      <c r="AA4188" t="s">
        <v>3652</v>
      </c>
    </row>
    <row r="4189" spans="27:27">
      <c r="AA4189" t="s">
        <v>272</v>
      </c>
    </row>
    <row r="4190" spans="27:27">
      <c r="AA4190" t="s">
        <v>3653</v>
      </c>
    </row>
    <row r="4191" spans="27:27">
      <c r="AA4191" t="s">
        <v>273</v>
      </c>
    </row>
    <row r="4192" spans="27:27">
      <c r="AA4192" t="s">
        <v>3654</v>
      </c>
    </row>
    <row r="4193" spans="27:27">
      <c r="AA4193" t="s">
        <v>3655</v>
      </c>
    </row>
    <row r="4194" spans="27:27">
      <c r="AA4194" t="s">
        <v>274</v>
      </c>
    </row>
    <row r="4195" spans="27:27">
      <c r="AA4195" t="s">
        <v>3656</v>
      </c>
    </row>
    <row r="4196" spans="27:27">
      <c r="AA4196" t="s">
        <v>3657</v>
      </c>
    </row>
    <row r="4197" spans="27:27">
      <c r="AA4197" t="s">
        <v>3658</v>
      </c>
    </row>
    <row r="4198" spans="27:27">
      <c r="AA4198" t="s">
        <v>3659</v>
      </c>
    </row>
    <row r="4199" spans="27:27">
      <c r="AA4199" t="s">
        <v>275</v>
      </c>
    </row>
    <row r="4200" spans="27:27">
      <c r="AA4200" t="s">
        <v>3660</v>
      </c>
    </row>
    <row r="4201" spans="27:27">
      <c r="AA4201" t="s">
        <v>276</v>
      </c>
    </row>
    <row r="4202" spans="27:27">
      <c r="AA4202" t="s">
        <v>3661</v>
      </c>
    </row>
    <row r="4203" spans="27:27">
      <c r="AA4203" t="s">
        <v>277</v>
      </c>
    </row>
    <row r="4204" spans="27:27">
      <c r="AA4204" t="s">
        <v>3662</v>
      </c>
    </row>
    <row r="4205" spans="27:27">
      <c r="AA4205" t="s">
        <v>3663</v>
      </c>
    </row>
    <row r="4206" spans="27:27">
      <c r="AA4206" t="s">
        <v>278</v>
      </c>
    </row>
    <row r="4207" spans="27:27">
      <c r="AA4207" t="s">
        <v>3664</v>
      </c>
    </row>
    <row r="4208" spans="27:27">
      <c r="AA4208" t="s">
        <v>279</v>
      </c>
    </row>
    <row r="4209" spans="27:27">
      <c r="AA4209" t="s">
        <v>280</v>
      </c>
    </row>
    <row r="4210" spans="27:27">
      <c r="AA4210" t="s">
        <v>281</v>
      </c>
    </row>
    <row r="4211" spans="27:27">
      <c r="AA4211" t="s">
        <v>282</v>
      </c>
    </row>
    <row r="4212" spans="27:27">
      <c r="AA4212" t="s">
        <v>3665</v>
      </c>
    </row>
    <row r="4213" spans="27:27">
      <c r="AA4213" t="s">
        <v>3666</v>
      </c>
    </row>
    <row r="4214" spans="27:27">
      <c r="AA4214" t="s">
        <v>3667</v>
      </c>
    </row>
    <row r="4215" spans="27:27">
      <c r="AA4215" t="s">
        <v>283</v>
      </c>
    </row>
    <row r="4216" spans="27:27">
      <c r="AA4216" t="s">
        <v>3668</v>
      </c>
    </row>
    <row r="4217" spans="27:27">
      <c r="AA4217" t="s">
        <v>7124</v>
      </c>
    </row>
    <row r="4218" spans="27:27">
      <c r="AA4218" t="s">
        <v>7125</v>
      </c>
    </row>
    <row r="4219" spans="27:27">
      <c r="AA4219" t="s">
        <v>3669</v>
      </c>
    </row>
    <row r="4220" spans="27:27">
      <c r="AA4220" t="s">
        <v>7126</v>
      </c>
    </row>
    <row r="4221" spans="27:27">
      <c r="AA4221" t="s">
        <v>7127</v>
      </c>
    </row>
    <row r="4222" spans="27:27">
      <c r="AA4222" t="s">
        <v>3670</v>
      </c>
    </row>
    <row r="4223" spans="27:27">
      <c r="AA4223" t="s">
        <v>284</v>
      </c>
    </row>
    <row r="4224" spans="27:27">
      <c r="AA4224" t="s">
        <v>285</v>
      </c>
    </row>
    <row r="4225" spans="27:27">
      <c r="AA4225" t="s">
        <v>286</v>
      </c>
    </row>
    <row r="4226" spans="27:27">
      <c r="AA4226" t="s">
        <v>7128</v>
      </c>
    </row>
    <row r="4227" spans="27:27">
      <c r="AA4227" t="s">
        <v>287</v>
      </c>
    </row>
    <row r="4228" spans="27:27">
      <c r="AA4228" t="s">
        <v>7129</v>
      </c>
    </row>
    <row r="4229" spans="27:27">
      <c r="AA4229" t="s">
        <v>288</v>
      </c>
    </row>
    <row r="4230" spans="27:27">
      <c r="AA4230" t="s">
        <v>7130</v>
      </c>
    </row>
    <row r="4231" spans="27:27">
      <c r="AA4231" t="s">
        <v>7131</v>
      </c>
    </row>
    <row r="4232" spans="27:27">
      <c r="AA4232" t="s">
        <v>7132</v>
      </c>
    </row>
    <row r="4233" spans="27:27">
      <c r="AA4233" t="s">
        <v>7133</v>
      </c>
    </row>
    <row r="4234" spans="27:27">
      <c r="AA4234" t="s">
        <v>7134</v>
      </c>
    </row>
    <row r="4235" spans="27:27">
      <c r="AA4235" t="s">
        <v>289</v>
      </c>
    </row>
    <row r="4236" spans="27:27">
      <c r="AA4236" t="s">
        <v>7135</v>
      </c>
    </row>
    <row r="4237" spans="27:27">
      <c r="AA4237" t="s">
        <v>7136</v>
      </c>
    </row>
    <row r="4238" spans="27:27">
      <c r="AA4238" t="s">
        <v>7137</v>
      </c>
    </row>
    <row r="4239" spans="27:27">
      <c r="AA4239" t="s">
        <v>7138</v>
      </c>
    </row>
    <row r="4240" spans="27:27">
      <c r="AA4240" t="s">
        <v>7139</v>
      </c>
    </row>
    <row r="4241" spans="27:27">
      <c r="AA4241" t="s">
        <v>290</v>
      </c>
    </row>
    <row r="4242" spans="27:27">
      <c r="AA4242" t="s">
        <v>291</v>
      </c>
    </row>
    <row r="4243" spans="27:27">
      <c r="AA4243" t="s">
        <v>292</v>
      </c>
    </row>
    <row r="4244" spans="27:27">
      <c r="AA4244" t="s">
        <v>7140</v>
      </c>
    </row>
    <row r="4245" spans="27:27">
      <c r="AA4245" t="s">
        <v>7141</v>
      </c>
    </row>
    <row r="4246" spans="27:27">
      <c r="AA4246" t="s">
        <v>7142</v>
      </c>
    </row>
    <row r="4247" spans="27:27">
      <c r="AA4247" t="s">
        <v>293</v>
      </c>
    </row>
    <row r="4248" spans="27:27">
      <c r="AA4248" t="s">
        <v>294</v>
      </c>
    </row>
    <row r="4249" spans="27:27">
      <c r="AA4249" t="s">
        <v>295</v>
      </c>
    </row>
    <row r="4250" spans="27:27">
      <c r="AA4250" t="s">
        <v>296</v>
      </c>
    </row>
    <row r="4251" spans="27:27">
      <c r="AA4251" t="s">
        <v>297</v>
      </c>
    </row>
    <row r="4252" spans="27:27">
      <c r="AA4252" t="s">
        <v>298</v>
      </c>
    </row>
    <row r="4253" spans="27:27">
      <c r="AA4253" t="s">
        <v>7143</v>
      </c>
    </row>
    <row r="4254" spans="27:27">
      <c r="AA4254" t="s">
        <v>299</v>
      </c>
    </row>
    <row r="4255" spans="27:27">
      <c r="AA4255" t="s">
        <v>300</v>
      </c>
    </row>
    <row r="4256" spans="27:27">
      <c r="AA4256" t="s">
        <v>301</v>
      </c>
    </row>
    <row r="4257" spans="27:27">
      <c r="AA4257" t="s">
        <v>302</v>
      </c>
    </row>
    <row r="4258" spans="27:27">
      <c r="AA4258" t="s">
        <v>7144</v>
      </c>
    </row>
    <row r="4259" spans="27:27">
      <c r="AA4259" t="s">
        <v>303</v>
      </c>
    </row>
    <row r="4260" spans="27:27">
      <c r="AA4260" t="s">
        <v>304</v>
      </c>
    </row>
    <row r="4261" spans="27:27">
      <c r="AA4261" t="s">
        <v>305</v>
      </c>
    </row>
    <row r="4262" spans="27:27">
      <c r="AA4262" t="s">
        <v>306</v>
      </c>
    </row>
    <row r="4263" spans="27:27">
      <c r="AA4263" t="s">
        <v>7145</v>
      </c>
    </row>
    <row r="4264" spans="27:27">
      <c r="AA4264" t="s">
        <v>7146</v>
      </c>
    </row>
    <row r="4265" spans="27:27">
      <c r="AA4265" t="s">
        <v>307</v>
      </c>
    </row>
    <row r="4266" spans="27:27">
      <c r="AA4266" t="s">
        <v>308</v>
      </c>
    </row>
    <row r="4267" spans="27:27">
      <c r="AA4267" t="s">
        <v>309</v>
      </c>
    </row>
    <row r="4268" spans="27:27">
      <c r="AA4268" t="s">
        <v>7147</v>
      </c>
    </row>
    <row r="4269" spans="27:27">
      <c r="AA4269" t="s">
        <v>310</v>
      </c>
    </row>
    <row r="4270" spans="27:27">
      <c r="AA4270" t="s">
        <v>7148</v>
      </c>
    </row>
    <row r="4271" spans="27:27">
      <c r="AA4271" t="s">
        <v>311</v>
      </c>
    </row>
    <row r="4272" spans="27:27">
      <c r="AA4272" t="s">
        <v>7149</v>
      </c>
    </row>
    <row r="4273" spans="27:27">
      <c r="AA4273" t="s">
        <v>7150</v>
      </c>
    </row>
    <row r="4274" spans="27:27">
      <c r="AA4274" t="s">
        <v>7151</v>
      </c>
    </row>
    <row r="4275" spans="27:27">
      <c r="AA4275" t="s">
        <v>312</v>
      </c>
    </row>
    <row r="4276" spans="27:27">
      <c r="AA4276" t="s">
        <v>7152</v>
      </c>
    </row>
    <row r="4277" spans="27:27">
      <c r="AA4277" t="s">
        <v>7153</v>
      </c>
    </row>
    <row r="4278" spans="27:27">
      <c r="AA4278" t="s">
        <v>7154</v>
      </c>
    </row>
    <row r="4279" spans="27:27">
      <c r="AA4279" t="s">
        <v>7155</v>
      </c>
    </row>
    <row r="4280" spans="27:27">
      <c r="AA4280" t="s">
        <v>7156</v>
      </c>
    </row>
    <row r="4281" spans="27:27">
      <c r="AA4281" t="s">
        <v>7157</v>
      </c>
    </row>
    <row r="4282" spans="27:27">
      <c r="AA4282" t="s">
        <v>7158</v>
      </c>
    </row>
    <row r="4283" spans="27:27">
      <c r="AA4283" t="s">
        <v>7159</v>
      </c>
    </row>
    <row r="4284" spans="27:27">
      <c r="AA4284" t="s">
        <v>7160</v>
      </c>
    </row>
    <row r="4285" spans="27:27">
      <c r="AA4285" t="s">
        <v>7161</v>
      </c>
    </row>
    <row r="4286" spans="27:27">
      <c r="AA4286" t="s">
        <v>7162</v>
      </c>
    </row>
    <row r="4287" spans="27:27">
      <c r="AA4287" t="s">
        <v>7163</v>
      </c>
    </row>
    <row r="4288" spans="27:27">
      <c r="AA4288" t="s">
        <v>313</v>
      </c>
    </row>
    <row r="4289" spans="27:27">
      <c r="AA4289" t="s">
        <v>7164</v>
      </c>
    </row>
    <row r="4290" spans="27:27">
      <c r="AA4290" t="s">
        <v>7165</v>
      </c>
    </row>
    <row r="4291" spans="27:27">
      <c r="AA4291" t="s">
        <v>7166</v>
      </c>
    </row>
    <row r="4292" spans="27:27">
      <c r="AA4292" t="s">
        <v>7167</v>
      </c>
    </row>
    <row r="4293" spans="27:27">
      <c r="AA4293" t="s">
        <v>314</v>
      </c>
    </row>
    <row r="4294" spans="27:27">
      <c r="AA4294" t="s">
        <v>315</v>
      </c>
    </row>
    <row r="4295" spans="27:27">
      <c r="AA4295" t="s">
        <v>316</v>
      </c>
    </row>
    <row r="4296" spans="27:27">
      <c r="AA4296" t="s">
        <v>317</v>
      </c>
    </row>
    <row r="4297" spans="27:27">
      <c r="AA4297" t="s">
        <v>318</v>
      </c>
    </row>
    <row r="4298" spans="27:27">
      <c r="AA4298" t="s">
        <v>319</v>
      </c>
    </row>
    <row r="4299" spans="27:27">
      <c r="AA4299" t="s">
        <v>7168</v>
      </c>
    </row>
    <row r="4300" spans="27:27">
      <c r="AA4300" t="s">
        <v>320</v>
      </c>
    </row>
    <row r="4301" spans="27:27">
      <c r="AA4301" t="s">
        <v>7169</v>
      </c>
    </row>
    <row r="4302" spans="27:27">
      <c r="AA4302" t="s">
        <v>7170</v>
      </c>
    </row>
    <row r="4303" spans="27:27">
      <c r="AA4303" t="s">
        <v>7171</v>
      </c>
    </row>
    <row r="4304" spans="27:27">
      <c r="AA4304" t="s">
        <v>3671</v>
      </c>
    </row>
    <row r="4305" spans="27:27">
      <c r="AA4305" t="s">
        <v>7172</v>
      </c>
    </row>
    <row r="4306" spans="27:27">
      <c r="AA4306" t="s">
        <v>7173</v>
      </c>
    </row>
    <row r="4307" spans="27:27">
      <c r="AA4307" t="s">
        <v>7174</v>
      </c>
    </row>
    <row r="4308" spans="27:27">
      <c r="AA4308" t="s">
        <v>7175</v>
      </c>
    </row>
    <row r="4309" spans="27:27">
      <c r="AA4309" t="s">
        <v>7176</v>
      </c>
    </row>
    <row r="4310" spans="27:27">
      <c r="AA4310" t="s">
        <v>321</v>
      </c>
    </row>
    <row r="4311" spans="27:27">
      <c r="AA4311" t="s">
        <v>3672</v>
      </c>
    </row>
    <row r="4312" spans="27:27">
      <c r="AA4312" t="s">
        <v>7177</v>
      </c>
    </row>
    <row r="4313" spans="27:27">
      <c r="AA4313" t="s">
        <v>7178</v>
      </c>
    </row>
    <row r="4314" spans="27:27">
      <c r="AA4314" t="s">
        <v>322</v>
      </c>
    </row>
    <row r="4315" spans="27:27">
      <c r="AA4315" t="s">
        <v>323</v>
      </c>
    </row>
    <row r="4316" spans="27:27">
      <c r="AA4316" t="s">
        <v>7179</v>
      </c>
    </row>
    <row r="4317" spans="27:27">
      <c r="AA4317" t="s">
        <v>7180</v>
      </c>
    </row>
    <row r="4318" spans="27:27">
      <c r="AA4318" t="s">
        <v>324</v>
      </c>
    </row>
    <row r="4319" spans="27:27">
      <c r="AA4319" t="s">
        <v>7181</v>
      </c>
    </row>
    <row r="4320" spans="27:27">
      <c r="AA4320" t="s">
        <v>7182</v>
      </c>
    </row>
    <row r="4321" spans="27:27">
      <c r="AA4321" t="s">
        <v>7183</v>
      </c>
    </row>
    <row r="4322" spans="27:27">
      <c r="AA4322" t="s">
        <v>7184</v>
      </c>
    </row>
    <row r="4323" spans="27:27">
      <c r="AA4323" t="s">
        <v>325</v>
      </c>
    </row>
    <row r="4324" spans="27:27">
      <c r="AA4324" t="s">
        <v>7185</v>
      </c>
    </row>
    <row r="4325" spans="27:27">
      <c r="AA4325" t="s">
        <v>7186</v>
      </c>
    </row>
    <row r="4326" spans="27:27">
      <c r="AA4326" t="s">
        <v>7187</v>
      </c>
    </row>
    <row r="4327" spans="27:27">
      <c r="AA4327" t="s">
        <v>7188</v>
      </c>
    </row>
    <row r="4328" spans="27:27">
      <c r="AA4328" t="s">
        <v>326</v>
      </c>
    </row>
    <row r="4329" spans="27:27">
      <c r="AA4329" t="s">
        <v>7189</v>
      </c>
    </row>
    <row r="4330" spans="27:27">
      <c r="AA4330" t="s">
        <v>7190</v>
      </c>
    </row>
    <row r="4331" spans="27:27">
      <c r="AA4331" t="s">
        <v>7191</v>
      </c>
    </row>
    <row r="4332" spans="27:27">
      <c r="AA4332" t="s">
        <v>7192</v>
      </c>
    </row>
    <row r="4333" spans="27:27">
      <c r="AA4333" t="s">
        <v>7193</v>
      </c>
    </row>
    <row r="4334" spans="27:27">
      <c r="AA4334" t="s">
        <v>7194</v>
      </c>
    </row>
    <row r="4335" spans="27:27">
      <c r="AA4335" t="s">
        <v>7195</v>
      </c>
    </row>
    <row r="4336" spans="27:27">
      <c r="AA4336" t="s">
        <v>7196</v>
      </c>
    </row>
    <row r="4337" spans="27:27">
      <c r="AA4337" t="s">
        <v>7197</v>
      </c>
    </row>
    <row r="4338" spans="27:27">
      <c r="AA4338" t="s">
        <v>7198</v>
      </c>
    </row>
    <row r="4339" spans="27:27">
      <c r="AA4339" t="s">
        <v>7199</v>
      </c>
    </row>
    <row r="4340" spans="27:27">
      <c r="AA4340" t="s">
        <v>7200</v>
      </c>
    </row>
    <row r="4341" spans="27:27">
      <c r="AA4341" t="s">
        <v>7201</v>
      </c>
    </row>
    <row r="4342" spans="27:27">
      <c r="AA4342" t="s">
        <v>7202</v>
      </c>
    </row>
    <row r="4343" spans="27:27">
      <c r="AA4343" t="s">
        <v>327</v>
      </c>
    </row>
    <row r="4344" spans="27:27">
      <c r="AA4344" t="s">
        <v>7203</v>
      </c>
    </row>
    <row r="4345" spans="27:27">
      <c r="AA4345" t="s">
        <v>7204</v>
      </c>
    </row>
    <row r="4346" spans="27:27">
      <c r="AA4346" t="s">
        <v>7205</v>
      </c>
    </row>
    <row r="4347" spans="27:27">
      <c r="AA4347" t="s">
        <v>7206</v>
      </c>
    </row>
    <row r="4348" spans="27:27">
      <c r="AA4348" t="s">
        <v>7207</v>
      </c>
    </row>
    <row r="4349" spans="27:27">
      <c r="AA4349" t="s">
        <v>328</v>
      </c>
    </row>
    <row r="4350" spans="27:27">
      <c r="AA4350" t="s">
        <v>7208</v>
      </c>
    </row>
    <row r="4351" spans="27:27">
      <c r="AA4351" t="s">
        <v>329</v>
      </c>
    </row>
    <row r="4352" spans="27:27">
      <c r="AA4352" t="s">
        <v>7209</v>
      </c>
    </row>
    <row r="4353" spans="27:27">
      <c r="AA4353" t="s">
        <v>7210</v>
      </c>
    </row>
    <row r="4354" spans="27:27">
      <c r="AA4354" t="s">
        <v>7211</v>
      </c>
    </row>
    <row r="4355" spans="27:27">
      <c r="AA4355" t="s">
        <v>7212</v>
      </c>
    </row>
    <row r="4356" spans="27:27">
      <c r="AA4356" t="s">
        <v>330</v>
      </c>
    </row>
    <row r="4357" spans="27:27">
      <c r="AA4357" t="s">
        <v>331</v>
      </c>
    </row>
    <row r="4358" spans="27:27">
      <c r="AA4358" t="s">
        <v>332</v>
      </c>
    </row>
    <row r="4359" spans="27:27">
      <c r="AA4359" t="s">
        <v>333</v>
      </c>
    </row>
    <row r="4360" spans="27:27">
      <c r="AA4360" t="s">
        <v>7213</v>
      </c>
    </row>
    <row r="4361" spans="27:27">
      <c r="AA4361" t="s">
        <v>7214</v>
      </c>
    </row>
    <row r="4362" spans="27:27">
      <c r="AA4362" t="s">
        <v>7215</v>
      </c>
    </row>
    <row r="4363" spans="27:27">
      <c r="AA4363" t="s">
        <v>334</v>
      </c>
    </row>
    <row r="4364" spans="27:27">
      <c r="AA4364" t="s">
        <v>7216</v>
      </c>
    </row>
    <row r="4365" spans="27:27">
      <c r="AA4365" t="s">
        <v>335</v>
      </c>
    </row>
    <row r="4366" spans="27:27">
      <c r="AA4366" t="s">
        <v>336</v>
      </c>
    </row>
    <row r="4367" spans="27:27">
      <c r="AA4367" t="s">
        <v>337</v>
      </c>
    </row>
    <row r="4368" spans="27:27">
      <c r="AA4368" t="s">
        <v>338</v>
      </c>
    </row>
    <row r="4369" spans="27:27">
      <c r="AA4369" t="s">
        <v>339</v>
      </c>
    </row>
    <row r="4370" spans="27:27">
      <c r="AA4370" t="s">
        <v>340</v>
      </c>
    </row>
    <row r="4371" spans="27:27">
      <c r="AA4371" t="s">
        <v>7217</v>
      </c>
    </row>
    <row r="4372" spans="27:27">
      <c r="AA4372" t="s">
        <v>7218</v>
      </c>
    </row>
    <row r="4373" spans="27:27">
      <c r="AA4373" t="s">
        <v>341</v>
      </c>
    </row>
    <row r="4374" spans="27:27">
      <c r="AA4374" t="s">
        <v>342</v>
      </c>
    </row>
    <row r="4375" spans="27:27">
      <c r="AA4375" t="s">
        <v>343</v>
      </c>
    </row>
    <row r="4376" spans="27:27">
      <c r="AA4376" t="s">
        <v>7219</v>
      </c>
    </row>
    <row r="4377" spans="27:27">
      <c r="AA4377" t="s">
        <v>344</v>
      </c>
    </row>
    <row r="4378" spans="27:27">
      <c r="AA4378" t="s">
        <v>7220</v>
      </c>
    </row>
    <row r="4379" spans="27:27">
      <c r="AA4379" t="s">
        <v>345</v>
      </c>
    </row>
    <row r="4380" spans="27:27">
      <c r="AA4380" t="s">
        <v>346</v>
      </c>
    </row>
    <row r="4381" spans="27:27">
      <c r="AA4381" t="s">
        <v>347</v>
      </c>
    </row>
    <row r="4382" spans="27:27">
      <c r="AA4382" t="s">
        <v>348</v>
      </c>
    </row>
    <row r="4383" spans="27:27">
      <c r="AA4383" t="s">
        <v>7221</v>
      </c>
    </row>
    <row r="4384" spans="27:27">
      <c r="AA4384" t="s">
        <v>349</v>
      </c>
    </row>
    <row r="4385" spans="27:27">
      <c r="AA4385" t="s">
        <v>7222</v>
      </c>
    </row>
    <row r="4386" spans="27:27">
      <c r="AA4386" t="s">
        <v>7223</v>
      </c>
    </row>
    <row r="4387" spans="27:27">
      <c r="AA4387" t="s">
        <v>7224</v>
      </c>
    </row>
    <row r="4388" spans="27:27">
      <c r="AA4388" t="s">
        <v>7225</v>
      </c>
    </row>
    <row r="4389" spans="27:27">
      <c r="AA4389" t="s">
        <v>350</v>
      </c>
    </row>
    <row r="4390" spans="27:27">
      <c r="AA4390" t="s">
        <v>351</v>
      </c>
    </row>
    <row r="4391" spans="27:27">
      <c r="AA4391" t="s">
        <v>7226</v>
      </c>
    </row>
    <row r="4392" spans="27:27">
      <c r="AA4392" t="s">
        <v>7227</v>
      </c>
    </row>
    <row r="4393" spans="27:27">
      <c r="AA4393" t="s">
        <v>7228</v>
      </c>
    </row>
    <row r="4394" spans="27:27">
      <c r="AA4394" t="s">
        <v>7229</v>
      </c>
    </row>
    <row r="4395" spans="27:27">
      <c r="AA4395" t="s">
        <v>7230</v>
      </c>
    </row>
    <row r="4396" spans="27:27">
      <c r="AA4396" t="s">
        <v>7231</v>
      </c>
    </row>
    <row r="4397" spans="27:27">
      <c r="AA4397" t="s">
        <v>7232</v>
      </c>
    </row>
    <row r="4398" spans="27:27">
      <c r="AA4398" t="s">
        <v>352</v>
      </c>
    </row>
    <row r="4399" spans="27:27">
      <c r="AA4399" t="s">
        <v>7233</v>
      </c>
    </row>
    <row r="4400" spans="27:27">
      <c r="AA4400" t="s">
        <v>7234</v>
      </c>
    </row>
    <row r="4401" spans="27:27">
      <c r="AA4401" t="s">
        <v>3673</v>
      </c>
    </row>
    <row r="4402" spans="27:27">
      <c r="AA4402" t="s">
        <v>7235</v>
      </c>
    </row>
    <row r="4403" spans="27:27">
      <c r="AA4403" t="s">
        <v>7236</v>
      </c>
    </row>
    <row r="4404" spans="27:27">
      <c r="AA4404" t="s">
        <v>7237</v>
      </c>
    </row>
    <row r="4405" spans="27:27">
      <c r="AA4405" t="s">
        <v>353</v>
      </c>
    </row>
    <row r="4406" spans="27:27">
      <c r="AA4406" t="s">
        <v>7238</v>
      </c>
    </row>
    <row r="4407" spans="27:27">
      <c r="AA4407" t="s">
        <v>7239</v>
      </c>
    </row>
    <row r="4408" spans="27:27">
      <c r="AA4408" t="s">
        <v>7240</v>
      </c>
    </row>
    <row r="4409" spans="27:27">
      <c r="AA4409" t="s">
        <v>7241</v>
      </c>
    </row>
    <row r="4410" spans="27:27">
      <c r="AA4410" t="s">
        <v>7242</v>
      </c>
    </row>
    <row r="4411" spans="27:27">
      <c r="AA4411" t="s">
        <v>354</v>
      </c>
    </row>
    <row r="4412" spans="27:27">
      <c r="AA4412" t="s">
        <v>7243</v>
      </c>
    </row>
    <row r="4413" spans="27:27">
      <c r="AA4413" t="s">
        <v>7244</v>
      </c>
    </row>
    <row r="4414" spans="27:27">
      <c r="AA4414" t="s">
        <v>7245</v>
      </c>
    </row>
    <row r="4415" spans="27:27">
      <c r="AA4415" t="s">
        <v>7246</v>
      </c>
    </row>
    <row r="4416" spans="27:27">
      <c r="AA4416" t="s">
        <v>7247</v>
      </c>
    </row>
    <row r="4417" spans="27:27">
      <c r="AA4417" t="s">
        <v>7248</v>
      </c>
    </row>
    <row r="4418" spans="27:27">
      <c r="AA4418" t="s">
        <v>7249</v>
      </c>
    </row>
    <row r="4419" spans="27:27">
      <c r="AA4419" t="s">
        <v>7250</v>
      </c>
    </row>
    <row r="4420" spans="27:27">
      <c r="AA4420" t="s">
        <v>7251</v>
      </c>
    </row>
    <row r="4421" spans="27:27">
      <c r="AA4421" t="s">
        <v>355</v>
      </c>
    </row>
    <row r="4422" spans="27:27">
      <c r="AA4422" t="s">
        <v>7252</v>
      </c>
    </row>
    <row r="4423" spans="27:27">
      <c r="AA4423" t="s">
        <v>7253</v>
      </c>
    </row>
    <row r="4424" spans="27:27">
      <c r="AA4424" t="s">
        <v>7254</v>
      </c>
    </row>
    <row r="4425" spans="27:27">
      <c r="AA4425" t="s">
        <v>7255</v>
      </c>
    </row>
    <row r="4426" spans="27:27">
      <c r="AA4426" t="s">
        <v>7256</v>
      </c>
    </row>
    <row r="4427" spans="27:27">
      <c r="AA4427" t="s">
        <v>7257</v>
      </c>
    </row>
    <row r="4428" spans="27:27">
      <c r="AA4428" t="s">
        <v>7258</v>
      </c>
    </row>
    <row r="4429" spans="27:27">
      <c r="AA4429" t="s">
        <v>356</v>
      </c>
    </row>
    <row r="4430" spans="27:27">
      <c r="AA4430" t="s">
        <v>7259</v>
      </c>
    </row>
    <row r="4431" spans="27:27">
      <c r="AA4431" t="s">
        <v>7260</v>
      </c>
    </row>
    <row r="4432" spans="27:27">
      <c r="AA4432" t="s">
        <v>7261</v>
      </c>
    </row>
    <row r="4433" spans="27:27">
      <c r="AA4433" t="s">
        <v>7262</v>
      </c>
    </row>
    <row r="4434" spans="27:27">
      <c r="AA4434" t="s">
        <v>7263</v>
      </c>
    </row>
    <row r="4435" spans="27:27">
      <c r="AA4435" t="s">
        <v>7264</v>
      </c>
    </row>
    <row r="4436" spans="27:27">
      <c r="AA4436" t="s">
        <v>7265</v>
      </c>
    </row>
    <row r="4437" spans="27:27">
      <c r="AA4437" t="s">
        <v>7266</v>
      </c>
    </row>
    <row r="4438" spans="27:27">
      <c r="AA4438" t="s">
        <v>7267</v>
      </c>
    </row>
    <row r="4439" spans="27:27">
      <c r="AA4439" t="s">
        <v>7268</v>
      </c>
    </row>
    <row r="4440" spans="27:27">
      <c r="AA4440" t="s">
        <v>7269</v>
      </c>
    </row>
    <row r="4441" spans="27:27">
      <c r="AA4441" t="s">
        <v>7270</v>
      </c>
    </row>
    <row r="4442" spans="27:27">
      <c r="AA4442" t="s">
        <v>357</v>
      </c>
    </row>
    <row r="4443" spans="27:27">
      <c r="AA4443" t="s">
        <v>358</v>
      </c>
    </row>
    <row r="4444" spans="27:27">
      <c r="AA4444" t="s">
        <v>359</v>
      </c>
    </row>
    <row r="4445" spans="27:27">
      <c r="AA4445" t="s">
        <v>360</v>
      </c>
    </row>
    <row r="4446" spans="27:27">
      <c r="AA4446" t="s">
        <v>361</v>
      </c>
    </row>
    <row r="4447" spans="27:27">
      <c r="AA4447" t="s">
        <v>362</v>
      </c>
    </row>
    <row r="4448" spans="27:27">
      <c r="AA4448" t="s">
        <v>363</v>
      </c>
    </row>
    <row r="4449" spans="27:27">
      <c r="AA4449" t="s">
        <v>7271</v>
      </c>
    </row>
    <row r="4450" spans="27:27">
      <c r="AA4450" t="s">
        <v>7272</v>
      </c>
    </row>
    <row r="4451" spans="27:27">
      <c r="AA4451" t="s">
        <v>7273</v>
      </c>
    </row>
    <row r="4452" spans="27:27">
      <c r="AA4452" t="s">
        <v>7274</v>
      </c>
    </row>
    <row r="4453" spans="27:27">
      <c r="AA4453" t="s">
        <v>7275</v>
      </c>
    </row>
    <row r="4454" spans="27:27">
      <c r="AA4454" t="s">
        <v>7276</v>
      </c>
    </row>
    <row r="4455" spans="27:27">
      <c r="AA4455" t="s">
        <v>7277</v>
      </c>
    </row>
    <row r="4456" spans="27:27">
      <c r="AA4456" t="s">
        <v>7278</v>
      </c>
    </row>
    <row r="4457" spans="27:27">
      <c r="AA4457" t="s">
        <v>7279</v>
      </c>
    </row>
    <row r="4458" spans="27:27">
      <c r="AA4458" t="s">
        <v>7280</v>
      </c>
    </row>
    <row r="4459" spans="27:27">
      <c r="AA4459" t="s">
        <v>7281</v>
      </c>
    </row>
    <row r="4460" spans="27:27">
      <c r="AA4460" t="s">
        <v>364</v>
      </c>
    </row>
    <row r="4461" spans="27:27">
      <c r="AA4461" t="s">
        <v>365</v>
      </c>
    </row>
    <row r="4462" spans="27:27">
      <c r="AA4462" t="s">
        <v>366</v>
      </c>
    </row>
    <row r="4463" spans="27:27">
      <c r="AA4463" t="s">
        <v>367</v>
      </c>
    </row>
    <row r="4464" spans="27:27">
      <c r="AA4464" t="s">
        <v>368</v>
      </c>
    </row>
    <row r="4465" spans="27:27">
      <c r="AA4465" t="s">
        <v>369</v>
      </c>
    </row>
    <row r="4466" spans="27:27">
      <c r="AA4466" t="s">
        <v>370</v>
      </c>
    </row>
    <row r="4467" spans="27:27">
      <c r="AA4467" t="s">
        <v>7282</v>
      </c>
    </row>
    <row r="4468" spans="27:27">
      <c r="AA4468" t="s">
        <v>371</v>
      </c>
    </row>
    <row r="4469" spans="27:27">
      <c r="AA4469" t="s">
        <v>7283</v>
      </c>
    </row>
    <row r="4470" spans="27:27">
      <c r="AA4470" t="s">
        <v>7284</v>
      </c>
    </row>
    <row r="4471" spans="27:27">
      <c r="AA4471" t="s">
        <v>7285</v>
      </c>
    </row>
    <row r="4472" spans="27:27">
      <c r="AA4472" t="s">
        <v>7286</v>
      </c>
    </row>
    <row r="4473" spans="27:27">
      <c r="AA4473" t="s">
        <v>7287</v>
      </c>
    </row>
    <row r="4474" spans="27:27">
      <c r="AA4474" t="s">
        <v>7288</v>
      </c>
    </row>
    <row r="4475" spans="27:27">
      <c r="AA4475" t="s">
        <v>372</v>
      </c>
    </row>
    <row r="4476" spans="27:27">
      <c r="AA4476" t="s">
        <v>373</v>
      </c>
    </row>
    <row r="4477" spans="27:27">
      <c r="AA4477" t="s">
        <v>374</v>
      </c>
    </row>
    <row r="4478" spans="27:27">
      <c r="AA4478" t="s">
        <v>7289</v>
      </c>
    </row>
    <row r="4479" spans="27:27">
      <c r="AA4479" t="s">
        <v>7290</v>
      </c>
    </row>
    <row r="4480" spans="27:27">
      <c r="AA4480" t="s">
        <v>7291</v>
      </c>
    </row>
    <row r="4481" spans="27:27">
      <c r="AA4481" t="s">
        <v>7292</v>
      </c>
    </row>
    <row r="4482" spans="27:27">
      <c r="AA4482" t="s">
        <v>7293</v>
      </c>
    </row>
    <row r="4483" spans="27:27">
      <c r="AA4483" t="s">
        <v>7294</v>
      </c>
    </row>
    <row r="4484" spans="27:27">
      <c r="AA4484" t="s">
        <v>7295</v>
      </c>
    </row>
    <row r="4485" spans="27:27">
      <c r="AA4485" t="s">
        <v>375</v>
      </c>
    </row>
    <row r="4486" spans="27:27">
      <c r="AA4486" t="s">
        <v>376</v>
      </c>
    </row>
    <row r="4487" spans="27:27">
      <c r="AA4487" t="s">
        <v>7296</v>
      </c>
    </row>
    <row r="4488" spans="27:27">
      <c r="AA4488" t="s">
        <v>7297</v>
      </c>
    </row>
    <row r="4489" spans="27:27">
      <c r="AA4489" t="s">
        <v>7298</v>
      </c>
    </row>
    <row r="4490" spans="27:27">
      <c r="AA4490" t="s">
        <v>377</v>
      </c>
    </row>
    <row r="4491" spans="27:27">
      <c r="AA4491" t="s">
        <v>7299</v>
      </c>
    </row>
    <row r="4492" spans="27:27">
      <c r="AA4492" t="s">
        <v>7300</v>
      </c>
    </row>
    <row r="4493" spans="27:27">
      <c r="AA4493" t="s">
        <v>7301</v>
      </c>
    </row>
    <row r="4494" spans="27:27">
      <c r="AA4494" t="s">
        <v>378</v>
      </c>
    </row>
    <row r="4495" spans="27:27">
      <c r="AA4495" t="s">
        <v>7302</v>
      </c>
    </row>
    <row r="4496" spans="27:27">
      <c r="AA4496" t="s">
        <v>7303</v>
      </c>
    </row>
    <row r="4497" spans="27:27">
      <c r="AA4497" t="s">
        <v>7304</v>
      </c>
    </row>
    <row r="4498" spans="27:27">
      <c r="AA4498" t="s">
        <v>7305</v>
      </c>
    </row>
    <row r="4499" spans="27:27">
      <c r="AA4499" t="s">
        <v>7306</v>
      </c>
    </row>
    <row r="4500" spans="27:27">
      <c r="AA4500" t="s">
        <v>7307</v>
      </c>
    </row>
    <row r="4501" spans="27:27">
      <c r="AA4501" t="s">
        <v>7308</v>
      </c>
    </row>
    <row r="4502" spans="27:27">
      <c r="AA4502" t="s">
        <v>379</v>
      </c>
    </row>
    <row r="4503" spans="27:27">
      <c r="AA4503" t="s">
        <v>380</v>
      </c>
    </row>
    <row r="4504" spans="27:27">
      <c r="AA4504" t="s">
        <v>381</v>
      </c>
    </row>
    <row r="4505" spans="27:27">
      <c r="AA4505" t="s">
        <v>382</v>
      </c>
    </row>
    <row r="4506" spans="27:27">
      <c r="AA4506" t="s">
        <v>383</v>
      </c>
    </row>
    <row r="4507" spans="27:27">
      <c r="AA4507" t="s">
        <v>7309</v>
      </c>
    </row>
    <row r="4508" spans="27:27">
      <c r="AA4508" t="s">
        <v>7310</v>
      </c>
    </row>
    <row r="4509" spans="27:27">
      <c r="AA4509" t="s">
        <v>7311</v>
      </c>
    </row>
    <row r="4510" spans="27:27">
      <c r="AA4510" t="s">
        <v>7312</v>
      </c>
    </row>
    <row r="4511" spans="27:27">
      <c r="AA4511" t="s">
        <v>7313</v>
      </c>
    </row>
    <row r="4512" spans="27:27">
      <c r="AA4512" t="s">
        <v>7314</v>
      </c>
    </row>
    <row r="4513" spans="27:27">
      <c r="AA4513" t="s">
        <v>384</v>
      </c>
    </row>
    <row r="4514" spans="27:27">
      <c r="AA4514" t="s">
        <v>385</v>
      </c>
    </row>
    <row r="4515" spans="27:27">
      <c r="AA4515" t="s">
        <v>7315</v>
      </c>
    </row>
    <row r="4516" spans="27:27">
      <c r="AA4516" t="s">
        <v>386</v>
      </c>
    </row>
    <row r="4517" spans="27:27">
      <c r="AA4517" t="s">
        <v>7316</v>
      </c>
    </row>
    <row r="4518" spans="27:27">
      <c r="AA4518" t="s">
        <v>387</v>
      </c>
    </row>
    <row r="4519" spans="27:27">
      <c r="AA4519" t="s">
        <v>7317</v>
      </c>
    </row>
    <row r="4520" spans="27:27">
      <c r="AA4520" t="s">
        <v>7318</v>
      </c>
    </row>
    <row r="4521" spans="27:27">
      <c r="AA4521" t="s">
        <v>7319</v>
      </c>
    </row>
    <row r="4522" spans="27:27">
      <c r="AA4522" t="s">
        <v>388</v>
      </c>
    </row>
    <row r="4523" spans="27:27">
      <c r="AA4523" t="s">
        <v>389</v>
      </c>
    </row>
    <row r="4524" spans="27:27">
      <c r="AA4524" t="s">
        <v>390</v>
      </c>
    </row>
    <row r="4525" spans="27:27">
      <c r="AA4525" t="s">
        <v>391</v>
      </c>
    </row>
    <row r="4526" spans="27:27">
      <c r="AA4526" t="s">
        <v>392</v>
      </c>
    </row>
    <row r="4527" spans="27:27">
      <c r="AA4527" t="s">
        <v>393</v>
      </c>
    </row>
    <row r="4528" spans="27:27">
      <c r="AA4528" t="s">
        <v>7320</v>
      </c>
    </row>
    <row r="4529" spans="27:27">
      <c r="AA4529" t="s">
        <v>394</v>
      </c>
    </row>
    <row r="4530" spans="27:27">
      <c r="AA4530" t="s">
        <v>7321</v>
      </c>
    </row>
    <row r="4531" spans="27:27">
      <c r="AA4531" t="s">
        <v>7322</v>
      </c>
    </row>
    <row r="4532" spans="27:27">
      <c r="AA4532" t="s">
        <v>7323</v>
      </c>
    </row>
    <row r="4533" spans="27:27">
      <c r="AA4533" t="s">
        <v>395</v>
      </c>
    </row>
    <row r="4534" spans="27:27">
      <c r="AA4534" t="s">
        <v>396</v>
      </c>
    </row>
    <row r="4535" spans="27:27">
      <c r="AA4535" t="s">
        <v>397</v>
      </c>
    </row>
    <row r="4536" spans="27:27">
      <c r="AA4536" t="s">
        <v>398</v>
      </c>
    </row>
    <row r="4537" spans="27:27">
      <c r="AA4537" t="s">
        <v>399</v>
      </c>
    </row>
    <row r="4538" spans="27:27">
      <c r="AA4538" t="s">
        <v>400</v>
      </c>
    </row>
    <row r="4539" spans="27:27">
      <c r="AA4539" t="s">
        <v>7324</v>
      </c>
    </row>
    <row r="4540" spans="27:27">
      <c r="AA4540" t="s">
        <v>401</v>
      </c>
    </row>
    <row r="4541" spans="27:27">
      <c r="AA4541" t="s">
        <v>402</v>
      </c>
    </row>
    <row r="4542" spans="27:27">
      <c r="AA4542" t="s">
        <v>7325</v>
      </c>
    </row>
    <row r="4543" spans="27:27">
      <c r="AA4543" t="s">
        <v>7326</v>
      </c>
    </row>
    <row r="4544" spans="27:27">
      <c r="AA4544" t="s">
        <v>403</v>
      </c>
    </row>
    <row r="4545" spans="27:27">
      <c r="AA4545" t="s">
        <v>404</v>
      </c>
    </row>
    <row r="4546" spans="27:27">
      <c r="AA4546" t="s">
        <v>405</v>
      </c>
    </row>
    <row r="4547" spans="27:27">
      <c r="AA4547" t="s">
        <v>406</v>
      </c>
    </row>
    <row r="4548" spans="27:27">
      <c r="AA4548" t="s">
        <v>407</v>
      </c>
    </row>
    <row r="4549" spans="27:27">
      <c r="AA4549" t="s">
        <v>408</v>
      </c>
    </row>
    <row r="4550" spans="27:27">
      <c r="AA4550" t="s">
        <v>7327</v>
      </c>
    </row>
    <row r="4551" spans="27:27">
      <c r="AA4551" t="s">
        <v>7328</v>
      </c>
    </row>
    <row r="4552" spans="27:27">
      <c r="AA4552" t="s">
        <v>409</v>
      </c>
    </row>
    <row r="4553" spans="27:27">
      <c r="AA4553" t="s">
        <v>410</v>
      </c>
    </row>
    <row r="4554" spans="27:27">
      <c r="AA4554" t="s">
        <v>7329</v>
      </c>
    </row>
    <row r="4555" spans="27:27">
      <c r="AA4555" t="s">
        <v>7330</v>
      </c>
    </row>
    <row r="4556" spans="27:27">
      <c r="AA4556" t="s">
        <v>7331</v>
      </c>
    </row>
    <row r="4557" spans="27:27">
      <c r="AA4557" t="s">
        <v>7332</v>
      </c>
    </row>
    <row r="4558" spans="27:27">
      <c r="AA4558" t="s">
        <v>7333</v>
      </c>
    </row>
    <row r="4559" spans="27:27">
      <c r="AA4559" t="s">
        <v>411</v>
      </c>
    </row>
    <row r="4560" spans="27:27">
      <c r="AA4560" t="s">
        <v>412</v>
      </c>
    </row>
    <row r="4561" spans="27:27">
      <c r="AA4561" t="s">
        <v>413</v>
      </c>
    </row>
    <row r="4562" spans="27:27">
      <c r="AA4562" t="s">
        <v>7334</v>
      </c>
    </row>
    <row r="4563" spans="27:27">
      <c r="AA4563" t="s">
        <v>414</v>
      </c>
    </row>
    <row r="4564" spans="27:27">
      <c r="AA4564" t="s">
        <v>415</v>
      </c>
    </row>
    <row r="4565" spans="27:27">
      <c r="AA4565" t="s">
        <v>416</v>
      </c>
    </row>
    <row r="4566" spans="27:27">
      <c r="AA4566" t="s">
        <v>417</v>
      </c>
    </row>
    <row r="4567" spans="27:27">
      <c r="AA4567" t="s">
        <v>418</v>
      </c>
    </row>
    <row r="4568" spans="27:27">
      <c r="AA4568" t="s">
        <v>419</v>
      </c>
    </row>
    <row r="4569" spans="27:27">
      <c r="AA4569" t="s">
        <v>7335</v>
      </c>
    </row>
    <row r="4570" spans="27:27">
      <c r="AA4570" t="s">
        <v>7336</v>
      </c>
    </row>
    <row r="4571" spans="27:27">
      <c r="AA4571" t="s">
        <v>7337</v>
      </c>
    </row>
    <row r="4572" spans="27:27">
      <c r="AA4572" t="s">
        <v>7338</v>
      </c>
    </row>
    <row r="4573" spans="27:27">
      <c r="AA4573" t="s">
        <v>7339</v>
      </c>
    </row>
    <row r="4574" spans="27:27">
      <c r="AA4574" t="s">
        <v>7340</v>
      </c>
    </row>
    <row r="4575" spans="27:27">
      <c r="AA4575" t="s">
        <v>420</v>
      </c>
    </row>
    <row r="4576" spans="27:27">
      <c r="AA4576" t="s">
        <v>421</v>
      </c>
    </row>
    <row r="4577" spans="27:27">
      <c r="AA4577" t="s">
        <v>7341</v>
      </c>
    </row>
    <row r="4578" spans="27:27">
      <c r="AA4578" t="s">
        <v>422</v>
      </c>
    </row>
    <row r="4579" spans="27:27">
      <c r="AA4579" t="s">
        <v>423</v>
      </c>
    </row>
    <row r="4580" spans="27:27">
      <c r="AA4580" t="s">
        <v>424</v>
      </c>
    </row>
    <row r="4581" spans="27:27">
      <c r="AA4581" t="s">
        <v>425</v>
      </c>
    </row>
    <row r="4582" spans="27:27">
      <c r="AA4582" t="s">
        <v>426</v>
      </c>
    </row>
    <row r="4583" spans="27:27">
      <c r="AA4583" t="s">
        <v>427</v>
      </c>
    </row>
    <row r="4584" spans="27:27">
      <c r="AA4584" t="s">
        <v>428</v>
      </c>
    </row>
    <row r="4585" spans="27:27">
      <c r="AA4585" t="s">
        <v>7342</v>
      </c>
    </row>
    <row r="4586" spans="27:27">
      <c r="AA4586" t="s">
        <v>429</v>
      </c>
    </row>
    <row r="4587" spans="27:27">
      <c r="AA4587" t="s">
        <v>7343</v>
      </c>
    </row>
    <row r="4588" spans="27:27">
      <c r="AA4588" t="s">
        <v>7344</v>
      </c>
    </row>
    <row r="4589" spans="27:27">
      <c r="AA4589" t="s">
        <v>7345</v>
      </c>
    </row>
    <row r="4590" spans="27:27">
      <c r="AA4590" t="s">
        <v>7346</v>
      </c>
    </row>
    <row r="4591" spans="27:27">
      <c r="AA4591" t="s">
        <v>7347</v>
      </c>
    </row>
    <row r="4592" spans="27:27">
      <c r="AA4592" t="s">
        <v>7348</v>
      </c>
    </row>
    <row r="4593" spans="27:27">
      <c r="AA4593" t="s">
        <v>430</v>
      </c>
    </row>
    <row r="4594" spans="27:27">
      <c r="AA4594" t="s">
        <v>7349</v>
      </c>
    </row>
    <row r="4595" spans="27:27">
      <c r="AA4595" t="s">
        <v>431</v>
      </c>
    </row>
    <row r="4596" spans="27:27">
      <c r="AA4596" t="s">
        <v>432</v>
      </c>
    </row>
    <row r="4597" spans="27:27">
      <c r="AA4597" t="s">
        <v>433</v>
      </c>
    </row>
    <row r="4598" spans="27:27">
      <c r="AA4598" t="s">
        <v>434</v>
      </c>
    </row>
    <row r="4599" spans="27:27">
      <c r="AA4599" t="s">
        <v>435</v>
      </c>
    </row>
    <row r="4600" spans="27:27">
      <c r="AA4600" t="s">
        <v>436</v>
      </c>
    </row>
    <row r="4601" spans="27:27">
      <c r="AA4601" t="s">
        <v>437</v>
      </c>
    </row>
    <row r="4602" spans="27:27">
      <c r="AA4602" t="s">
        <v>7350</v>
      </c>
    </row>
    <row r="4603" spans="27:27">
      <c r="AA4603" t="s">
        <v>7351</v>
      </c>
    </row>
    <row r="4604" spans="27:27">
      <c r="AA4604" t="s">
        <v>7352</v>
      </c>
    </row>
    <row r="4605" spans="27:27">
      <c r="AA4605" t="s">
        <v>7353</v>
      </c>
    </row>
    <row r="4606" spans="27:27">
      <c r="AA4606" t="s">
        <v>438</v>
      </c>
    </row>
    <row r="4607" spans="27:27">
      <c r="AA4607" t="s">
        <v>7354</v>
      </c>
    </row>
    <row r="4608" spans="27:27">
      <c r="AA4608" t="s">
        <v>439</v>
      </c>
    </row>
    <row r="4609" spans="27:27">
      <c r="AA4609" t="s">
        <v>440</v>
      </c>
    </row>
    <row r="4610" spans="27:27">
      <c r="AA4610" t="s">
        <v>7355</v>
      </c>
    </row>
    <row r="4611" spans="27:27">
      <c r="AA4611" t="s">
        <v>441</v>
      </c>
    </row>
    <row r="4612" spans="27:27">
      <c r="AA4612" t="s">
        <v>7356</v>
      </c>
    </row>
    <row r="4613" spans="27:27">
      <c r="AA4613" t="s">
        <v>442</v>
      </c>
    </row>
    <row r="4614" spans="27:27">
      <c r="AA4614" t="s">
        <v>7357</v>
      </c>
    </row>
    <row r="4615" spans="27:27">
      <c r="AA4615" t="s">
        <v>7358</v>
      </c>
    </row>
    <row r="4616" spans="27:27">
      <c r="AA4616" t="s">
        <v>7359</v>
      </c>
    </row>
    <row r="4617" spans="27:27">
      <c r="AA4617" t="s">
        <v>7360</v>
      </c>
    </row>
    <row r="4618" spans="27:27">
      <c r="AA4618" t="s">
        <v>443</v>
      </c>
    </row>
    <row r="4619" spans="27:27">
      <c r="AA4619" t="s">
        <v>7361</v>
      </c>
    </row>
    <row r="4620" spans="27:27">
      <c r="AA4620" t="s">
        <v>7362</v>
      </c>
    </row>
    <row r="4621" spans="27:27">
      <c r="AA4621" t="s">
        <v>7363</v>
      </c>
    </row>
    <row r="4622" spans="27:27">
      <c r="AA4622" t="s">
        <v>7364</v>
      </c>
    </row>
    <row r="4623" spans="27:27">
      <c r="AA4623" t="s">
        <v>444</v>
      </c>
    </row>
    <row r="4624" spans="27:27">
      <c r="AA4624" t="s">
        <v>7365</v>
      </c>
    </row>
    <row r="4625" spans="27:27">
      <c r="AA4625" t="s">
        <v>445</v>
      </c>
    </row>
    <row r="4626" spans="27:27">
      <c r="AA4626" t="s">
        <v>446</v>
      </c>
    </row>
    <row r="4627" spans="27:27">
      <c r="AA4627" t="s">
        <v>447</v>
      </c>
    </row>
    <row r="4628" spans="27:27">
      <c r="AA4628" t="s">
        <v>448</v>
      </c>
    </row>
    <row r="4629" spans="27:27">
      <c r="AA4629" t="s">
        <v>7366</v>
      </c>
    </row>
    <row r="4630" spans="27:27">
      <c r="AA4630" t="s">
        <v>7367</v>
      </c>
    </row>
    <row r="4631" spans="27:27">
      <c r="AA4631" t="s">
        <v>449</v>
      </c>
    </row>
    <row r="4632" spans="27:27">
      <c r="AA4632" t="s">
        <v>7368</v>
      </c>
    </row>
    <row r="4633" spans="27:27">
      <c r="AA4633" t="s">
        <v>450</v>
      </c>
    </row>
    <row r="4634" spans="27:27">
      <c r="AA4634" t="s">
        <v>7369</v>
      </c>
    </row>
    <row r="4635" spans="27:27">
      <c r="AA4635" t="s">
        <v>451</v>
      </c>
    </row>
    <row r="4636" spans="27:27">
      <c r="AA4636" t="s">
        <v>7370</v>
      </c>
    </row>
    <row r="4637" spans="27:27">
      <c r="AA4637" t="s">
        <v>452</v>
      </c>
    </row>
    <row r="4638" spans="27:27">
      <c r="AA4638" t="s">
        <v>7371</v>
      </c>
    </row>
    <row r="4639" spans="27:27">
      <c r="AA4639" t="s">
        <v>453</v>
      </c>
    </row>
    <row r="4640" spans="27:27">
      <c r="AA4640" t="s">
        <v>7372</v>
      </c>
    </row>
    <row r="4641" spans="27:27">
      <c r="AA4641" t="s">
        <v>7373</v>
      </c>
    </row>
    <row r="4642" spans="27:27">
      <c r="AA4642" t="s">
        <v>454</v>
      </c>
    </row>
    <row r="4643" spans="27:27">
      <c r="AA4643" t="s">
        <v>455</v>
      </c>
    </row>
    <row r="4644" spans="27:27">
      <c r="AA4644" t="s">
        <v>456</v>
      </c>
    </row>
    <row r="4645" spans="27:27">
      <c r="AA4645" t="s">
        <v>3674</v>
      </c>
    </row>
    <row r="4646" spans="27:27">
      <c r="AA4646" t="s">
        <v>457</v>
      </c>
    </row>
    <row r="4647" spans="27:27">
      <c r="AA4647" t="s">
        <v>7374</v>
      </c>
    </row>
    <row r="4648" spans="27:27">
      <c r="AA4648" t="s">
        <v>7375</v>
      </c>
    </row>
    <row r="4649" spans="27:27">
      <c r="AA4649" t="s">
        <v>458</v>
      </c>
    </row>
    <row r="4650" spans="27:27">
      <c r="AA4650" t="s">
        <v>459</v>
      </c>
    </row>
    <row r="4651" spans="27:27">
      <c r="AA4651" t="s">
        <v>460</v>
      </c>
    </row>
    <row r="4652" spans="27:27">
      <c r="AA4652" t="s">
        <v>461</v>
      </c>
    </row>
    <row r="4653" spans="27:27">
      <c r="AA4653" t="s">
        <v>7376</v>
      </c>
    </row>
    <row r="4654" spans="27:27">
      <c r="AA4654" t="s">
        <v>7377</v>
      </c>
    </row>
    <row r="4655" spans="27:27">
      <c r="AA4655" t="s">
        <v>7378</v>
      </c>
    </row>
    <row r="4656" spans="27:27">
      <c r="AA4656" t="s">
        <v>462</v>
      </c>
    </row>
    <row r="4657" spans="27:27">
      <c r="AA4657" t="s">
        <v>463</v>
      </c>
    </row>
    <row r="4658" spans="27:27">
      <c r="AA4658" t="s">
        <v>7379</v>
      </c>
    </row>
    <row r="4659" spans="27:27">
      <c r="AA4659" t="s">
        <v>7380</v>
      </c>
    </row>
    <row r="4660" spans="27:27">
      <c r="AA4660" t="s">
        <v>7381</v>
      </c>
    </row>
    <row r="4661" spans="27:27">
      <c r="AA4661" t="s">
        <v>464</v>
      </c>
    </row>
    <row r="4662" spans="27:27">
      <c r="AA4662" t="s">
        <v>465</v>
      </c>
    </row>
    <row r="4663" spans="27:27">
      <c r="AA4663" t="s">
        <v>466</v>
      </c>
    </row>
    <row r="4664" spans="27:27">
      <c r="AA4664" t="s">
        <v>467</v>
      </c>
    </row>
    <row r="4665" spans="27:27">
      <c r="AA4665" t="s">
        <v>7382</v>
      </c>
    </row>
    <row r="4666" spans="27:27">
      <c r="AA4666" t="s">
        <v>7383</v>
      </c>
    </row>
    <row r="4667" spans="27:27">
      <c r="AA4667" t="s">
        <v>7384</v>
      </c>
    </row>
    <row r="4668" spans="27:27">
      <c r="AA4668" t="s">
        <v>468</v>
      </c>
    </row>
    <row r="4669" spans="27:27">
      <c r="AA4669" t="s">
        <v>469</v>
      </c>
    </row>
    <row r="4670" spans="27:27">
      <c r="AA4670" t="s">
        <v>7385</v>
      </c>
    </row>
    <row r="4671" spans="27:27">
      <c r="AA4671" t="s">
        <v>7386</v>
      </c>
    </row>
    <row r="4672" spans="27:27">
      <c r="AA4672" t="s">
        <v>470</v>
      </c>
    </row>
    <row r="4673" spans="27:27">
      <c r="AA4673" t="s">
        <v>471</v>
      </c>
    </row>
    <row r="4674" spans="27:27">
      <c r="AA4674" t="s">
        <v>3675</v>
      </c>
    </row>
    <row r="4675" spans="27:27">
      <c r="AA4675" t="s">
        <v>472</v>
      </c>
    </row>
    <row r="4676" spans="27:27">
      <c r="AA4676" t="s">
        <v>7387</v>
      </c>
    </row>
    <row r="4677" spans="27:27">
      <c r="AA4677" t="s">
        <v>7388</v>
      </c>
    </row>
    <row r="4678" spans="27:27">
      <c r="AA4678" t="s">
        <v>473</v>
      </c>
    </row>
    <row r="4679" spans="27:27">
      <c r="AA4679" t="s">
        <v>474</v>
      </c>
    </row>
    <row r="4680" spans="27:27">
      <c r="AA4680" t="s">
        <v>475</v>
      </c>
    </row>
    <row r="4681" spans="27:27">
      <c r="AA4681" t="s">
        <v>476</v>
      </c>
    </row>
    <row r="4682" spans="27:27">
      <c r="AA4682" t="s">
        <v>7389</v>
      </c>
    </row>
    <row r="4683" spans="27:27">
      <c r="AA4683" t="s">
        <v>7390</v>
      </c>
    </row>
    <row r="4684" spans="27:27">
      <c r="AA4684" t="s">
        <v>7391</v>
      </c>
    </row>
    <row r="4685" spans="27:27">
      <c r="AA4685" t="s">
        <v>477</v>
      </c>
    </row>
    <row r="4686" spans="27:27">
      <c r="AA4686" t="s">
        <v>478</v>
      </c>
    </row>
    <row r="4687" spans="27:27">
      <c r="AA4687" t="s">
        <v>7392</v>
      </c>
    </row>
    <row r="4688" spans="27:27">
      <c r="AA4688" t="s">
        <v>7393</v>
      </c>
    </row>
    <row r="4689" spans="27:27">
      <c r="AA4689" t="s">
        <v>7394</v>
      </c>
    </row>
    <row r="4690" spans="27:27">
      <c r="AA4690" t="s">
        <v>479</v>
      </c>
    </row>
    <row r="4691" spans="27:27">
      <c r="AA4691" t="s">
        <v>480</v>
      </c>
    </row>
    <row r="4692" spans="27:27">
      <c r="AA4692" t="s">
        <v>481</v>
      </c>
    </row>
    <row r="4693" spans="27:27">
      <c r="AA4693" t="s">
        <v>482</v>
      </c>
    </row>
    <row r="4694" spans="27:27">
      <c r="AA4694" t="s">
        <v>7395</v>
      </c>
    </row>
    <row r="4695" spans="27:27">
      <c r="AA4695" t="s">
        <v>7396</v>
      </c>
    </row>
    <row r="4696" spans="27:27">
      <c r="AA4696" t="s">
        <v>7397</v>
      </c>
    </row>
    <row r="4697" spans="27:27">
      <c r="AA4697" t="s">
        <v>483</v>
      </c>
    </row>
    <row r="4698" spans="27:27">
      <c r="AA4698" t="s">
        <v>484</v>
      </c>
    </row>
    <row r="4699" spans="27:27">
      <c r="AA4699" t="s">
        <v>7398</v>
      </c>
    </row>
    <row r="4700" spans="27:27">
      <c r="AA4700" t="s">
        <v>7399</v>
      </c>
    </row>
    <row r="4701" spans="27:27">
      <c r="AA4701" t="s">
        <v>485</v>
      </c>
    </row>
    <row r="4702" spans="27:27">
      <c r="AA4702" t="s">
        <v>486</v>
      </c>
    </row>
    <row r="4703" spans="27:27">
      <c r="AA4703" t="s">
        <v>3676</v>
      </c>
    </row>
    <row r="4704" spans="27:27">
      <c r="AA4704" t="s">
        <v>7400</v>
      </c>
    </row>
    <row r="4705" spans="27:27">
      <c r="AA4705" t="s">
        <v>487</v>
      </c>
    </row>
    <row r="4706" spans="27:27">
      <c r="AA4706" t="s">
        <v>488</v>
      </c>
    </row>
    <row r="4707" spans="27:27">
      <c r="AA4707" t="s">
        <v>7401</v>
      </c>
    </row>
    <row r="4708" spans="27:27">
      <c r="AA4708" t="s">
        <v>7402</v>
      </c>
    </row>
    <row r="4709" spans="27:27">
      <c r="AA4709" t="s">
        <v>489</v>
      </c>
    </row>
    <row r="4710" spans="27:27">
      <c r="AA4710" t="s">
        <v>3677</v>
      </c>
    </row>
    <row r="4711" spans="27:27">
      <c r="AA4711" t="s">
        <v>7403</v>
      </c>
    </row>
    <row r="4712" spans="27:27">
      <c r="AA4712" t="s">
        <v>7404</v>
      </c>
    </row>
    <row r="4713" spans="27:27">
      <c r="AA4713" t="s">
        <v>490</v>
      </c>
    </row>
    <row r="4714" spans="27:27">
      <c r="AA4714" t="s">
        <v>491</v>
      </c>
    </row>
    <row r="4715" spans="27:27">
      <c r="AA4715" t="s">
        <v>492</v>
      </c>
    </row>
    <row r="4716" spans="27:27">
      <c r="AA4716" t="s">
        <v>493</v>
      </c>
    </row>
    <row r="4717" spans="27:27">
      <c r="AA4717" t="s">
        <v>494</v>
      </c>
    </row>
    <row r="4718" spans="27:27">
      <c r="AA4718" t="s">
        <v>495</v>
      </c>
    </row>
    <row r="4719" spans="27:27">
      <c r="AA4719" t="s">
        <v>496</v>
      </c>
    </row>
    <row r="4720" spans="27:27">
      <c r="AA4720" t="s">
        <v>7405</v>
      </c>
    </row>
    <row r="4721" spans="27:27">
      <c r="AA4721" t="s">
        <v>497</v>
      </c>
    </row>
    <row r="4722" spans="27:27">
      <c r="AA4722" t="s">
        <v>498</v>
      </c>
    </row>
    <row r="4723" spans="27:27">
      <c r="AA4723" t="s">
        <v>499</v>
      </c>
    </row>
    <row r="4724" spans="27:27">
      <c r="AA4724" t="s">
        <v>500</v>
      </c>
    </row>
    <row r="4725" spans="27:27">
      <c r="AA4725" t="s">
        <v>501</v>
      </c>
    </row>
    <row r="4726" spans="27:27">
      <c r="AA4726" t="s">
        <v>502</v>
      </c>
    </row>
    <row r="4727" spans="27:27">
      <c r="AA4727" t="s">
        <v>503</v>
      </c>
    </row>
    <row r="4728" spans="27:27">
      <c r="AA4728" t="s">
        <v>504</v>
      </c>
    </row>
    <row r="4729" spans="27:27">
      <c r="AA4729" t="s">
        <v>7406</v>
      </c>
    </row>
    <row r="4730" spans="27:27">
      <c r="AA4730" t="s">
        <v>7407</v>
      </c>
    </row>
    <row r="4731" spans="27:27">
      <c r="AA4731" t="s">
        <v>505</v>
      </c>
    </row>
    <row r="4732" spans="27:27">
      <c r="AA4732" t="s">
        <v>506</v>
      </c>
    </row>
    <row r="4733" spans="27:27">
      <c r="AA4733" t="s">
        <v>507</v>
      </c>
    </row>
    <row r="4734" spans="27:27">
      <c r="AA4734" t="s">
        <v>508</v>
      </c>
    </row>
    <row r="4735" spans="27:27">
      <c r="AA4735" t="s">
        <v>509</v>
      </c>
    </row>
    <row r="4736" spans="27:27">
      <c r="AA4736" t="s">
        <v>510</v>
      </c>
    </row>
    <row r="4737" spans="27:27">
      <c r="AA4737" t="s">
        <v>511</v>
      </c>
    </row>
    <row r="4738" spans="27:27">
      <c r="AA4738" t="s">
        <v>512</v>
      </c>
    </row>
    <row r="4739" spans="27:27">
      <c r="AA4739" t="s">
        <v>513</v>
      </c>
    </row>
    <row r="4740" spans="27:27">
      <c r="AA4740" t="s">
        <v>514</v>
      </c>
    </row>
    <row r="4741" spans="27:27">
      <c r="AA4741" t="s">
        <v>515</v>
      </c>
    </row>
    <row r="4742" spans="27:27">
      <c r="AA4742" t="s">
        <v>516</v>
      </c>
    </row>
    <row r="4743" spans="27:27">
      <c r="AA4743" t="s">
        <v>517</v>
      </c>
    </row>
    <row r="4744" spans="27:27">
      <c r="AA4744" t="s">
        <v>518</v>
      </c>
    </row>
    <row r="4745" spans="27:27">
      <c r="AA4745" t="s">
        <v>519</v>
      </c>
    </row>
    <row r="4746" spans="27:27">
      <c r="AA4746" t="s">
        <v>520</v>
      </c>
    </row>
    <row r="4747" spans="27:27">
      <c r="AA4747" t="s">
        <v>521</v>
      </c>
    </row>
    <row r="4748" spans="27:27">
      <c r="AA4748" t="s">
        <v>522</v>
      </c>
    </row>
    <row r="4749" spans="27:27">
      <c r="AA4749" t="s">
        <v>523</v>
      </c>
    </row>
    <row r="4750" spans="27:27">
      <c r="AA4750" t="s">
        <v>524</v>
      </c>
    </row>
    <row r="4751" spans="27:27">
      <c r="AA4751" t="s">
        <v>525</v>
      </c>
    </row>
    <row r="4752" spans="27:27">
      <c r="AA4752" t="s">
        <v>526</v>
      </c>
    </row>
    <row r="4753" spans="27:27">
      <c r="AA4753" t="s">
        <v>527</v>
      </c>
    </row>
    <row r="4754" spans="27:27">
      <c r="AA4754" t="s">
        <v>528</v>
      </c>
    </row>
    <row r="4755" spans="27:27">
      <c r="AA4755" t="s">
        <v>529</v>
      </c>
    </row>
    <row r="4756" spans="27:27">
      <c r="AA4756" t="s">
        <v>530</v>
      </c>
    </row>
    <row r="4757" spans="27:27">
      <c r="AA4757" t="s">
        <v>531</v>
      </c>
    </row>
    <row r="4758" spans="27:27">
      <c r="AA4758" t="s">
        <v>532</v>
      </c>
    </row>
    <row r="4759" spans="27:27">
      <c r="AA4759" t="s">
        <v>3678</v>
      </c>
    </row>
    <row r="4760" spans="27:27">
      <c r="AA4760" t="s">
        <v>7408</v>
      </c>
    </row>
    <row r="4761" spans="27:27">
      <c r="AA4761" t="s">
        <v>7409</v>
      </c>
    </row>
    <row r="4762" spans="27:27">
      <c r="AA4762" t="s">
        <v>7410</v>
      </c>
    </row>
    <row r="4763" spans="27:27">
      <c r="AA4763" t="s">
        <v>533</v>
      </c>
    </row>
    <row r="4764" spans="27:27">
      <c r="AA4764" t="s">
        <v>7411</v>
      </c>
    </row>
    <row r="4765" spans="27:27">
      <c r="AA4765" t="s">
        <v>3679</v>
      </c>
    </row>
    <row r="4766" spans="27:27">
      <c r="AA4766" t="s">
        <v>7412</v>
      </c>
    </row>
    <row r="4767" spans="27:27">
      <c r="AA4767" t="s">
        <v>7413</v>
      </c>
    </row>
    <row r="4768" spans="27:27">
      <c r="AA4768" t="s">
        <v>7414</v>
      </c>
    </row>
    <row r="4769" spans="27:27">
      <c r="AA4769" t="s">
        <v>7415</v>
      </c>
    </row>
    <row r="4770" spans="27:27">
      <c r="AA4770" t="s">
        <v>7416</v>
      </c>
    </row>
    <row r="4771" spans="27:27">
      <c r="AA4771" t="s">
        <v>7417</v>
      </c>
    </row>
    <row r="4772" spans="27:27">
      <c r="AA4772" t="s">
        <v>7418</v>
      </c>
    </row>
    <row r="4773" spans="27:27">
      <c r="AA4773" t="s">
        <v>7419</v>
      </c>
    </row>
    <row r="4774" spans="27:27">
      <c r="AA4774" t="s">
        <v>7420</v>
      </c>
    </row>
    <row r="4775" spans="27:27">
      <c r="AA4775" t="s">
        <v>7421</v>
      </c>
    </row>
    <row r="4776" spans="27:27">
      <c r="AA4776" t="s">
        <v>7422</v>
      </c>
    </row>
    <row r="4777" spans="27:27">
      <c r="AA4777" t="s">
        <v>7423</v>
      </c>
    </row>
    <row r="4778" spans="27:27">
      <c r="AA4778" t="s">
        <v>7424</v>
      </c>
    </row>
    <row r="4779" spans="27:27">
      <c r="AA4779" t="s">
        <v>7425</v>
      </c>
    </row>
    <row r="4780" spans="27:27">
      <c r="AA4780" t="s">
        <v>7426</v>
      </c>
    </row>
    <row r="4781" spans="27:27">
      <c r="AA4781" t="s">
        <v>7427</v>
      </c>
    </row>
    <row r="4782" spans="27:27">
      <c r="AA4782" t="s">
        <v>534</v>
      </c>
    </row>
    <row r="4783" spans="27:27">
      <c r="AA4783" t="s">
        <v>535</v>
      </c>
    </row>
    <row r="4784" spans="27:27">
      <c r="AA4784" t="s">
        <v>536</v>
      </c>
    </row>
    <row r="4785" spans="27:27">
      <c r="AA4785" t="s">
        <v>537</v>
      </c>
    </row>
    <row r="4786" spans="27:27">
      <c r="AA4786" t="s">
        <v>538</v>
      </c>
    </row>
    <row r="4787" spans="27:27">
      <c r="AA4787" t="s">
        <v>539</v>
      </c>
    </row>
    <row r="4788" spans="27:27">
      <c r="AA4788" t="s">
        <v>540</v>
      </c>
    </row>
    <row r="4789" spans="27:27">
      <c r="AA4789" t="s">
        <v>541</v>
      </c>
    </row>
    <row r="4790" spans="27:27">
      <c r="AA4790" t="s">
        <v>542</v>
      </c>
    </row>
    <row r="4791" spans="27:27">
      <c r="AA4791" t="s">
        <v>543</v>
      </c>
    </row>
    <row r="4792" spans="27:27">
      <c r="AA4792" t="s">
        <v>544</v>
      </c>
    </row>
    <row r="4793" spans="27:27">
      <c r="AA4793" t="s">
        <v>545</v>
      </c>
    </row>
    <row r="4794" spans="27:27">
      <c r="AA4794" t="s">
        <v>546</v>
      </c>
    </row>
    <row r="4795" spans="27:27">
      <c r="AA4795" t="s">
        <v>547</v>
      </c>
    </row>
    <row r="4796" spans="27:27">
      <c r="AA4796" t="s">
        <v>548</v>
      </c>
    </row>
    <row r="4797" spans="27:27">
      <c r="AA4797" t="s">
        <v>549</v>
      </c>
    </row>
    <row r="4798" spans="27:27">
      <c r="AA4798" t="s">
        <v>550</v>
      </c>
    </row>
    <row r="4799" spans="27:27">
      <c r="AA4799" t="s">
        <v>551</v>
      </c>
    </row>
    <row r="4800" spans="27:27">
      <c r="AA4800" t="s">
        <v>552</v>
      </c>
    </row>
    <row r="4801" spans="27:27">
      <c r="AA4801" t="s">
        <v>553</v>
      </c>
    </row>
    <row r="4802" spans="27:27">
      <c r="AA4802" t="s">
        <v>554</v>
      </c>
    </row>
    <row r="4803" spans="27:27">
      <c r="AA4803" t="s">
        <v>555</v>
      </c>
    </row>
    <row r="4804" spans="27:27">
      <c r="AA4804" t="s">
        <v>556</v>
      </c>
    </row>
    <row r="4805" spans="27:27">
      <c r="AA4805" t="s">
        <v>557</v>
      </c>
    </row>
    <row r="4806" spans="27:27">
      <c r="AA4806" t="s">
        <v>558</v>
      </c>
    </row>
    <row r="4807" spans="27:27">
      <c r="AA4807" t="s">
        <v>559</v>
      </c>
    </row>
    <row r="4808" spans="27:27">
      <c r="AA4808" t="s">
        <v>560</v>
      </c>
    </row>
    <row r="4809" spans="27:27">
      <c r="AA4809" t="s">
        <v>561</v>
      </c>
    </row>
    <row r="4810" spans="27:27">
      <c r="AA4810" t="s">
        <v>562</v>
      </c>
    </row>
    <row r="4811" spans="27:27">
      <c r="AA4811" t="s">
        <v>3680</v>
      </c>
    </row>
    <row r="4812" spans="27:27">
      <c r="AA4812" t="s">
        <v>7428</v>
      </c>
    </row>
    <row r="4813" spans="27:27">
      <c r="AA4813" t="s">
        <v>7429</v>
      </c>
    </row>
    <row r="4814" spans="27:27">
      <c r="AA4814" t="s">
        <v>7430</v>
      </c>
    </row>
    <row r="4815" spans="27:27">
      <c r="AA4815" t="s">
        <v>7431</v>
      </c>
    </row>
    <row r="4816" spans="27:27">
      <c r="AA4816" t="s">
        <v>7432</v>
      </c>
    </row>
    <row r="4817" spans="27:27">
      <c r="AA4817" t="s">
        <v>7433</v>
      </c>
    </row>
    <row r="4818" spans="27:27">
      <c r="AA4818" t="s">
        <v>7434</v>
      </c>
    </row>
    <row r="4819" spans="27:27">
      <c r="AA4819" t="s">
        <v>7435</v>
      </c>
    </row>
    <row r="4820" spans="27:27">
      <c r="AA4820" t="s">
        <v>7436</v>
      </c>
    </row>
    <row r="4821" spans="27:27">
      <c r="AA4821" t="s">
        <v>7437</v>
      </c>
    </row>
    <row r="4822" spans="27:27">
      <c r="AA4822" t="s">
        <v>7438</v>
      </c>
    </row>
    <row r="4823" spans="27:27">
      <c r="AA4823" t="s">
        <v>7439</v>
      </c>
    </row>
    <row r="4824" spans="27:27">
      <c r="AA4824" t="s">
        <v>7440</v>
      </c>
    </row>
    <row r="4825" spans="27:27">
      <c r="AA4825" t="s">
        <v>7441</v>
      </c>
    </row>
    <row r="4826" spans="27:27">
      <c r="AA4826" t="s">
        <v>563</v>
      </c>
    </row>
    <row r="4827" spans="27:27">
      <c r="AA4827" t="s">
        <v>3681</v>
      </c>
    </row>
    <row r="4828" spans="27:27">
      <c r="AA4828" t="s">
        <v>7442</v>
      </c>
    </row>
    <row r="4829" spans="27:27">
      <c r="AA4829" t="s">
        <v>7443</v>
      </c>
    </row>
    <row r="4830" spans="27:27">
      <c r="AA4830" t="s">
        <v>7444</v>
      </c>
    </row>
    <row r="4831" spans="27:27">
      <c r="AA4831" t="s">
        <v>7445</v>
      </c>
    </row>
    <row r="4832" spans="27:27">
      <c r="AA4832" t="s">
        <v>7446</v>
      </c>
    </row>
    <row r="4833" spans="27:27">
      <c r="AA4833" t="s">
        <v>564</v>
      </c>
    </row>
    <row r="4834" spans="27:27">
      <c r="AA4834" t="s">
        <v>7447</v>
      </c>
    </row>
    <row r="4835" spans="27:27">
      <c r="AA4835" t="s">
        <v>565</v>
      </c>
    </row>
    <row r="4836" spans="27:27">
      <c r="AA4836" t="s">
        <v>566</v>
      </c>
    </row>
    <row r="4837" spans="27:27">
      <c r="AA4837" t="s">
        <v>3682</v>
      </c>
    </row>
    <row r="4838" spans="27:27">
      <c r="AA4838" t="s">
        <v>567</v>
      </c>
    </row>
    <row r="4839" spans="27:27">
      <c r="AA4839" t="s">
        <v>568</v>
      </c>
    </row>
    <row r="4840" spans="27:27">
      <c r="AA4840" t="s">
        <v>569</v>
      </c>
    </row>
    <row r="4841" spans="27:27">
      <c r="AA4841" t="s">
        <v>570</v>
      </c>
    </row>
    <row r="4842" spans="27:27">
      <c r="AA4842" t="s">
        <v>7448</v>
      </c>
    </row>
    <row r="4843" spans="27:27">
      <c r="AA4843" t="s">
        <v>571</v>
      </c>
    </row>
    <row r="4844" spans="27:27">
      <c r="AA4844" t="s">
        <v>572</v>
      </c>
    </row>
    <row r="4845" spans="27:27">
      <c r="AA4845" t="s">
        <v>573</v>
      </c>
    </row>
    <row r="4846" spans="27:27">
      <c r="AA4846" t="s">
        <v>574</v>
      </c>
    </row>
    <row r="4847" spans="27:27">
      <c r="AA4847" t="s">
        <v>575</v>
      </c>
    </row>
    <row r="4848" spans="27:27">
      <c r="AA4848" t="s">
        <v>576</v>
      </c>
    </row>
    <row r="4849" spans="27:27">
      <c r="AA4849" t="s">
        <v>577</v>
      </c>
    </row>
    <row r="4850" spans="27:27">
      <c r="AA4850" t="s">
        <v>578</v>
      </c>
    </row>
    <row r="4851" spans="27:27">
      <c r="AA4851" t="s">
        <v>579</v>
      </c>
    </row>
    <row r="4852" spans="27:27">
      <c r="AA4852" t="s">
        <v>580</v>
      </c>
    </row>
    <row r="4853" spans="27:27">
      <c r="AA4853" t="s">
        <v>581</v>
      </c>
    </row>
    <row r="4854" spans="27:27">
      <c r="AA4854" t="s">
        <v>582</v>
      </c>
    </row>
    <row r="4855" spans="27:27">
      <c r="AA4855" t="s">
        <v>583</v>
      </c>
    </row>
    <row r="4856" spans="27:27">
      <c r="AA4856" t="s">
        <v>584</v>
      </c>
    </row>
    <row r="4857" spans="27:27">
      <c r="AA4857" t="s">
        <v>585</v>
      </c>
    </row>
    <row r="4858" spans="27:27">
      <c r="AA4858" t="s">
        <v>7449</v>
      </c>
    </row>
    <row r="4859" spans="27:27">
      <c r="AA4859" t="s">
        <v>7450</v>
      </c>
    </row>
    <row r="4860" spans="27:27">
      <c r="AA4860" t="s">
        <v>586</v>
      </c>
    </row>
    <row r="4861" spans="27:27">
      <c r="AA4861" t="s">
        <v>587</v>
      </c>
    </row>
    <row r="4862" spans="27:27">
      <c r="AA4862" t="s">
        <v>588</v>
      </c>
    </row>
    <row r="4863" spans="27:27">
      <c r="AA4863" t="s">
        <v>589</v>
      </c>
    </row>
    <row r="4864" spans="27:27">
      <c r="AA4864" t="s">
        <v>7451</v>
      </c>
    </row>
    <row r="4865" spans="27:27">
      <c r="AA4865" t="s">
        <v>7452</v>
      </c>
    </row>
    <row r="4866" spans="27:27">
      <c r="AA4866" t="s">
        <v>7453</v>
      </c>
    </row>
    <row r="4867" spans="27:27">
      <c r="AA4867" t="s">
        <v>7454</v>
      </c>
    </row>
    <row r="4868" spans="27:27">
      <c r="AA4868" t="s">
        <v>7455</v>
      </c>
    </row>
    <row r="4869" spans="27:27">
      <c r="AA4869" t="s">
        <v>7456</v>
      </c>
    </row>
    <row r="4870" spans="27:27">
      <c r="AA4870" t="s">
        <v>590</v>
      </c>
    </row>
    <row r="4871" spans="27:27">
      <c r="AA4871" t="s">
        <v>7457</v>
      </c>
    </row>
    <row r="4872" spans="27:27">
      <c r="AA4872" t="s">
        <v>7458</v>
      </c>
    </row>
    <row r="4873" spans="27:27">
      <c r="AA4873" t="s">
        <v>7459</v>
      </c>
    </row>
    <row r="4874" spans="27:27">
      <c r="AA4874" t="s">
        <v>7460</v>
      </c>
    </row>
    <row r="4875" spans="27:27">
      <c r="AA4875" t="s">
        <v>7461</v>
      </c>
    </row>
    <row r="4876" spans="27:27">
      <c r="AA4876" t="s">
        <v>3683</v>
      </c>
    </row>
    <row r="4877" spans="27:27">
      <c r="AA4877" t="s">
        <v>7462</v>
      </c>
    </row>
    <row r="4878" spans="27:27">
      <c r="AA4878" t="s">
        <v>591</v>
      </c>
    </row>
    <row r="4879" spans="27:27">
      <c r="AA4879" t="s">
        <v>592</v>
      </c>
    </row>
    <row r="4880" spans="27:27">
      <c r="AA4880" t="s">
        <v>593</v>
      </c>
    </row>
    <row r="4881" spans="27:27">
      <c r="AA4881" t="s">
        <v>594</v>
      </c>
    </row>
    <row r="4882" spans="27:27">
      <c r="AA4882" t="s">
        <v>595</v>
      </c>
    </row>
    <row r="4883" spans="27:27">
      <c r="AA4883" t="s">
        <v>596</v>
      </c>
    </row>
    <row r="4884" spans="27:27">
      <c r="AA4884" t="s">
        <v>597</v>
      </c>
    </row>
    <row r="4885" spans="27:27">
      <c r="AA4885" t="s">
        <v>598</v>
      </c>
    </row>
    <row r="4886" spans="27:27">
      <c r="AA4886" t="s">
        <v>599</v>
      </c>
    </row>
    <row r="4887" spans="27:27">
      <c r="AA4887" t="s">
        <v>600</v>
      </c>
    </row>
    <row r="4888" spans="27:27">
      <c r="AA4888" t="s">
        <v>3684</v>
      </c>
    </row>
    <row r="4889" spans="27:27">
      <c r="AA4889" t="s">
        <v>7463</v>
      </c>
    </row>
    <row r="4890" spans="27:27">
      <c r="AA4890" t="s">
        <v>7464</v>
      </c>
    </row>
    <row r="4891" spans="27:27">
      <c r="AA4891" t="s">
        <v>601</v>
      </c>
    </row>
    <row r="4892" spans="27:27">
      <c r="AA4892" t="s">
        <v>602</v>
      </c>
    </row>
    <row r="4893" spans="27:27">
      <c r="AA4893" t="s">
        <v>7465</v>
      </c>
    </row>
    <row r="4894" spans="27:27">
      <c r="AA4894" t="s">
        <v>603</v>
      </c>
    </row>
    <row r="4895" spans="27:27">
      <c r="AA4895" t="s">
        <v>7466</v>
      </c>
    </row>
    <row r="4896" spans="27:27">
      <c r="AA4896" t="s">
        <v>7467</v>
      </c>
    </row>
    <row r="4897" spans="27:27">
      <c r="AA4897" t="s">
        <v>604</v>
      </c>
    </row>
    <row r="4898" spans="27:27">
      <c r="AA4898" t="s">
        <v>3685</v>
      </c>
    </row>
    <row r="4899" spans="27:27">
      <c r="AA4899" t="s">
        <v>7468</v>
      </c>
    </row>
    <row r="4900" spans="27:27">
      <c r="AA4900" t="s">
        <v>7469</v>
      </c>
    </row>
    <row r="4901" spans="27:27">
      <c r="AA4901" t="s">
        <v>7470</v>
      </c>
    </row>
    <row r="4902" spans="27:27">
      <c r="AA4902" t="s">
        <v>7471</v>
      </c>
    </row>
    <row r="4903" spans="27:27">
      <c r="AA4903" t="s">
        <v>7472</v>
      </c>
    </row>
    <row r="4904" spans="27:27">
      <c r="AA4904" t="s">
        <v>7473</v>
      </c>
    </row>
    <row r="4905" spans="27:27">
      <c r="AA4905" t="s">
        <v>7474</v>
      </c>
    </row>
    <row r="4906" spans="27:27">
      <c r="AA4906" t="s">
        <v>7475</v>
      </c>
    </row>
    <row r="4907" spans="27:27">
      <c r="AA4907" t="s">
        <v>7476</v>
      </c>
    </row>
    <row r="4908" spans="27:27">
      <c r="AA4908" t="s">
        <v>7477</v>
      </c>
    </row>
    <row r="4909" spans="27:27">
      <c r="AA4909" t="s">
        <v>7478</v>
      </c>
    </row>
    <row r="4910" spans="27:27">
      <c r="AA4910" t="s">
        <v>7479</v>
      </c>
    </row>
    <row r="4911" spans="27:27">
      <c r="AA4911" t="s">
        <v>7480</v>
      </c>
    </row>
    <row r="4912" spans="27:27">
      <c r="AA4912" t="s">
        <v>7481</v>
      </c>
    </row>
    <row r="4913" spans="27:27">
      <c r="AA4913" t="s">
        <v>7482</v>
      </c>
    </row>
    <row r="4914" spans="27:27">
      <c r="AA4914" t="s">
        <v>7483</v>
      </c>
    </row>
    <row r="4915" spans="27:27">
      <c r="AA4915" t="s">
        <v>7484</v>
      </c>
    </row>
    <row r="4916" spans="27:27">
      <c r="AA4916" t="s">
        <v>7485</v>
      </c>
    </row>
    <row r="4917" spans="27:27">
      <c r="AA4917" t="s">
        <v>7486</v>
      </c>
    </row>
    <row r="4918" spans="27:27">
      <c r="AA4918" t="s">
        <v>7487</v>
      </c>
    </row>
    <row r="4919" spans="27:27">
      <c r="AA4919" t="s">
        <v>7488</v>
      </c>
    </row>
    <row r="4920" spans="27:27">
      <c r="AA4920" t="s">
        <v>7489</v>
      </c>
    </row>
    <row r="4921" spans="27:27">
      <c r="AA4921" t="s">
        <v>7490</v>
      </c>
    </row>
    <row r="4922" spans="27:27">
      <c r="AA4922" t="s">
        <v>605</v>
      </c>
    </row>
    <row r="4923" spans="27:27">
      <c r="AA4923" t="s">
        <v>606</v>
      </c>
    </row>
    <row r="4924" spans="27:27">
      <c r="AA4924" t="s">
        <v>607</v>
      </c>
    </row>
    <row r="4925" spans="27:27">
      <c r="AA4925" t="s">
        <v>608</v>
      </c>
    </row>
    <row r="4926" spans="27:27">
      <c r="AA4926" t="s">
        <v>609</v>
      </c>
    </row>
    <row r="4927" spans="27:27">
      <c r="AA4927" t="s">
        <v>610</v>
      </c>
    </row>
    <row r="4928" spans="27:27">
      <c r="AA4928" t="s">
        <v>611</v>
      </c>
    </row>
    <row r="4929" spans="27:27">
      <c r="AA4929" t="s">
        <v>612</v>
      </c>
    </row>
    <row r="4930" spans="27:27">
      <c r="AA4930" t="s">
        <v>613</v>
      </c>
    </row>
    <row r="4931" spans="27:27">
      <c r="AA4931" t="s">
        <v>614</v>
      </c>
    </row>
    <row r="4932" spans="27:27">
      <c r="AA4932" t="s">
        <v>615</v>
      </c>
    </row>
    <row r="4933" spans="27:27">
      <c r="AA4933" t="s">
        <v>616</v>
      </c>
    </row>
    <row r="4934" spans="27:27">
      <c r="AA4934" t="s">
        <v>617</v>
      </c>
    </row>
    <row r="4935" spans="27:27">
      <c r="AA4935" t="s">
        <v>3686</v>
      </c>
    </row>
    <row r="4936" spans="27:27">
      <c r="AA4936" t="s">
        <v>7491</v>
      </c>
    </row>
    <row r="4937" spans="27:27">
      <c r="AA4937" t="s">
        <v>7492</v>
      </c>
    </row>
    <row r="4938" spans="27:27">
      <c r="AA4938" t="s">
        <v>7493</v>
      </c>
    </row>
    <row r="4939" spans="27:27">
      <c r="AA4939" t="s">
        <v>7494</v>
      </c>
    </row>
    <row r="4940" spans="27:27">
      <c r="AA4940" t="s">
        <v>7495</v>
      </c>
    </row>
    <row r="4941" spans="27:27">
      <c r="AA4941" t="s">
        <v>7496</v>
      </c>
    </row>
    <row r="4942" spans="27:27">
      <c r="AA4942" t="s">
        <v>7497</v>
      </c>
    </row>
    <row r="4943" spans="27:27">
      <c r="AA4943" t="s">
        <v>7498</v>
      </c>
    </row>
    <row r="4944" spans="27:27">
      <c r="AA4944" t="s">
        <v>7499</v>
      </c>
    </row>
    <row r="4945" spans="27:27">
      <c r="AA4945" t="s">
        <v>7500</v>
      </c>
    </row>
    <row r="4946" spans="27:27">
      <c r="AA4946" t="s">
        <v>7501</v>
      </c>
    </row>
    <row r="4947" spans="27:27">
      <c r="AA4947" t="s">
        <v>7502</v>
      </c>
    </row>
    <row r="4948" spans="27:27">
      <c r="AA4948" t="s">
        <v>7503</v>
      </c>
    </row>
    <row r="4949" spans="27:27">
      <c r="AA4949" t="s">
        <v>7504</v>
      </c>
    </row>
    <row r="4950" spans="27:27">
      <c r="AA4950" t="s">
        <v>7505</v>
      </c>
    </row>
    <row r="4951" spans="27:27">
      <c r="AA4951" t="s">
        <v>7506</v>
      </c>
    </row>
    <row r="4952" spans="27:27">
      <c r="AA4952" t="s">
        <v>618</v>
      </c>
    </row>
    <row r="4953" spans="27:27">
      <c r="AA4953" t="s">
        <v>3687</v>
      </c>
    </row>
    <row r="4954" spans="27:27">
      <c r="AA4954" t="s">
        <v>7507</v>
      </c>
    </row>
    <row r="4955" spans="27:27">
      <c r="AA4955" t="s">
        <v>7508</v>
      </c>
    </row>
    <row r="4956" spans="27:27">
      <c r="AA4956" t="s">
        <v>7509</v>
      </c>
    </row>
    <row r="4957" spans="27:27">
      <c r="AA4957" t="s">
        <v>619</v>
      </c>
    </row>
    <row r="4958" spans="27:27">
      <c r="AA4958" t="s">
        <v>7510</v>
      </c>
    </row>
    <row r="4959" spans="27:27">
      <c r="AA4959" t="s">
        <v>7511</v>
      </c>
    </row>
    <row r="4960" spans="27:27">
      <c r="AA4960" t="s">
        <v>7512</v>
      </c>
    </row>
    <row r="4961" spans="27:27">
      <c r="AA4961" t="s">
        <v>7513</v>
      </c>
    </row>
    <row r="4962" spans="27:27">
      <c r="AA4962" t="s">
        <v>7514</v>
      </c>
    </row>
    <row r="4963" spans="27:27">
      <c r="AA4963" t="s">
        <v>7515</v>
      </c>
    </row>
    <row r="4964" spans="27:27">
      <c r="AA4964" t="s">
        <v>7516</v>
      </c>
    </row>
    <row r="4965" spans="27:27">
      <c r="AA4965" t="s">
        <v>7517</v>
      </c>
    </row>
    <row r="4966" spans="27:27">
      <c r="AA4966" t="s">
        <v>7518</v>
      </c>
    </row>
    <row r="4967" spans="27:27">
      <c r="AA4967" t="s">
        <v>7519</v>
      </c>
    </row>
    <row r="4968" spans="27:27">
      <c r="AA4968" t="s">
        <v>7520</v>
      </c>
    </row>
    <row r="4969" spans="27:27">
      <c r="AA4969" t="s">
        <v>620</v>
      </c>
    </row>
    <row r="4970" spans="27:27">
      <c r="AA4970" t="s">
        <v>7521</v>
      </c>
    </row>
    <row r="4971" spans="27:27">
      <c r="AA4971" t="s">
        <v>621</v>
      </c>
    </row>
    <row r="4972" spans="27:27">
      <c r="AA4972" t="s">
        <v>7522</v>
      </c>
    </row>
    <row r="4973" spans="27:27">
      <c r="AA4973" t="s">
        <v>7523</v>
      </c>
    </row>
    <row r="4974" spans="27:27">
      <c r="AA4974" t="s">
        <v>7524</v>
      </c>
    </row>
    <row r="4975" spans="27:27">
      <c r="AA4975" t="s">
        <v>7525</v>
      </c>
    </row>
    <row r="4976" spans="27:27">
      <c r="AA4976" t="s">
        <v>7526</v>
      </c>
    </row>
    <row r="4977" spans="27:27">
      <c r="AA4977" t="s">
        <v>7527</v>
      </c>
    </row>
    <row r="4978" spans="27:27">
      <c r="AA4978" t="s">
        <v>7528</v>
      </c>
    </row>
    <row r="4979" spans="27:27">
      <c r="AA4979" t="s">
        <v>7529</v>
      </c>
    </row>
    <row r="4980" spans="27:27">
      <c r="AA4980" t="s">
        <v>7530</v>
      </c>
    </row>
    <row r="4981" spans="27:27">
      <c r="AA4981" t="s">
        <v>7531</v>
      </c>
    </row>
    <row r="4982" spans="27:27">
      <c r="AA4982" t="s">
        <v>7532</v>
      </c>
    </row>
    <row r="4983" spans="27:27">
      <c r="AA4983" t="s">
        <v>7533</v>
      </c>
    </row>
    <row r="4984" spans="27:27">
      <c r="AA4984" t="s">
        <v>7534</v>
      </c>
    </row>
    <row r="4985" spans="27:27">
      <c r="AA4985" t="s">
        <v>7535</v>
      </c>
    </row>
    <row r="4986" spans="27:27">
      <c r="AA4986" t="s">
        <v>7536</v>
      </c>
    </row>
    <row r="4987" spans="27:27">
      <c r="AA4987" t="s">
        <v>7537</v>
      </c>
    </row>
    <row r="4988" spans="27:27">
      <c r="AA4988" t="s">
        <v>7538</v>
      </c>
    </row>
    <row r="4989" spans="27:27">
      <c r="AA4989" t="s">
        <v>7539</v>
      </c>
    </row>
    <row r="4990" spans="27:27">
      <c r="AA4990" t="s">
        <v>7540</v>
      </c>
    </row>
    <row r="4991" spans="27:27">
      <c r="AA4991" t="s">
        <v>7541</v>
      </c>
    </row>
    <row r="4992" spans="27:27">
      <c r="AA4992" t="s">
        <v>7542</v>
      </c>
    </row>
    <row r="4993" spans="27:27">
      <c r="AA4993" t="s">
        <v>7543</v>
      </c>
    </row>
    <row r="4994" spans="27:27">
      <c r="AA4994" t="s">
        <v>7544</v>
      </c>
    </row>
    <row r="4995" spans="27:27">
      <c r="AA4995" t="s">
        <v>7545</v>
      </c>
    </row>
    <row r="4996" spans="27:27">
      <c r="AA4996" t="s">
        <v>7546</v>
      </c>
    </row>
    <row r="4997" spans="27:27">
      <c r="AA4997" t="s">
        <v>7547</v>
      </c>
    </row>
    <row r="4998" spans="27:27">
      <c r="AA4998" t="s">
        <v>7548</v>
      </c>
    </row>
    <row r="4999" spans="27:27">
      <c r="AA4999" t="s">
        <v>7549</v>
      </c>
    </row>
    <row r="5000" spans="27:27">
      <c r="AA5000" t="s">
        <v>7550</v>
      </c>
    </row>
    <row r="5001" spans="27:27">
      <c r="AA5001" t="s">
        <v>7551</v>
      </c>
    </row>
    <row r="5002" spans="27:27">
      <c r="AA5002" t="s">
        <v>7552</v>
      </c>
    </row>
    <row r="5003" spans="27:27">
      <c r="AA5003" t="s">
        <v>7553</v>
      </c>
    </row>
    <row r="5004" spans="27:27">
      <c r="AA5004" t="s">
        <v>7554</v>
      </c>
    </row>
    <row r="5005" spans="27:27">
      <c r="AA5005" t="s">
        <v>7555</v>
      </c>
    </row>
    <row r="5006" spans="27:27">
      <c r="AA5006" t="s">
        <v>7556</v>
      </c>
    </row>
    <row r="5007" spans="27:27">
      <c r="AA5007" t="s">
        <v>7557</v>
      </c>
    </row>
    <row r="5008" spans="27:27">
      <c r="AA5008" t="s">
        <v>7558</v>
      </c>
    </row>
    <row r="5009" spans="27:27">
      <c r="AA5009" t="s">
        <v>7559</v>
      </c>
    </row>
    <row r="5010" spans="27:27">
      <c r="AA5010" t="s">
        <v>3688</v>
      </c>
    </row>
    <row r="5011" spans="27:27">
      <c r="AA5011" t="s">
        <v>7560</v>
      </c>
    </row>
    <row r="5012" spans="27:27">
      <c r="AA5012" t="s">
        <v>7561</v>
      </c>
    </row>
    <row r="5013" spans="27:27">
      <c r="AA5013" t="s">
        <v>7562</v>
      </c>
    </row>
    <row r="5014" spans="27:27">
      <c r="AA5014" t="s">
        <v>7563</v>
      </c>
    </row>
    <row r="5015" spans="27:27">
      <c r="AA5015" t="s">
        <v>7564</v>
      </c>
    </row>
    <row r="5016" spans="27:27">
      <c r="AA5016" t="s">
        <v>7565</v>
      </c>
    </row>
    <row r="5017" spans="27:27">
      <c r="AA5017" t="s">
        <v>7566</v>
      </c>
    </row>
    <row r="5018" spans="27:27">
      <c r="AA5018" t="s">
        <v>7567</v>
      </c>
    </row>
    <row r="5019" spans="27:27">
      <c r="AA5019" t="s">
        <v>7568</v>
      </c>
    </row>
    <row r="5020" spans="27:27">
      <c r="AA5020" t="s">
        <v>7569</v>
      </c>
    </row>
    <row r="5021" spans="27:27">
      <c r="AA5021" t="s">
        <v>7570</v>
      </c>
    </row>
    <row r="5022" spans="27:27">
      <c r="AA5022" t="s">
        <v>7571</v>
      </c>
    </row>
    <row r="5023" spans="27:27">
      <c r="AA5023" t="s">
        <v>7572</v>
      </c>
    </row>
    <row r="5024" spans="27:27">
      <c r="AA5024" t="s">
        <v>7573</v>
      </c>
    </row>
    <row r="5025" spans="27:27">
      <c r="AA5025" t="s">
        <v>7574</v>
      </c>
    </row>
    <row r="5026" spans="27:27">
      <c r="AA5026" t="s">
        <v>7575</v>
      </c>
    </row>
    <row r="5027" spans="27:27">
      <c r="AA5027" t="s">
        <v>7576</v>
      </c>
    </row>
    <row r="5028" spans="27:27">
      <c r="AA5028" t="s">
        <v>7577</v>
      </c>
    </row>
    <row r="5029" spans="27:27">
      <c r="AA5029" t="s">
        <v>7578</v>
      </c>
    </row>
    <row r="5030" spans="27:27">
      <c r="AA5030" t="s">
        <v>7579</v>
      </c>
    </row>
    <row r="5031" spans="27:27">
      <c r="AA5031" t="s">
        <v>7580</v>
      </c>
    </row>
    <row r="5032" spans="27:27">
      <c r="AA5032" t="s">
        <v>622</v>
      </c>
    </row>
    <row r="5033" spans="27:27">
      <c r="AA5033" t="s">
        <v>3689</v>
      </c>
    </row>
    <row r="5034" spans="27:27">
      <c r="AA5034" t="s">
        <v>623</v>
      </c>
    </row>
    <row r="5035" spans="27:27">
      <c r="AA5035" t="s">
        <v>7581</v>
      </c>
    </row>
    <row r="5036" spans="27:27">
      <c r="AA5036" t="s">
        <v>7582</v>
      </c>
    </row>
    <row r="5037" spans="27:27">
      <c r="AA5037" t="s">
        <v>624</v>
      </c>
    </row>
    <row r="5038" spans="27:27">
      <c r="AA5038" t="s">
        <v>7583</v>
      </c>
    </row>
    <row r="5039" spans="27:27">
      <c r="AA5039" t="s">
        <v>7584</v>
      </c>
    </row>
    <row r="5040" spans="27:27">
      <c r="AA5040" t="s">
        <v>7585</v>
      </c>
    </row>
    <row r="5041" spans="27:27">
      <c r="AA5041" t="s">
        <v>7586</v>
      </c>
    </row>
    <row r="5042" spans="27:27">
      <c r="AA5042" t="s">
        <v>625</v>
      </c>
    </row>
    <row r="5043" spans="27:27">
      <c r="AA5043" t="s">
        <v>3690</v>
      </c>
    </row>
    <row r="5044" spans="27:27">
      <c r="AA5044" t="s">
        <v>626</v>
      </c>
    </row>
    <row r="5045" spans="27:27">
      <c r="AA5045" t="s">
        <v>7587</v>
      </c>
    </row>
    <row r="5046" spans="27:27">
      <c r="AA5046" t="s">
        <v>7588</v>
      </c>
    </row>
    <row r="5047" spans="27:27">
      <c r="AA5047" t="s">
        <v>7589</v>
      </c>
    </row>
    <row r="5048" spans="27:27">
      <c r="AA5048" t="s">
        <v>7590</v>
      </c>
    </row>
    <row r="5049" spans="27:27">
      <c r="AA5049" t="s">
        <v>7591</v>
      </c>
    </row>
    <row r="5050" spans="27:27">
      <c r="AA5050" t="s">
        <v>7592</v>
      </c>
    </row>
    <row r="5051" spans="27:27">
      <c r="AA5051" t="s">
        <v>7593</v>
      </c>
    </row>
    <row r="5052" spans="27:27">
      <c r="AA5052" t="s">
        <v>7594</v>
      </c>
    </row>
    <row r="5053" spans="27:27">
      <c r="AA5053" t="s">
        <v>7595</v>
      </c>
    </row>
    <row r="5054" spans="27:27">
      <c r="AA5054" t="s">
        <v>7596</v>
      </c>
    </row>
    <row r="5055" spans="27:27">
      <c r="AA5055" t="s">
        <v>627</v>
      </c>
    </row>
    <row r="5056" spans="27:27">
      <c r="AA5056" t="s">
        <v>7597</v>
      </c>
    </row>
    <row r="5057" spans="27:27">
      <c r="AA5057" t="s">
        <v>7598</v>
      </c>
    </row>
    <row r="5058" spans="27:27">
      <c r="AA5058" t="s">
        <v>7599</v>
      </c>
    </row>
    <row r="5059" spans="27:27">
      <c r="AA5059" t="s">
        <v>7600</v>
      </c>
    </row>
    <row r="5060" spans="27:27">
      <c r="AA5060" t="s">
        <v>7601</v>
      </c>
    </row>
    <row r="5061" spans="27:27">
      <c r="AA5061" t="s">
        <v>7602</v>
      </c>
    </row>
    <row r="5062" spans="27:27">
      <c r="AA5062" t="s">
        <v>7603</v>
      </c>
    </row>
    <row r="5063" spans="27:27">
      <c r="AA5063" t="s">
        <v>7604</v>
      </c>
    </row>
    <row r="5064" spans="27:27">
      <c r="AA5064" t="s">
        <v>7605</v>
      </c>
    </row>
    <row r="5065" spans="27:27">
      <c r="AA5065" t="s">
        <v>7606</v>
      </c>
    </row>
    <row r="5066" spans="27:27">
      <c r="AA5066" t="s">
        <v>7607</v>
      </c>
    </row>
    <row r="5067" spans="27:27">
      <c r="AA5067" t="s">
        <v>7608</v>
      </c>
    </row>
    <row r="5068" spans="27:27">
      <c r="AA5068" t="s">
        <v>7609</v>
      </c>
    </row>
    <row r="5069" spans="27:27">
      <c r="AA5069" t="s">
        <v>7610</v>
      </c>
    </row>
    <row r="5070" spans="27:27">
      <c r="AA5070" t="s">
        <v>3691</v>
      </c>
    </row>
    <row r="5071" spans="27:27">
      <c r="AA5071" t="s">
        <v>7611</v>
      </c>
    </row>
    <row r="5072" spans="27:27">
      <c r="AA5072" t="s">
        <v>7612</v>
      </c>
    </row>
    <row r="5073" spans="27:27">
      <c r="AA5073" t="s">
        <v>7613</v>
      </c>
    </row>
    <row r="5074" spans="27:27">
      <c r="AA5074" t="s">
        <v>7614</v>
      </c>
    </row>
    <row r="5075" spans="27:27">
      <c r="AA5075" t="s">
        <v>7615</v>
      </c>
    </row>
    <row r="5076" spans="27:27">
      <c r="AA5076" t="s">
        <v>628</v>
      </c>
    </row>
    <row r="5077" spans="27:27">
      <c r="AA5077" t="s">
        <v>7616</v>
      </c>
    </row>
    <row r="5078" spans="27:27">
      <c r="AA5078" t="s">
        <v>7617</v>
      </c>
    </row>
    <row r="5079" spans="27:27">
      <c r="AA5079" t="s">
        <v>7618</v>
      </c>
    </row>
    <row r="5080" spans="27:27">
      <c r="AA5080" t="s">
        <v>629</v>
      </c>
    </row>
    <row r="5081" spans="27:27">
      <c r="AA5081" t="s">
        <v>630</v>
      </c>
    </row>
    <row r="5082" spans="27:27">
      <c r="AA5082" t="s">
        <v>631</v>
      </c>
    </row>
    <row r="5083" spans="27:27">
      <c r="AA5083" t="s">
        <v>632</v>
      </c>
    </row>
    <row r="5084" spans="27:27">
      <c r="AA5084" t="s">
        <v>633</v>
      </c>
    </row>
    <row r="5085" spans="27:27">
      <c r="AA5085" t="s">
        <v>634</v>
      </c>
    </row>
    <row r="5086" spans="27:27">
      <c r="AA5086" t="s">
        <v>635</v>
      </c>
    </row>
    <row r="5087" spans="27:27">
      <c r="AA5087" t="s">
        <v>636</v>
      </c>
    </row>
    <row r="5088" spans="27:27">
      <c r="AA5088" t="s">
        <v>637</v>
      </c>
    </row>
    <row r="5089" spans="27:27">
      <c r="AA5089" t="s">
        <v>3692</v>
      </c>
    </row>
    <row r="5090" spans="27:27">
      <c r="AA5090" t="s">
        <v>7619</v>
      </c>
    </row>
    <row r="5091" spans="27:27">
      <c r="AA5091" t="s">
        <v>7620</v>
      </c>
    </row>
    <row r="5092" spans="27:27">
      <c r="AA5092" t="s">
        <v>7621</v>
      </c>
    </row>
    <row r="5093" spans="27:27">
      <c r="AA5093" t="s">
        <v>7622</v>
      </c>
    </row>
    <row r="5094" spans="27:27">
      <c r="AA5094" t="s">
        <v>7623</v>
      </c>
    </row>
    <row r="5095" spans="27:27">
      <c r="AA5095" t="s">
        <v>638</v>
      </c>
    </row>
    <row r="5096" spans="27:27">
      <c r="AA5096" t="s">
        <v>639</v>
      </c>
    </row>
    <row r="5097" spans="27:27">
      <c r="AA5097" t="s">
        <v>640</v>
      </c>
    </row>
    <row r="5098" spans="27:27">
      <c r="AA5098" t="s">
        <v>641</v>
      </c>
    </row>
    <row r="5099" spans="27:27">
      <c r="AA5099" t="s">
        <v>642</v>
      </c>
    </row>
    <row r="5100" spans="27:27">
      <c r="AA5100" t="s">
        <v>643</v>
      </c>
    </row>
    <row r="5101" spans="27:27">
      <c r="AA5101" t="s">
        <v>644</v>
      </c>
    </row>
    <row r="5102" spans="27:27">
      <c r="AA5102" t="s">
        <v>645</v>
      </c>
    </row>
    <row r="5103" spans="27:27">
      <c r="AA5103" t="s">
        <v>646</v>
      </c>
    </row>
    <row r="5104" spans="27:27">
      <c r="AA5104" t="s">
        <v>647</v>
      </c>
    </row>
    <row r="5105" spans="27:27">
      <c r="AA5105" t="s">
        <v>648</v>
      </c>
    </row>
    <row r="5106" spans="27:27">
      <c r="AA5106" t="s">
        <v>649</v>
      </c>
    </row>
    <row r="5107" spans="27:27">
      <c r="AA5107" t="s">
        <v>650</v>
      </c>
    </row>
    <row r="5108" spans="27:27">
      <c r="AA5108" t="s">
        <v>651</v>
      </c>
    </row>
    <row r="5109" spans="27:27">
      <c r="AA5109" t="s">
        <v>652</v>
      </c>
    </row>
    <row r="5110" spans="27:27">
      <c r="AA5110" t="s">
        <v>653</v>
      </c>
    </row>
    <row r="5111" spans="27:27">
      <c r="AA5111" t="s">
        <v>654</v>
      </c>
    </row>
    <row r="5112" spans="27:27">
      <c r="AA5112" t="s">
        <v>655</v>
      </c>
    </row>
    <row r="5113" spans="27:27">
      <c r="AA5113" t="s">
        <v>656</v>
      </c>
    </row>
    <row r="5114" spans="27:27">
      <c r="AA5114" t="s">
        <v>657</v>
      </c>
    </row>
    <row r="5115" spans="27:27">
      <c r="AA5115" t="s">
        <v>658</v>
      </c>
    </row>
    <row r="5116" spans="27:27">
      <c r="AA5116" t="s">
        <v>659</v>
      </c>
    </row>
    <row r="5117" spans="27:27">
      <c r="AA5117" t="s">
        <v>660</v>
      </c>
    </row>
    <row r="5118" spans="27:27">
      <c r="AA5118" t="s">
        <v>661</v>
      </c>
    </row>
    <row r="5119" spans="27:27">
      <c r="AA5119" t="s">
        <v>662</v>
      </c>
    </row>
    <row r="5120" spans="27:27">
      <c r="AA5120" t="s">
        <v>663</v>
      </c>
    </row>
    <row r="5121" spans="27:27">
      <c r="AA5121" t="s">
        <v>664</v>
      </c>
    </row>
    <row r="5122" spans="27:27">
      <c r="AA5122" t="s">
        <v>3693</v>
      </c>
    </row>
    <row r="5123" spans="27:27">
      <c r="AA5123" t="s">
        <v>7624</v>
      </c>
    </row>
    <row r="5124" spans="27:27">
      <c r="AA5124" t="s">
        <v>7625</v>
      </c>
    </row>
    <row r="5125" spans="27:27">
      <c r="AA5125" t="s">
        <v>665</v>
      </c>
    </row>
    <row r="5126" spans="27:27">
      <c r="AA5126" t="s">
        <v>7626</v>
      </c>
    </row>
    <row r="5127" spans="27:27">
      <c r="AA5127" t="s">
        <v>666</v>
      </c>
    </row>
    <row r="5128" spans="27:27">
      <c r="AA5128" t="s">
        <v>667</v>
      </c>
    </row>
    <row r="5129" spans="27:27">
      <c r="AA5129" t="s">
        <v>7627</v>
      </c>
    </row>
    <row r="5130" spans="27:27">
      <c r="AA5130" t="s">
        <v>7628</v>
      </c>
    </row>
    <row r="5131" spans="27:27">
      <c r="AA5131" t="s">
        <v>7629</v>
      </c>
    </row>
    <row r="5132" spans="27:27">
      <c r="AA5132" t="s">
        <v>668</v>
      </c>
    </row>
    <row r="5133" spans="27:27">
      <c r="AA5133" t="s">
        <v>669</v>
      </c>
    </row>
    <row r="5134" spans="27:27">
      <c r="AA5134" t="s">
        <v>7630</v>
      </c>
    </row>
    <row r="5135" spans="27:27">
      <c r="AA5135" t="s">
        <v>670</v>
      </c>
    </row>
    <row r="5136" spans="27:27">
      <c r="AA5136" t="s">
        <v>671</v>
      </c>
    </row>
    <row r="5137" spans="27:27">
      <c r="AA5137" t="s">
        <v>672</v>
      </c>
    </row>
    <row r="5138" spans="27:27">
      <c r="AA5138" t="s">
        <v>673</v>
      </c>
    </row>
    <row r="5139" spans="27:27">
      <c r="AA5139" t="s">
        <v>674</v>
      </c>
    </row>
    <row r="5140" spans="27:27">
      <c r="AA5140" t="s">
        <v>675</v>
      </c>
    </row>
    <row r="5141" spans="27:27">
      <c r="AA5141" t="s">
        <v>676</v>
      </c>
    </row>
    <row r="5142" spans="27:27">
      <c r="AA5142" t="s">
        <v>677</v>
      </c>
    </row>
    <row r="5143" spans="27:27">
      <c r="AA5143" t="s">
        <v>7631</v>
      </c>
    </row>
    <row r="5144" spans="27:27">
      <c r="AA5144" t="s">
        <v>7632</v>
      </c>
    </row>
    <row r="5145" spans="27:27">
      <c r="AA5145" t="s">
        <v>678</v>
      </c>
    </row>
    <row r="5146" spans="27:27">
      <c r="AA5146" t="s">
        <v>679</v>
      </c>
    </row>
    <row r="5147" spans="27:27">
      <c r="AA5147" t="s">
        <v>680</v>
      </c>
    </row>
    <row r="5148" spans="27:27">
      <c r="AA5148" t="s">
        <v>681</v>
      </c>
    </row>
    <row r="5149" spans="27:27">
      <c r="AA5149" t="s">
        <v>682</v>
      </c>
    </row>
    <row r="5150" spans="27:27">
      <c r="AA5150" t="s">
        <v>683</v>
      </c>
    </row>
    <row r="5151" spans="27:27">
      <c r="AA5151" t="s">
        <v>684</v>
      </c>
    </row>
    <row r="5152" spans="27:27">
      <c r="AA5152" t="s">
        <v>685</v>
      </c>
    </row>
    <row r="5153" spans="27:27">
      <c r="AA5153" t="s">
        <v>686</v>
      </c>
    </row>
    <row r="5154" spans="27:27">
      <c r="AA5154" t="s">
        <v>7633</v>
      </c>
    </row>
    <row r="5155" spans="27:27">
      <c r="AA5155" t="s">
        <v>7634</v>
      </c>
    </row>
    <row r="5156" spans="27:27">
      <c r="AA5156" t="s">
        <v>687</v>
      </c>
    </row>
    <row r="5157" spans="27:27">
      <c r="AA5157" t="s">
        <v>7635</v>
      </c>
    </row>
    <row r="5158" spans="27:27">
      <c r="AA5158" t="s">
        <v>7636</v>
      </c>
    </row>
    <row r="5159" spans="27:27">
      <c r="AA5159" t="s">
        <v>7637</v>
      </c>
    </row>
    <row r="5160" spans="27:27">
      <c r="AA5160" t="s">
        <v>688</v>
      </c>
    </row>
    <row r="5161" spans="27:27">
      <c r="AA5161" t="s">
        <v>7638</v>
      </c>
    </row>
    <row r="5162" spans="27:27">
      <c r="AA5162" t="s">
        <v>7639</v>
      </c>
    </row>
    <row r="5163" spans="27:27">
      <c r="AA5163" t="s">
        <v>689</v>
      </c>
    </row>
    <row r="5164" spans="27:27">
      <c r="AA5164" t="s">
        <v>7640</v>
      </c>
    </row>
    <row r="5165" spans="27:27">
      <c r="AA5165" t="s">
        <v>690</v>
      </c>
    </row>
    <row r="5166" spans="27:27">
      <c r="AA5166" t="s">
        <v>7641</v>
      </c>
    </row>
    <row r="5167" spans="27:27">
      <c r="AA5167" t="s">
        <v>691</v>
      </c>
    </row>
    <row r="5168" spans="27:27">
      <c r="AA5168" t="s">
        <v>7642</v>
      </c>
    </row>
    <row r="5169" spans="27:27">
      <c r="AA5169" t="s">
        <v>7643</v>
      </c>
    </row>
    <row r="5170" spans="27:27">
      <c r="AA5170" t="s">
        <v>692</v>
      </c>
    </row>
    <row r="5171" spans="27:27">
      <c r="AA5171" t="s">
        <v>7644</v>
      </c>
    </row>
    <row r="5172" spans="27:27">
      <c r="AA5172" t="s">
        <v>7645</v>
      </c>
    </row>
    <row r="5173" spans="27:27">
      <c r="AA5173" t="s">
        <v>7646</v>
      </c>
    </row>
    <row r="5174" spans="27:27">
      <c r="AA5174" t="s">
        <v>693</v>
      </c>
    </row>
    <row r="5175" spans="27:27">
      <c r="AA5175" t="s">
        <v>7647</v>
      </c>
    </row>
    <row r="5176" spans="27:27">
      <c r="AA5176" t="s">
        <v>7648</v>
      </c>
    </row>
    <row r="5177" spans="27:27">
      <c r="AA5177" t="s">
        <v>7649</v>
      </c>
    </row>
    <row r="5178" spans="27:27">
      <c r="AA5178" t="s">
        <v>7650</v>
      </c>
    </row>
    <row r="5179" spans="27:27">
      <c r="AA5179" t="s">
        <v>694</v>
      </c>
    </row>
    <row r="5180" spans="27:27">
      <c r="AA5180" t="s">
        <v>7651</v>
      </c>
    </row>
    <row r="5181" spans="27:27">
      <c r="AA5181" t="s">
        <v>7652</v>
      </c>
    </row>
    <row r="5182" spans="27:27">
      <c r="AA5182" t="s">
        <v>695</v>
      </c>
    </row>
    <row r="5183" spans="27:27">
      <c r="AA5183" t="s">
        <v>696</v>
      </c>
    </row>
    <row r="5184" spans="27:27">
      <c r="AA5184" t="s">
        <v>697</v>
      </c>
    </row>
    <row r="5185" spans="27:27">
      <c r="AA5185" t="s">
        <v>698</v>
      </c>
    </row>
    <row r="5186" spans="27:27">
      <c r="AA5186" t="s">
        <v>699</v>
      </c>
    </row>
    <row r="5187" spans="27:27">
      <c r="AA5187" t="s">
        <v>700</v>
      </c>
    </row>
    <row r="5188" spans="27:27">
      <c r="AA5188" t="s">
        <v>701</v>
      </c>
    </row>
    <row r="5189" spans="27:27">
      <c r="AA5189" t="s">
        <v>7653</v>
      </c>
    </row>
    <row r="5190" spans="27:27">
      <c r="AA5190" t="s">
        <v>7654</v>
      </c>
    </row>
    <row r="5191" spans="27:27">
      <c r="AA5191" t="s">
        <v>7655</v>
      </c>
    </row>
    <row r="5192" spans="27:27">
      <c r="AA5192" t="s">
        <v>7656</v>
      </c>
    </row>
    <row r="5193" spans="27:27">
      <c r="AA5193" t="s">
        <v>7657</v>
      </c>
    </row>
    <row r="5194" spans="27:27">
      <c r="AA5194" t="s">
        <v>702</v>
      </c>
    </row>
    <row r="5195" spans="27:27">
      <c r="AA5195" t="s">
        <v>7658</v>
      </c>
    </row>
    <row r="5196" spans="27:27">
      <c r="AA5196" t="s">
        <v>7659</v>
      </c>
    </row>
    <row r="5197" spans="27:27">
      <c r="AA5197" t="s">
        <v>7660</v>
      </c>
    </row>
    <row r="5198" spans="27:27">
      <c r="AA5198" t="s">
        <v>7661</v>
      </c>
    </row>
    <row r="5199" spans="27:27">
      <c r="AA5199" t="s">
        <v>7662</v>
      </c>
    </row>
    <row r="5200" spans="27:27">
      <c r="AA5200" t="s">
        <v>7663</v>
      </c>
    </row>
    <row r="5201" spans="27:27">
      <c r="AA5201" t="s">
        <v>7664</v>
      </c>
    </row>
    <row r="5202" spans="27:27">
      <c r="AA5202" t="s">
        <v>703</v>
      </c>
    </row>
    <row r="5203" spans="27:27">
      <c r="AA5203" t="s">
        <v>704</v>
      </c>
    </row>
    <row r="5204" spans="27:27">
      <c r="AA5204" t="s">
        <v>705</v>
      </c>
    </row>
    <row r="5205" spans="27:27">
      <c r="AA5205" t="s">
        <v>7665</v>
      </c>
    </row>
    <row r="5206" spans="27:27">
      <c r="AA5206" t="s">
        <v>7666</v>
      </c>
    </row>
    <row r="5207" spans="27:27">
      <c r="AA5207" t="s">
        <v>7667</v>
      </c>
    </row>
    <row r="5208" spans="27:27">
      <c r="AA5208" t="s">
        <v>706</v>
      </c>
    </row>
    <row r="5209" spans="27:27">
      <c r="AA5209" t="s">
        <v>7668</v>
      </c>
    </row>
    <row r="5210" spans="27:27">
      <c r="AA5210" t="s">
        <v>707</v>
      </c>
    </row>
    <row r="5211" spans="27:27">
      <c r="AA5211" t="s">
        <v>7669</v>
      </c>
    </row>
    <row r="5212" spans="27:27">
      <c r="AA5212" t="s">
        <v>7670</v>
      </c>
    </row>
    <row r="5213" spans="27:27">
      <c r="AA5213" t="s">
        <v>7671</v>
      </c>
    </row>
    <row r="5214" spans="27:27">
      <c r="AA5214" t="s">
        <v>7672</v>
      </c>
    </row>
    <row r="5215" spans="27:27">
      <c r="AA5215" t="s">
        <v>7673</v>
      </c>
    </row>
    <row r="5216" spans="27:27">
      <c r="AA5216" t="s">
        <v>7674</v>
      </c>
    </row>
    <row r="5217" spans="27:27">
      <c r="AA5217" t="s">
        <v>7675</v>
      </c>
    </row>
    <row r="5218" spans="27:27">
      <c r="AA5218" t="s">
        <v>7676</v>
      </c>
    </row>
    <row r="5219" spans="27:27">
      <c r="AA5219" t="s">
        <v>7677</v>
      </c>
    </row>
    <row r="5220" spans="27:27">
      <c r="AA5220" t="s">
        <v>7678</v>
      </c>
    </row>
    <row r="5221" spans="27:27">
      <c r="AA5221" t="s">
        <v>7679</v>
      </c>
    </row>
    <row r="5222" spans="27:27">
      <c r="AA5222" t="s">
        <v>7680</v>
      </c>
    </row>
    <row r="5223" spans="27:27">
      <c r="AA5223" t="s">
        <v>7681</v>
      </c>
    </row>
    <row r="5224" spans="27:27">
      <c r="AA5224" t="s">
        <v>7682</v>
      </c>
    </row>
    <row r="5225" spans="27:27">
      <c r="AA5225" t="s">
        <v>7683</v>
      </c>
    </row>
    <row r="5226" spans="27:27">
      <c r="AA5226" t="s">
        <v>7684</v>
      </c>
    </row>
    <row r="5227" spans="27:27">
      <c r="AA5227" t="s">
        <v>7685</v>
      </c>
    </row>
    <row r="5228" spans="27:27">
      <c r="AA5228" t="s">
        <v>708</v>
      </c>
    </row>
    <row r="5229" spans="27:27">
      <c r="AA5229" t="s">
        <v>3694</v>
      </c>
    </row>
    <row r="5230" spans="27:27">
      <c r="AA5230" t="s">
        <v>7686</v>
      </c>
    </row>
    <row r="5231" spans="27:27">
      <c r="AA5231" t="s">
        <v>7687</v>
      </c>
    </row>
    <row r="5232" spans="27:27">
      <c r="AA5232" t="s">
        <v>7688</v>
      </c>
    </row>
    <row r="5233" spans="27:27">
      <c r="AA5233" t="s">
        <v>7689</v>
      </c>
    </row>
    <row r="5234" spans="27:27">
      <c r="AA5234" t="s">
        <v>7690</v>
      </c>
    </row>
    <row r="5235" spans="27:27">
      <c r="AA5235" t="s">
        <v>709</v>
      </c>
    </row>
    <row r="5236" spans="27:27">
      <c r="AA5236" t="s">
        <v>3695</v>
      </c>
    </row>
    <row r="5237" spans="27:27">
      <c r="AA5237" t="s">
        <v>7691</v>
      </c>
    </row>
    <row r="5238" spans="27:27">
      <c r="AA5238" t="s">
        <v>7692</v>
      </c>
    </row>
    <row r="5239" spans="27:27">
      <c r="AA5239" t="s">
        <v>7693</v>
      </c>
    </row>
    <row r="5240" spans="27:27">
      <c r="AA5240" t="s">
        <v>7694</v>
      </c>
    </row>
    <row r="5241" spans="27:27">
      <c r="AA5241" t="s">
        <v>7695</v>
      </c>
    </row>
    <row r="5242" spans="27:27">
      <c r="AA5242" t="s">
        <v>710</v>
      </c>
    </row>
    <row r="5243" spans="27:27">
      <c r="AA5243" t="s">
        <v>3696</v>
      </c>
    </row>
    <row r="5244" spans="27:27">
      <c r="AA5244" t="s">
        <v>711</v>
      </c>
    </row>
    <row r="5245" spans="27:27">
      <c r="AA5245" t="s">
        <v>712</v>
      </c>
    </row>
    <row r="5246" spans="27:27">
      <c r="AA5246" t="s">
        <v>713</v>
      </c>
    </row>
    <row r="5247" spans="27:27">
      <c r="AA5247" t="s">
        <v>7696</v>
      </c>
    </row>
    <row r="5248" spans="27:27">
      <c r="AA5248" t="s">
        <v>714</v>
      </c>
    </row>
    <row r="5249" spans="27:27">
      <c r="AA5249" t="s">
        <v>715</v>
      </c>
    </row>
    <row r="5250" spans="27:27">
      <c r="AA5250" t="s">
        <v>716</v>
      </c>
    </row>
    <row r="5251" spans="27:27">
      <c r="AA5251" t="s">
        <v>3697</v>
      </c>
    </row>
    <row r="5252" spans="27:27">
      <c r="AA5252" t="s">
        <v>717</v>
      </c>
    </row>
    <row r="5253" spans="27:27">
      <c r="AA5253" t="s">
        <v>718</v>
      </c>
    </row>
    <row r="5254" spans="27:27">
      <c r="AA5254" t="s">
        <v>719</v>
      </c>
    </row>
    <row r="5255" spans="27:27">
      <c r="AA5255" t="s">
        <v>720</v>
      </c>
    </row>
    <row r="5256" spans="27:27">
      <c r="AA5256" t="s">
        <v>721</v>
      </c>
    </row>
    <row r="5257" spans="27:27">
      <c r="AA5257" t="s">
        <v>722</v>
      </c>
    </row>
    <row r="5258" spans="27:27">
      <c r="AA5258" t="s">
        <v>723</v>
      </c>
    </row>
    <row r="5259" spans="27:27">
      <c r="AA5259" t="s">
        <v>724</v>
      </c>
    </row>
    <row r="5260" spans="27:27">
      <c r="AA5260" t="s">
        <v>725</v>
      </c>
    </row>
    <row r="5261" spans="27:27">
      <c r="AA5261" t="s">
        <v>3698</v>
      </c>
    </row>
    <row r="5262" spans="27:27">
      <c r="AA5262" t="s">
        <v>726</v>
      </c>
    </row>
    <row r="5263" spans="27:27">
      <c r="AA5263" t="s">
        <v>3699</v>
      </c>
    </row>
    <row r="5264" spans="27:27">
      <c r="AA5264" t="s">
        <v>7697</v>
      </c>
    </row>
    <row r="5265" spans="27:27">
      <c r="AA5265" t="s">
        <v>7698</v>
      </c>
    </row>
    <row r="5266" spans="27:27">
      <c r="AA5266" t="s">
        <v>7699</v>
      </c>
    </row>
    <row r="5267" spans="27:27">
      <c r="AA5267" t="s">
        <v>7700</v>
      </c>
    </row>
    <row r="5268" spans="27:27">
      <c r="AA5268" t="s">
        <v>7701</v>
      </c>
    </row>
    <row r="5269" spans="27:27">
      <c r="AA5269" t="s">
        <v>7702</v>
      </c>
    </row>
    <row r="5270" spans="27:27">
      <c r="AA5270" t="s">
        <v>7703</v>
      </c>
    </row>
    <row r="5271" spans="27:27">
      <c r="AA5271" t="s">
        <v>7704</v>
      </c>
    </row>
    <row r="5272" spans="27:27">
      <c r="AA5272" t="s">
        <v>7705</v>
      </c>
    </row>
    <row r="5273" spans="27:27">
      <c r="AA5273" t="s">
        <v>7706</v>
      </c>
    </row>
    <row r="5274" spans="27:27">
      <c r="AA5274" t="s">
        <v>7707</v>
      </c>
    </row>
    <row r="5275" spans="27:27">
      <c r="AA5275" t="s">
        <v>7708</v>
      </c>
    </row>
    <row r="5276" spans="27:27">
      <c r="AA5276" t="s">
        <v>7709</v>
      </c>
    </row>
    <row r="5277" spans="27:27">
      <c r="AA5277" t="s">
        <v>7710</v>
      </c>
    </row>
    <row r="5278" spans="27:27">
      <c r="AA5278" t="s">
        <v>7711</v>
      </c>
    </row>
    <row r="5279" spans="27:27">
      <c r="AA5279" t="s">
        <v>7712</v>
      </c>
    </row>
    <row r="5280" spans="27:27">
      <c r="AA5280" t="s">
        <v>7713</v>
      </c>
    </row>
    <row r="5281" spans="27:27">
      <c r="AA5281" t="s">
        <v>7714</v>
      </c>
    </row>
    <row r="5282" spans="27:27">
      <c r="AA5282" t="s">
        <v>7715</v>
      </c>
    </row>
    <row r="5283" spans="27:27">
      <c r="AA5283" t="s">
        <v>7716</v>
      </c>
    </row>
    <row r="5284" spans="27:27">
      <c r="AA5284" t="s">
        <v>7717</v>
      </c>
    </row>
    <row r="5285" spans="27:27">
      <c r="AA5285" t="s">
        <v>7718</v>
      </c>
    </row>
    <row r="5286" spans="27:27">
      <c r="AA5286" t="s">
        <v>7719</v>
      </c>
    </row>
    <row r="5287" spans="27:27">
      <c r="AA5287" t="s">
        <v>7720</v>
      </c>
    </row>
    <row r="5288" spans="27:27">
      <c r="AA5288" t="s">
        <v>7721</v>
      </c>
    </row>
    <row r="5289" spans="27:27">
      <c r="AA5289" t="s">
        <v>7722</v>
      </c>
    </row>
    <row r="5290" spans="27:27">
      <c r="AA5290" t="s">
        <v>7723</v>
      </c>
    </row>
    <row r="5291" spans="27:27">
      <c r="AA5291" t="s">
        <v>7724</v>
      </c>
    </row>
    <row r="5292" spans="27:27">
      <c r="AA5292" t="s">
        <v>727</v>
      </c>
    </row>
    <row r="5293" spans="27:27">
      <c r="AA5293" t="s">
        <v>7725</v>
      </c>
    </row>
    <row r="5294" spans="27:27">
      <c r="AA5294" t="s">
        <v>7726</v>
      </c>
    </row>
    <row r="5295" spans="27:27">
      <c r="AA5295" t="s">
        <v>7727</v>
      </c>
    </row>
    <row r="5296" spans="27:27">
      <c r="AA5296" t="s">
        <v>7728</v>
      </c>
    </row>
    <row r="5297" spans="27:27">
      <c r="AA5297" t="s">
        <v>7729</v>
      </c>
    </row>
    <row r="5298" spans="27:27">
      <c r="AA5298" t="s">
        <v>7730</v>
      </c>
    </row>
    <row r="5299" spans="27:27">
      <c r="AA5299" t="s">
        <v>7731</v>
      </c>
    </row>
    <row r="5300" spans="27:27">
      <c r="AA5300" t="s">
        <v>728</v>
      </c>
    </row>
    <row r="5301" spans="27:27">
      <c r="AA5301" t="s">
        <v>7732</v>
      </c>
    </row>
    <row r="5302" spans="27:27">
      <c r="AA5302" t="s">
        <v>7733</v>
      </c>
    </row>
    <row r="5303" spans="27:27">
      <c r="AA5303" t="s">
        <v>7734</v>
      </c>
    </row>
    <row r="5304" spans="27:27">
      <c r="AA5304" t="s">
        <v>7735</v>
      </c>
    </row>
    <row r="5305" spans="27:27">
      <c r="AA5305" t="s">
        <v>7736</v>
      </c>
    </row>
    <row r="5306" spans="27:27">
      <c r="AA5306" t="s">
        <v>7737</v>
      </c>
    </row>
    <row r="5307" spans="27:27">
      <c r="AA5307" t="s">
        <v>7738</v>
      </c>
    </row>
    <row r="5308" spans="27:27">
      <c r="AA5308" t="s">
        <v>7739</v>
      </c>
    </row>
    <row r="5309" spans="27:27">
      <c r="AA5309" t="s">
        <v>7740</v>
      </c>
    </row>
    <row r="5310" spans="27:27">
      <c r="AA5310" t="s">
        <v>7741</v>
      </c>
    </row>
    <row r="5311" spans="27:27">
      <c r="AA5311" t="s">
        <v>7742</v>
      </c>
    </row>
    <row r="5312" spans="27:27">
      <c r="AA5312" t="s">
        <v>7743</v>
      </c>
    </row>
    <row r="5313" spans="27:27">
      <c r="AA5313" t="s">
        <v>7744</v>
      </c>
    </row>
    <row r="5314" spans="27:27">
      <c r="AA5314" t="s">
        <v>7745</v>
      </c>
    </row>
    <row r="5315" spans="27:27">
      <c r="AA5315" t="s">
        <v>7746</v>
      </c>
    </row>
    <row r="5316" spans="27:27">
      <c r="AA5316" t="s">
        <v>7747</v>
      </c>
    </row>
    <row r="5317" spans="27:27">
      <c r="AA5317" t="s">
        <v>7748</v>
      </c>
    </row>
    <row r="5318" spans="27:27">
      <c r="AA5318" t="s">
        <v>7749</v>
      </c>
    </row>
    <row r="5319" spans="27:27">
      <c r="AA5319" t="s">
        <v>7750</v>
      </c>
    </row>
    <row r="5320" spans="27:27">
      <c r="AA5320" t="s">
        <v>7751</v>
      </c>
    </row>
    <row r="5321" spans="27:27">
      <c r="AA5321" t="s">
        <v>7752</v>
      </c>
    </row>
    <row r="5322" spans="27:27">
      <c r="AA5322" t="s">
        <v>7753</v>
      </c>
    </row>
    <row r="5323" spans="27:27">
      <c r="AA5323" t="s">
        <v>7754</v>
      </c>
    </row>
    <row r="5324" spans="27:27">
      <c r="AA5324" t="s">
        <v>7755</v>
      </c>
    </row>
    <row r="5325" spans="27:27">
      <c r="AA5325" t="s">
        <v>7756</v>
      </c>
    </row>
    <row r="5326" spans="27:27">
      <c r="AA5326" t="s">
        <v>7757</v>
      </c>
    </row>
    <row r="5327" spans="27:27">
      <c r="AA5327" t="s">
        <v>729</v>
      </c>
    </row>
    <row r="5328" spans="27:27">
      <c r="AA5328" t="s">
        <v>3700</v>
      </c>
    </row>
    <row r="5329" spans="27:27">
      <c r="AA5329" t="s">
        <v>7758</v>
      </c>
    </row>
    <row r="5330" spans="27:27">
      <c r="AA5330" t="s">
        <v>7759</v>
      </c>
    </row>
    <row r="5331" spans="27:27">
      <c r="AA5331" t="s">
        <v>7760</v>
      </c>
    </row>
    <row r="5332" spans="27:27">
      <c r="AA5332" t="s">
        <v>7761</v>
      </c>
    </row>
    <row r="5333" spans="27:27">
      <c r="AA5333" t="s">
        <v>7762</v>
      </c>
    </row>
    <row r="5334" spans="27:27">
      <c r="AA5334" t="s">
        <v>7763</v>
      </c>
    </row>
    <row r="5335" spans="27:27">
      <c r="AA5335" t="s">
        <v>7764</v>
      </c>
    </row>
    <row r="5336" spans="27:27">
      <c r="AA5336" t="s">
        <v>7765</v>
      </c>
    </row>
    <row r="5337" spans="27:27">
      <c r="AA5337" t="s">
        <v>7766</v>
      </c>
    </row>
    <row r="5338" spans="27:27">
      <c r="AA5338" t="s">
        <v>7767</v>
      </c>
    </row>
    <row r="5339" spans="27:27">
      <c r="AA5339" t="s">
        <v>7768</v>
      </c>
    </row>
    <row r="5340" spans="27:27">
      <c r="AA5340" t="s">
        <v>7769</v>
      </c>
    </row>
    <row r="5341" spans="27:27">
      <c r="AA5341" t="s">
        <v>7770</v>
      </c>
    </row>
    <row r="5342" spans="27:27">
      <c r="AA5342" t="s">
        <v>7771</v>
      </c>
    </row>
    <row r="5343" spans="27:27">
      <c r="AA5343" t="s">
        <v>7772</v>
      </c>
    </row>
    <row r="5344" spans="27:27">
      <c r="AA5344" t="s">
        <v>7773</v>
      </c>
    </row>
    <row r="5345" spans="27:27">
      <c r="AA5345" t="s">
        <v>7774</v>
      </c>
    </row>
    <row r="5346" spans="27:27">
      <c r="AA5346" t="s">
        <v>7775</v>
      </c>
    </row>
    <row r="5347" spans="27:27">
      <c r="AA5347" t="s">
        <v>7776</v>
      </c>
    </row>
    <row r="5348" spans="27:27">
      <c r="AA5348" t="s">
        <v>7777</v>
      </c>
    </row>
    <row r="5349" spans="27:27">
      <c r="AA5349" t="s">
        <v>7778</v>
      </c>
    </row>
    <row r="5350" spans="27:27">
      <c r="AA5350" t="s">
        <v>7779</v>
      </c>
    </row>
    <row r="5351" spans="27:27">
      <c r="AA5351" t="s">
        <v>7780</v>
      </c>
    </row>
    <row r="5352" spans="27:27">
      <c r="AA5352" t="s">
        <v>7781</v>
      </c>
    </row>
    <row r="5353" spans="27:27">
      <c r="AA5353" t="s">
        <v>7782</v>
      </c>
    </row>
    <row r="5354" spans="27:27">
      <c r="AA5354" t="s">
        <v>7783</v>
      </c>
    </row>
    <row r="5355" spans="27:27">
      <c r="AA5355" t="s">
        <v>7784</v>
      </c>
    </row>
    <row r="5356" spans="27:27">
      <c r="AA5356" t="s">
        <v>7785</v>
      </c>
    </row>
    <row r="5357" spans="27:27">
      <c r="AA5357" t="s">
        <v>7786</v>
      </c>
    </row>
    <row r="5358" spans="27:27">
      <c r="AA5358" t="s">
        <v>7787</v>
      </c>
    </row>
    <row r="5359" spans="27:27">
      <c r="AA5359" t="s">
        <v>7788</v>
      </c>
    </row>
    <row r="5360" spans="27:27">
      <c r="AA5360" t="s">
        <v>7789</v>
      </c>
    </row>
    <row r="5361" spans="27:27">
      <c r="AA5361" t="s">
        <v>7790</v>
      </c>
    </row>
    <row r="5362" spans="27:27">
      <c r="AA5362" t="s">
        <v>730</v>
      </c>
    </row>
    <row r="5363" spans="27:27">
      <c r="AA5363" t="s">
        <v>3701</v>
      </c>
    </row>
    <row r="5364" spans="27:27">
      <c r="AA5364" t="s">
        <v>7791</v>
      </c>
    </row>
    <row r="5365" spans="27:27">
      <c r="AA5365" t="s">
        <v>7792</v>
      </c>
    </row>
    <row r="5366" spans="27:27">
      <c r="AA5366" t="s">
        <v>7793</v>
      </c>
    </row>
    <row r="5367" spans="27:27">
      <c r="AA5367" t="s">
        <v>7794</v>
      </c>
    </row>
    <row r="5368" spans="27:27">
      <c r="AA5368" t="s">
        <v>7795</v>
      </c>
    </row>
    <row r="5369" spans="27:27">
      <c r="AA5369" t="s">
        <v>7796</v>
      </c>
    </row>
    <row r="5370" spans="27:27">
      <c r="AA5370" t="s">
        <v>731</v>
      </c>
    </row>
    <row r="5371" spans="27:27">
      <c r="AA5371" t="s">
        <v>732</v>
      </c>
    </row>
    <row r="5372" spans="27:27">
      <c r="AA5372" t="s">
        <v>733</v>
      </c>
    </row>
    <row r="5373" spans="27:27">
      <c r="AA5373" t="s">
        <v>734</v>
      </c>
    </row>
    <row r="5374" spans="27:27">
      <c r="AA5374" t="s">
        <v>3702</v>
      </c>
    </row>
    <row r="5375" spans="27:27">
      <c r="AA5375" t="s">
        <v>735</v>
      </c>
    </row>
    <row r="5376" spans="27:27">
      <c r="AA5376" t="s">
        <v>736</v>
      </c>
    </row>
    <row r="5377" spans="27:27">
      <c r="AA5377" t="s">
        <v>7797</v>
      </c>
    </row>
    <row r="5378" spans="27:27">
      <c r="AA5378" t="s">
        <v>7798</v>
      </c>
    </row>
    <row r="5379" spans="27:27">
      <c r="AA5379" t="s">
        <v>737</v>
      </c>
    </row>
    <row r="5380" spans="27:27">
      <c r="AA5380" t="s">
        <v>7799</v>
      </c>
    </row>
    <row r="5381" spans="27:27">
      <c r="AA5381" t="s">
        <v>7800</v>
      </c>
    </row>
    <row r="5382" spans="27:27">
      <c r="AA5382" t="s">
        <v>738</v>
      </c>
    </row>
    <row r="5383" spans="27:27">
      <c r="AA5383" t="s">
        <v>739</v>
      </c>
    </row>
    <row r="5384" spans="27:27">
      <c r="AA5384" t="s">
        <v>740</v>
      </c>
    </row>
    <row r="5385" spans="27:27">
      <c r="AA5385" t="s">
        <v>741</v>
      </c>
    </row>
    <row r="5386" spans="27:27">
      <c r="AA5386" t="s">
        <v>742</v>
      </c>
    </row>
    <row r="5387" spans="27:27">
      <c r="AA5387" t="s">
        <v>743</v>
      </c>
    </row>
    <row r="5388" spans="27:27">
      <c r="AA5388" t="s">
        <v>7801</v>
      </c>
    </row>
    <row r="5389" spans="27:27">
      <c r="AA5389" t="s">
        <v>744</v>
      </c>
    </row>
    <row r="5390" spans="27:27">
      <c r="AA5390" t="s">
        <v>7802</v>
      </c>
    </row>
    <row r="5391" spans="27:27">
      <c r="AA5391" t="s">
        <v>745</v>
      </c>
    </row>
    <row r="5392" spans="27:27">
      <c r="AA5392" t="s">
        <v>7803</v>
      </c>
    </row>
    <row r="5393" spans="27:27">
      <c r="AA5393" t="s">
        <v>1920</v>
      </c>
    </row>
    <row r="5394" spans="27:27">
      <c r="AA5394" t="s">
        <v>1921</v>
      </c>
    </row>
    <row r="5395" spans="27:27">
      <c r="AA5395" t="s">
        <v>1922</v>
      </c>
    </row>
    <row r="5396" spans="27:27">
      <c r="AA5396" t="s">
        <v>7804</v>
      </c>
    </row>
    <row r="5397" spans="27:27">
      <c r="AA5397" t="s">
        <v>1923</v>
      </c>
    </row>
    <row r="5398" spans="27:27">
      <c r="AA5398" t="s">
        <v>1924</v>
      </c>
    </row>
    <row r="5399" spans="27:27">
      <c r="AA5399" t="s">
        <v>1925</v>
      </c>
    </row>
    <row r="5400" spans="27:27">
      <c r="AA5400" t="s">
        <v>7805</v>
      </c>
    </row>
    <row r="5401" spans="27:27">
      <c r="AA5401" t="s">
        <v>7806</v>
      </c>
    </row>
    <row r="5402" spans="27:27">
      <c r="AA5402" t="s">
        <v>7807</v>
      </c>
    </row>
    <row r="5403" spans="27:27">
      <c r="AA5403" t="s">
        <v>7808</v>
      </c>
    </row>
    <row r="5404" spans="27:27">
      <c r="AA5404" t="s">
        <v>7809</v>
      </c>
    </row>
    <row r="5405" spans="27:27">
      <c r="AA5405" t="s">
        <v>7810</v>
      </c>
    </row>
    <row r="5406" spans="27:27">
      <c r="AA5406" t="s">
        <v>7811</v>
      </c>
    </row>
    <row r="5407" spans="27:27">
      <c r="AA5407" t="s">
        <v>3703</v>
      </c>
    </row>
    <row r="5408" spans="27:27">
      <c r="AA5408" t="s">
        <v>7812</v>
      </c>
    </row>
    <row r="5409" spans="27:27">
      <c r="AA5409" t="s">
        <v>7813</v>
      </c>
    </row>
    <row r="5410" spans="27:27">
      <c r="AA5410" t="s">
        <v>7814</v>
      </c>
    </row>
    <row r="5411" spans="27:27">
      <c r="AA5411" t="s">
        <v>7815</v>
      </c>
    </row>
    <row r="5412" spans="27:27">
      <c r="AA5412" t="s">
        <v>7816</v>
      </c>
    </row>
    <row r="5413" spans="27:27">
      <c r="AA5413" t="s">
        <v>7817</v>
      </c>
    </row>
    <row r="5414" spans="27:27">
      <c r="AA5414" t="s">
        <v>7818</v>
      </c>
    </row>
    <row r="5415" spans="27:27">
      <c r="AA5415" t="s">
        <v>7819</v>
      </c>
    </row>
    <row r="5416" spans="27:27">
      <c r="AA5416" t="s">
        <v>7820</v>
      </c>
    </row>
    <row r="5417" spans="27:27">
      <c r="AA5417" t="s">
        <v>7821</v>
      </c>
    </row>
    <row r="5418" spans="27:27">
      <c r="AA5418" t="s">
        <v>7822</v>
      </c>
    </row>
    <row r="5419" spans="27:27">
      <c r="AA5419" t="s">
        <v>7823</v>
      </c>
    </row>
    <row r="5420" spans="27:27">
      <c r="AA5420" t="s">
        <v>7824</v>
      </c>
    </row>
    <row r="5421" spans="27:27">
      <c r="AA5421" t="s">
        <v>7825</v>
      </c>
    </row>
    <row r="5422" spans="27:27">
      <c r="AA5422" t="s">
        <v>7826</v>
      </c>
    </row>
    <row r="5423" spans="27:27">
      <c r="AA5423" t="s">
        <v>1926</v>
      </c>
    </row>
    <row r="5424" spans="27:27">
      <c r="AA5424" t="s">
        <v>7827</v>
      </c>
    </row>
    <row r="5425" spans="27:27">
      <c r="AA5425" t="s">
        <v>7828</v>
      </c>
    </row>
    <row r="5426" spans="27:27">
      <c r="AA5426" t="s">
        <v>746</v>
      </c>
    </row>
    <row r="5427" spans="27:27">
      <c r="AA5427" t="s">
        <v>747</v>
      </c>
    </row>
    <row r="5428" spans="27:27">
      <c r="AA5428" t="s">
        <v>7829</v>
      </c>
    </row>
    <row r="5429" spans="27:27">
      <c r="AA5429" t="s">
        <v>1927</v>
      </c>
    </row>
    <row r="5430" spans="27:27">
      <c r="AA5430" t="s">
        <v>3704</v>
      </c>
    </row>
    <row r="5431" spans="27:27">
      <c r="AA5431" t="s">
        <v>748</v>
      </c>
    </row>
    <row r="5432" spans="27:27">
      <c r="AA5432" t="s">
        <v>749</v>
      </c>
    </row>
    <row r="5433" spans="27:27">
      <c r="AA5433" t="s">
        <v>750</v>
      </c>
    </row>
    <row r="5434" spans="27:27">
      <c r="AA5434" t="s">
        <v>751</v>
      </c>
    </row>
    <row r="5435" spans="27:27">
      <c r="AA5435" t="s">
        <v>752</v>
      </c>
    </row>
    <row r="5436" spans="27:27">
      <c r="AA5436" t="s">
        <v>753</v>
      </c>
    </row>
    <row r="5437" spans="27:27">
      <c r="AA5437" t="s">
        <v>754</v>
      </c>
    </row>
    <row r="5438" spans="27:27">
      <c r="AA5438" t="s">
        <v>755</v>
      </c>
    </row>
    <row r="5439" spans="27:27">
      <c r="AA5439" t="s">
        <v>3705</v>
      </c>
    </row>
    <row r="5440" spans="27:27">
      <c r="AA5440" t="s">
        <v>7830</v>
      </c>
    </row>
    <row r="5441" spans="27:27">
      <c r="AA5441" t="s">
        <v>7831</v>
      </c>
    </row>
    <row r="5442" spans="27:27">
      <c r="AA5442" t="s">
        <v>7832</v>
      </c>
    </row>
    <row r="5443" spans="27:27">
      <c r="AA5443" t="s">
        <v>7833</v>
      </c>
    </row>
    <row r="5444" spans="27:27">
      <c r="AA5444" t="s">
        <v>756</v>
      </c>
    </row>
    <row r="5445" spans="27:27">
      <c r="AA5445" t="s">
        <v>757</v>
      </c>
    </row>
    <row r="5446" spans="27:27">
      <c r="AA5446" t="s">
        <v>758</v>
      </c>
    </row>
    <row r="5447" spans="27:27">
      <c r="AA5447" t="s">
        <v>7834</v>
      </c>
    </row>
    <row r="5448" spans="27:27">
      <c r="AA5448" t="s">
        <v>7835</v>
      </c>
    </row>
    <row r="5449" spans="27:27">
      <c r="AA5449" t="s">
        <v>3706</v>
      </c>
    </row>
    <row r="5450" spans="27:27">
      <c r="AA5450" t="s">
        <v>7836</v>
      </c>
    </row>
    <row r="5451" spans="27:27">
      <c r="AA5451" t="s">
        <v>7837</v>
      </c>
    </row>
    <row r="5452" spans="27:27">
      <c r="AA5452" t="s">
        <v>7838</v>
      </c>
    </row>
    <row r="5453" spans="27:27">
      <c r="AA5453" t="s">
        <v>7839</v>
      </c>
    </row>
    <row r="5454" spans="27:27">
      <c r="AA5454" t="s">
        <v>3707</v>
      </c>
    </row>
    <row r="5455" spans="27:27">
      <c r="AA5455" t="s">
        <v>7840</v>
      </c>
    </row>
    <row r="5456" spans="27:27">
      <c r="AA5456" t="s">
        <v>7841</v>
      </c>
    </row>
    <row r="5457" spans="27:27">
      <c r="AA5457" t="s">
        <v>7842</v>
      </c>
    </row>
    <row r="5458" spans="27:27">
      <c r="AA5458" t="s">
        <v>7843</v>
      </c>
    </row>
    <row r="5459" spans="27:27">
      <c r="AA5459" t="s">
        <v>7844</v>
      </c>
    </row>
    <row r="5460" spans="27:27">
      <c r="AA5460" t="s">
        <v>7845</v>
      </c>
    </row>
    <row r="5461" spans="27:27">
      <c r="AA5461" t="s">
        <v>7846</v>
      </c>
    </row>
    <row r="5462" spans="27:27">
      <c r="AA5462" t="s">
        <v>7847</v>
      </c>
    </row>
    <row r="5463" spans="27:27">
      <c r="AA5463" t="s">
        <v>7848</v>
      </c>
    </row>
    <row r="5464" spans="27:27">
      <c r="AA5464" t="s">
        <v>7849</v>
      </c>
    </row>
    <row r="5465" spans="27:27">
      <c r="AA5465" t="s">
        <v>7850</v>
      </c>
    </row>
    <row r="5466" spans="27:27">
      <c r="AA5466" t="s">
        <v>7851</v>
      </c>
    </row>
    <row r="5467" spans="27:27">
      <c r="AA5467" t="s">
        <v>7852</v>
      </c>
    </row>
    <row r="5468" spans="27:27">
      <c r="AA5468" t="s">
        <v>1928</v>
      </c>
    </row>
    <row r="5469" spans="27:27">
      <c r="AA5469" t="s">
        <v>7853</v>
      </c>
    </row>
    <row r="5470" spans="27:27">
      <c r="AA5470" t="s">
        <v>3708</v>
      </c>
    </row>
    <row r="5471" spans="27:27">
      <c r="AA5471" t="s">
        <v>7854</v>
      </c>
    </row>
    <row r="5472" spans="27:27">
      <c r="AA5472" t="s">
        <v>7855</v>
      </c>
    </row>
    <row r="5473" spans="27:27">
      <c r="AA5473" t="s">
        <v>7856</v>
      </c>
    </row>
    <row r="5474" spans="27:27">
      <c r="AA5474" t="s">
        <v>7857</v>
      </c>
    </row>
    <row r="5475" spans="27:27">
      <c r="AA5475" t="s">
        <v>7858</v>
      </c>
    </row>
    <row r="5476" spans="27:27">
      <c r="AA5476" t="s">
        <v>1929</v>
      </c>
    </row>
    <row r="5477" spans="27:27">
      <c r="AA5477" t="s">
        <v>3709</v>
      </c>
    </row>
    <row r="5478" spans="27:27">
      <c r="AA5478" t="s">
        <v>7859</v>
      </c>
    </row>
    <row r="5479" spans="27:27">
      <c r="AA5479" t="s">
        <v>1930</v>
      </c>
    </row>
    <row r="5480" spans="27:27">
      <c r="AA5480" t="s">
        <v>3710</v>
      </c>
    </row>
    <row r="5481" spans="27:27">
      <c r="AA5481" t="s">
        <v>7860</v>
      </c>
    </row>
    <row r="5482" spans="27:27">
      <c r="AA5482" t="s">
        <v>7861</v>
      </c>
    </row>
    <row r="5483" spans="27:27">
      <c r="AA5483" t="s">
        <v>7862</v>
      </c>
    </row>
    <row r="5484" spans="27:27">
      <c r="AA5484" t="s">
        <v>1931</v>
      </c>
    </row>
    <row r="5485" spans="27:27">
      <c r="AA5485" t="s">
        <v>7863</v>
      </c>
    </row>
    <row r="5486" spans="27:27">
      <c r="AA5486" t="s">
        <v>3711</v>
      </c>
    </row>
    <row r="5487" spans="27:27">
      <c r="AA5487" t="s">
        <v>7864</v>
      </c>
    </row>
    <row r="5488" spans="27:27">
      <c r="AA5488" t="s">
        <v>7865</v>
      </c>
    </row>
    <row r="5489" spans="27:27">
      <c r="AA5489" t="s">
        <v>1932</v>
      </c>
    </row>
    <row r="5490" spans="27:27">
      <c r="AA5490" t="s">
        <v>3712</v>
      </c>
    </row>
    <row r="5491" spans="27:27">
      <c r="AA5491" t="s">
        <v>1933</v>
      </c>
    </row>
    <row r="5492" spans="27:27">
      <c r="AA5492" t="s">
        <v>3713</v>
      </c>
    </row>
    <row r="5493" spans="27:27">
      <c r="AA5493" t="s">
        <v>7866</v>
      </c>
    </row>
    <row r="5494" spans="27:27">
      <c r="AA5494" t="s">
        <v>7867</v>
      </c>
    </row>
    <row r="5495" spans="27:27">
      <c r="AA5495" t="s">
        <v>7868</v>
      </c>
    </row>
    <row r="5496" spans="27:27">
      <c r="AA5496" t="s">
        <v>7869</v>
      </c>
    </row>
    <row r="5497" spans="27:27">
      <c r="AA5497" t="s">
        <v>7870</v>
      </c>
    </row>
    <row r="5498" spans="27:27">
      <c r="AA5498" t="s">
        <v>7871</v>
      </c>
    </row>
    <row r="5499" spans="27:27">
      <c r="AA5499" t="s">
        <v>3714</v>
      </c>
    </row>
    <row r="5500" spans="27:27">
      <c r="AA5500" t="s">
        <v>7872</v>
      </c>
    </row>
    <row r="5501" spans="27:27">
      <c r="AA5501" t="s">
        <v>7873</v>
      </c>
    </row>
    <row r="5502" spans="27:27">
      <c r="AA5502" t="s">
        <v>7874</v>
      </c>
    </row>
    <row r="5503" spans="27:27">
      <c r="AA5503" t="s">
        <v>7875</v>
      </c>
    </row>
    <row r="5504" spans="27:27">
      <c r="AA5504" t="s">
        <v>7876</v>
      </c>
    </row>
    <row r="5505" spans="27:27">
      <c r="AA5505" t="s">
        <v>7877</v>
      </c>
    </row>
    <row r="5506" spans="27:27">
      <c r="AA5506" t="s">
        <v>7878</v>
      </c>
    </row>
    <row r="5507" spans="27:27">
      <c r="AA5507" t="s">
        <v>7879</v>
      </c>
    </row>
    <row r="5508" spans="27:27">
      <c r="AA5508" t="s">
        <v>7880</v>
      </c>
    </row>
    <row r="5509" spans="27:27">
      <c r="AA5509" t="s">
        <v>7881</v>
      </c>
    </row>
    <row r="5510" spans="27:27">
      <c r="AA5510" t="s">
        <v>7882</v>
      </c>
    </row>
    <row r="5511" spans="27:27">
      <c r="AA5511" t="s">
        <v>1934</v>
      </c>
    </row>
    <row r="5512" spans="27:27">
      <c r="AA5512" t="s">
        <v>3715</v>
      </c>
    </row>
    <row r="5513" spans="27:27">
      <c r="AA5513" t="s">
        <v>7883</v>
      </c>
    </row>
    <row r="5514" spans="27:27">
      <c r="AA5514" t="s">
        <v>7884</v>
      </c>
    </row>
    <row r="5515" spans="27:27">
      <c r="AA5515" t="s">
        <v>7885</v>
      </c>
    </row>
    <row r="5516" spans="27:27">
      <c r="AA5516" t="s">
        <v>7886</v>
      </c>
    </row>
    <row r="5517" spans="27:27">
      <c r="AA5517" t="s">
        <v>7887</v>
      </c>
    </row>
    <row r="5518" spans="27:27">
      <c r="AA5518" t="s">
        <v>7888</v>
      </c>
    </row>
    <row r="5519" spans="27:27">
      <c r="AA5519" t="s">
        <v>7889</v>
      </c>
    </row>
    <row r="5520" spans="27:27">
      <c r="AA5520" t="s">
        <v>7890</v>
      </c>
    </row>
    <row r="5521" spans="27:27">
      <c r="AA5521" t="s">
        <v>7891</v>
      </c>
    </row>
    <row r="5522" spans="27:27">
      <c r="AA5522" t="s">
        <v>7892</v>
      </c>
    </row>
    <row r="5523" spans="27:27">
      <c r="AA5523" t="s">
        <v>7893</v>
      </c>
    </row>
    <row r="5524" spans="27:27">
      <c r="AA5524" t="s">
        <v>7894</v>
      </c>
    </row>
    <row r="5525" spans="27:27">
      <c r="AA5525" t="s">
        <v>7895</v>
      </c>
    </row>
    <row r="5526" spans="27:27">
      <c r="AA5526" t="s">
        <v>7896</v>
      </c>
    </row>
    <row r="5527" spans="27:27">
      <c r="AA5527" t="s">
        <v>7897</v>
      </c>
    </row>
    <row r="5528" spans="27:27">
      <c r="AA5528" t="s">
        <v>7898</v>
      </c>
    </row>
    <row r="5529" spans="27:27">
      <c r="AA5529" t="s">
        <v>1935</v>
      </c>
    </row>
    <row r="5530" spans="27:27">
      <c r="AA5530" t="s">
        <v>3716</v>
      </c>
    </row>
    <row r="5531" spans="27:27">
      <c r="AA5531" t="s">
        <v>7899</v>
      </c>
    </row>
    <row r="5532" spans="27:27">
      <c r="AA5532" t="s">
        <v>7900</v>
      </c>
    </row>
    <row r="5533" spans="27:27">
      <c r="AA5533" t="s">
        <v>7901</v>
      </c>
    </row>
    <row r="5534" spans="27:27">
      <c r="AA5534" t="s">
        <v>7902</v>
      </c>
    </row>
    <row r="5535" spans="27:27">
      <c r="AA5535" t="s">
        <v>7903</v>
      </c>
    </row>
    <row r="5536" spans="27:27">
      <c r="AA5536" t="s">
        <v>7904</v>
      </c>
    </row>
    <row r="5537" spans="27:27">
      <c r="AA5537" t="s">
        <v>7905</v>
      </c>
    </row>
    <row r="5538" spans="27:27">
      <c r="AA5538" t="s">
        <v>7906</v>
      </c>
    </row>
    <row r="5539" spans="27:27">
      <c r="AA5539" t="s">
        <v>1936</v>
      </c>
    </row>
    <row r="5540" spans="27:27">
      <c r="AA5540" t="s">
        <v>3717</v>
      </c>
    </row>
    <row r="5541" spans="27:27">
      <c r="AA5541" t="s">
        <v>7907</v>
      </c>
    </row>
    <row r="5542" spans="27:27">
      <c r="AA5542" t="s">
        <v>7908</v>
      </c>
    </row>
    <row r="5543" spans="27:27">
      <c r="AA5543" t="s">
        <v>7909</v>
      </c>
    </row>
    <row r="5544" spans="27:27">
      <c r="AA5544" t="s">
        <v>7910</v>
      </c>
    </row>
    <row r="5545" spans="27:27">
      <c r="AA5545" t="s">
        <v>7911</v>
      </c>
    </row>
    <row r="5546" spans="27:27">
      <c r="AA5546" t="s">
        <v>7912</v>
      </c>
    </row>
    <row r="5547" spans="27:27">
      <c r="AA5547" t="s">
        <v>7913</v>
      </c>
    </row>
    <row r="5548" spans="27:27">
      <c r="AA5548" t="s">
        <v>7914</v>
      </c>
    </row>
    <row r="5549" spans="27:27">
      <c r="AA5549" t="s">
        <v>7915</v>
      </c>
    </row>
    <row r="5550" spans="27:27">
      <c r="AA5550" t="s">
        <v>7916</v>
      </c>
    </row>
    <row r="5551" spans="27:27">
      <c r="AA5551" t="s">
        <v>7917</v>
      </c>
    </row>
    <row r="5552" spans="27:27">
      <c r="AA5552" t="s">
        <v>7918</v>
      </c>
    </row>
    <row r="5553" spans="27:27">
      <c r="AA5553" t="s">
        <v>3718</v>
      </c>
    </row>
    <row r="5554" spans="27:27">
      <c r="AA5554" t="s">
        <v>759</v>
      </c>
    </row>
    <row r="5555" spans="27:27">
      <c r="AA5555" t="s">
        <v>7919</v>
      </c>
    </row>
    <row r="5556" spans="27:27">
      <c r="AA5556" t="s">
        <v>7920</v>
      </c>
    </row>
    <row r="5557" spans="27:27">
      <c r="AA5557" t="s">
        <v>7921</v>
      </c>
    </row>
    <row r="5558" spans="27:27">
      <c r="AA5558" t="s">
        <v>7922</v>
      </c>
    </row>
    <row r="5559" spans="27:27">
      <c r="AA5559" t="s">
        <v>7923</v>
      </c>
    </row>
    <row r="5560" spans="27:27">
      <c r="AA5560" t="s">
        <v>7924</v>
      </c>
    </row>
    <row r="5561" spans="27:27">
      <c r="AA5561" t="s">
        <v>7925</v>
      </c>
    </row>
    <row r="5562" spans="27:27">
      <c r="AA5562" t="s">
        <v>7926</v>
      </c>
    </row>
    <row r="5563" spans="27:27">
      <c r="AA5563" t="s">
        <v>7927</v>
      </c>
    </row>
    <row r="5564" spans="27:27">
      <c r="AA5564" t="s">
        <v>7928</v>
      </c>
    </row>
    <row r="5565" spans="27:27">
      <c r="AA5565" t="s">
        <v>7929</v>
      </c>
    </row>
    <row r="5566" spans="27:27">
      <c r="AA5566" t="s">
        <v>7930</v>
      </c>
    </row>
    <row r="5567" spans="27:27">
      <c r="AA5567" t="s">
        <v>7931</v>
      </c>
    </row>
    <row r="5568" spans="27:27">
      <c r="AA5568" t="s">
        <v>7932</v>
      </c>
    </row>
    <row r="5569" spans="27:27">
      <c r="AA5569" t="s">
        <v>7933</v>
      </c>
    </row>
    <row r="5570" spans="27:27">
      <c r="AA5570" t="s">
        <v>7934</v>
      </c>
    </row>
    <row r="5571" spans="27:27">
      <c r="AA5571" t="s">
        <v>7935</v>
      </c>
    </row>
    <row r="5572" spans="27:27">
      <c r="AA5572" t="s">
        <v>7936</v>
      </c>
    </row>
    <row r="5573" spans="27:27">
      <c r="AA5573" t="s">
        <v>7937</v>
      </c>
    </row>
    <row r="5574" spans="27:27">
      <c r="AA5574" t="s">
        <v>7938</v>
      </c>
    </row>
    <row r="5575" spans="27:27">
      <c r="AA5575" t="s">
        <v>7939</v>
      </c>
    </row>
    <row r="5576" spans="27:27">
      <c r="AA5576" t="s">
        <v>7940</v>
      </c>
    </row>
    <row r="5577" spans="27:27">
      <c r="AA5577" t="s">
        <v>7941</v>
      </c>
    </row>
    <row r="5578" spans="27:27">
      <c r="AA5578" t="s">
        <v>7942</v>
      </c>
    </row>
    <row r="5579" spans="27:27">
      <c r="AA5579" t="s">
        <v>7943</v>
      </c>
    </row>
    <row r="5580" spans="27:27">
      <c r="AA5580" t="s">
        <v>7944</v>
      </c>
    </row>
    <row r="5581" spans="27:27">
      <c r="AA5581" t="s">
        <v>7945</v>
      </c>
    </row>
    <row r="5582" spans="27:27">
      <c r="AA5582" t="s">
        <v>7946</v>
      </c>
    </row>
    <row r="5583" spans="27:27">
      <c r="AA5583" t="s">
        <v>7947</v>
      </c>
    </row>
    <row r="5584" spans="27:27">
      <c r="AA5584" t="s">
        <v>7948</v>
      </c>
    </row>
    <row r="5585" spans="27:27">
      <c r="AA5585" t="s">
        <v>7949</v>
      </c>
    </row>
    <row r="5586" spans="27:27">
      <c r="AA5586" t="s">
        <v>7950</v>
      </c>
    </row>
    <row r="5587" spans="27:27">
      <c r="AA5587" t="s">
        <v>1937</v>
      </c>
    </row>
    <row r="5588" spans="27:27">
      <c r="AA5588" t="s">
        <v>7951</v>
      </c>
    </row>
    <row r="5589" spans="27:27">
      <c r="AA5589" t="s">
        <v>7952</v>
      </c>
    </row>
    <row r="5590" spans="27:27">
      <c r="AA5590" t="s">
        <v>7953</v>
      </c>
    </row>
    <row r="5591" spans="27:27">
      <c r="AA5591" t="s">
        <v>7954</v>
      </c>
    </row>
    <row r="5592" spans="27:27">
      <c r="AA5592" t="s">
        <v>7955</v>
      </c>
    </row>
    <row r="5593" spans="27:27">
      <c r="AA5593" t="s">
        <v>1938</v>
      </c>
    </row>
    <row r="5594" spans="27:27">
      <c r="AA5594" t="s">
        <v>3719</v>
      </c>
    </row>
    <row r="5595" spans="27:27">
      <c r="AA5595" t="s">
        <v>7956</v>
      </c>
    </row>
    <row r="5596" spans="27:27">
      <c r="AA5596" t="s">
        <v>7957</v>
      </c>
    </row>
    <row r="5597" spans="27:27">
      <c r="AA5597" t="s">
        <v>7958</v>
      </c>
    </row>
    <row r="5598" spans="27:27">
      <c r="AA5598" t="s">
        <v>7959</v>
      </c>
    </row>
    <row r="5599" spans="27:27">
      <c r="AA5599" t="s">
        <v>1939</v>
      </c>
    </row>
    <row r="5600" spans="27:27">
      <c r="AA5600" t="s">
        <v>3720</v>
      </c>
    </row>
    <row r="5601" spans="27:27">
      <c r="AA5601" t="s">
        <v>1940</v>
      </c>
    </row>
    <row r="5602" spans="27:27">
      <c r="AA5602" t="s">
        <v>3721</v>
      </c>
    </row>
    <row r="5603" spans="27:27">
      <c r="AA5603" t="s">
        <v>7960</v>
      </c>
    </row>
    <row r="5604" spans="27:27">
      <c r="AA5604" t="s">
        <v>7961</v>
      </c>
    </row>
    <row r="5605" spans="27:27">
      <c r="AA5605" t="s">
        <v>7962</v>
      </c>
    </row>
    <row r="5606" spans="27:27">
      <c r="AA5606" t="s">
        <v>1941</v>
      </c>
    </row>
    <row r="5607" spans="27:27">
      <c r="AA5607" t="s">
        <v>3722</v>
      </c>
    </row>
    <row r="5608" spans="27:27">
      <c r="AA5608" t="s">
        <v>7963</v>
      </c>
    </row>
    <row r="5609" spans="27:27">
      <c r="AA5609" t="s">
        <v>7964</v>
      </c>
    </row>
    <row r="5610" spans="27:27">
      <c r="AA5610" t="s">
        <v>1942</v>
      </c>
    </row>
    <row r="5611" spans="27:27">
      <c r="AA5611" t="s">
        <v>3723</v>
      </c>
    </row>
    <row r="5612" spans="27:27">
      <c r="AA5612" t="s">
        <v>7965</v>
      </c>
    </row>
    <row r="5613" spans="27:27">
      <c r="AA5613" t="s">
        <v>7966</v>
      </c>
    </row>
    <row r="5614" spans="27:27">
      <c r="AA5614" t="s">
        <v>7967</v>
      </c>
    </row>
    <row r="5615" spans="27:27">
      <c r="AA5615" t="s">
        <v>1943</v>
      </c>
    </row>
    <row r="5616" spans="27:27">
      <c r="AA5616" t="s">
        <v>7968</v>
      </c>
    </row>
    <row r="5617" spans="27:27">
      <c r="AA5617" t="s">
        <v>3724</v>
      </c>
    </row>
    <row r="5618" spans="27:27">
      <c r="AA5618" t="s">
        <v>7969</v>
      </c>
    </row>
    <row r="5619" spans="27:27">
      <c r="AA5619" t="s">
        <v>7970</v>
      </c>
    </row>
    <row r="5620" spans="27:27">
      <c r="AA5620" t="s">
        <v>7971</v>
      </c>
    </row>
    <row r="5621" spans="27:27">
      <c r="AA5621" t="s">
        <v>7972</v>
      </c>
    </row>
    <row r="5622" spans="27:27">
      <c r="AA5622" t="s">
        <v>7973</v>
      </c>
    </row>
    <row r="5623" spans="27:27">
      <c r="AA5623" t="s">
        <v>7974</v>
      </c>
    </row>
    <row r="5624" spans="27:27">
      <c r="AA5624" t="s">
        <v>7975</v>
      </c>
    </row>
    <row r="5625" spans="27:27">
      <c r="AA5625" t="s">
        <v>7976</v>
      </c>
    </row>
    <row r="5626" spans="27:27">
      <c r="AA5626" t="s">
        <v>7977</v>
      </c>
    </row>
    <row r="5627" spans="27:27">
      <c r="AA5627" t="s">
        <v>7978</v>
      </c>
    </row>
    <row r="5628" spans="27:27">
      <c r="AA5628" t="s">
        <v>7979</v>
      </c>
    </row>
    <row r="5629" spans="27:27">
      <c r="AA5629" t="s">
        <v>7980</v>
      </c>
    </row>
    <row r="5630" spans="27:27">
      <c r="AA5630" t="s">
        <v>7981</v>
      </c>
    </row>
    <row r="5631" spans="27:27">
      <c r="AA5631" t="s">
        <v>7982</v>
      </c>
    </row>
    <row r="5632" spans="27:27">
      <c r="AA5632" t="s">
        <v>7983</v>
      </c>
    </row>
    <row r="5633" spans="27:27">
      <c r="AA5633" t="s">
        <v>7984</v>
      </c>
    </row>
    <row r="5634" spans="27:27">
      <c r="AA5634" t="s">
        <v>7985</v>
      </c>
    </row>
    <row r="5635" spans="27:27">
      <c r="AA5635" t="s">
        <v>7986</v>
      </c>
    </row>
    <row r="5636" spans="27:27">
      <c r="AA5636" t="s">
        <v>7987</v>
      </c>
    </row>
    <row r="5637" spans="27:27">
      <c r="AA5637" t="s">
        <v>7988</v>
      </c>
    </row>
    <row r="5638" spans="27:27">
      <c r="AA5638" t="s">
        <v>7989</v>
      </c>
    </row>
    <row r="5639" spans="27:27">
      <c r="AA5639" t="s">
        <v>7990</v>
      </c>
    </row>
    <row r="5640" spans="27:27">
      <c r="AA5640" t="s">
        <v>7991</v>
      </c>
    </row>
    <row r="5641" spans="27:27">
      <c r="AA5641" t="s">
        <v>7992</v>
      </c>
    </row>
    <row r="5642" spans="27:27">
      <c r="AA5642" t="s">
        <v>7993</v>
      </c>
    </row>
    <row r="5643" spans="27:27">
      <c r="AA5643" t="s">
        <v>7994</v>
      </c>
    </row>
    <row r="5644" spans="27:27">
      <c r="AA5644" t="s">
        <v>7995</v>
      </c>
    </row>
    <row r="5645" spans="27:27">
      <c r="AA5645" t="s">
        <v>7996</v>
      </c>
    </row>
    <row r="5646" spans="27:27">
      <c r="AA5646" t="s">
        <v>7997</v>
      </c>
    </row>
    <row r="5647" spans="27:27">
      <c r="AA5647" t="s">
        <v>7998</v>
      </c>
    </row>
    <row r="5648" spans="27:27">
      <c r="AA5648" t="s">
        <v>7999</v>
      </c>
    </row>
    <row r="5649" spans="27:27">
      <c r="AA5649" t="s">
        <v>8000</v>
      </c>
    </row>
    <row r="5650" spans="27:27">
      <c r="AA5650" t="s">
        <v>8001</v>
      </c>
    </row>
    <row r="5651" spans="27:27">
      <c r="AA5651" t="s">
        <v>8002</v>
      </c>
    </row>
    <row r="5652" spans="27:27">
      <c r="AA5652" t="s">
        <v>8003</v>
      </c>
    </row>
    <row r="5653" spans="27:27">
      <c r="AA5653" t="s">
        <v>8004</v>
      </c>
    </row>
    <row r="5654" spans="27:27">
      <c r="AA5654" t="s">
        <v>8005</v>
      </c>
    </row>
    <row r="5655" spans="27:27">
      <c r="AA5655" t="s">
        <v>8006</v>
      </c>
    </row>
    <row r="5656" spans="27:27">
      <c r="AA5656" t="s">
        <v>8007</v>
      </c>
    </row>
    <row r="5657" spans="27:27">
      <c r="AA5657" t="s">
        <v>3725</v>
      </c>
    </row>
    <row r="5658" spans="27:27">
      <c r="AA5658" t="s">
        <v>8008</v>
      </c>
    </row>
    <row r="5659" spans="27:27">
      <c r="AA5659" t="s">
        <v>8009</v>
      </c>
    </row>
    <row r="5660" spans="27:27">
      <c r="AA5660" t="s">
        <v>8010</v>
      </c>
    </row>
    <row r="5661" spans="27:27">
      <c r="AA5661" t="s">
        <v>8011</v>
      </c>
    </row>
    <row r="5662" spans="27:27">
      <c r="AA5662" t="s">
        <v>8012</v>
      </c>
    </row>
    <row r="5663" spans="27:27">
      <c r="AA5663" t="s">
        <v>8013</v>
      </c>
    </row>
    <row r="5664" spans="27:27">
      <c r="AA5664" t="s">
        <v>8014</v>
      </c>
    </row>
    <row r="5665" spans="27:27">
      <c r="AA5665" t="s">
        <v>8015</v>
      </c>
    </row>
    <row r="5666" spans="27:27">
      <c r="AA5666" t="s">
        <v>8016</v>
      </c>
    </row>
    <row r="5667" spans="27:27">
      <c r="AA5667" t="s">
        <v>8017</v>
      </c>
    </row>
    <row r="5668" spans="27:27">
      <c r="AA5668" t="s">
        <v>3726</v>
      </c>
    </row>
    <row r="5669" spans="27:27">
      <c r="AA5669" t="s">
        <v>1944</v>
      </c>
    </row>
    <row r="5670" spans="27:27">
      <c r="AA5670" t="s">
        <v>3727</v>
      </c>
    </row>
    <row r="5671" spans="27:27">
      <c r="AA5671" t="s">
        <v>8018</v>
      </c>
    </row>
    <row r="5672" spans="27:27">
      <c r="AA5672" t="s">
        <v>8019</v>
      </c>
    </row>
    <row r="5673" spans="27:27">
      <c r="AA5673" t="s">
        <v>8020</v>
      </c>
    </row>
    <row r="5674" spans="27:27">
      <c r="AA5674" t="s">
        <v>8021</v>
      </c>
    </row>
    <row r="5675" spans="27:27">
      <c r="AA5675" t="s">
        <v>8022</v>
      </c>
    </row>
    <row r="5676" spans="27:27">
      <c r="AA5676" t="s">
        <v>8023</v>
      </c>
    </row>
    <row r="5677" spans="27:27">
      <c r="AA5677" t="s">
        <v>8024</v>
      </c>
    </row>
    <row r="5678" spans="27:27">
      <c r="AA5678" t="s">
        <v>8025</v>
      </c>
    </row>
    <row r="5679" spans="27:27">
      <c r="AA5679" t="s">
        <v>8026</v>
      </c>
    </row>
    <row r="5680" spans="27:27">
      <c r="AA5680" t="s">
        <v>8027</v>
      </c>
    </row>
    <row r="5681" spans="27:27">
      <c r="AA5681" t="s">
        <v>8028</v>
      </c>
    </row>
    <row r="5682" spans="27:27">
      <c r="AA5682" t="s">
        <v>8029</v>
      </c>
    </row>
    <row r="5683" spans="27:27">
      <c r="AA5683" t="s">
        <v>8030</v>
      </c>
    </row>
    <row r="5684" spans="27:27">
      <c r="AA5684" t="s">
        <v>8031</v>
      </c>
    </row>
    <row r="5685" spans="27:27">
      <c r="AA5685" t="s">
        <v>8032</v>
      </c>
    </row>
    <row r="5686" spans="27:27">
      <c r="AA5686" t="s">
        <v>8033</v>
      </c>
    </row>
    <row r="5687" spans="27:27">
      <c r="AA5687" t="s">
        <v>8034</v>
      </c>
    </row>
    <row r="5688" spans="27:27">
      <c r="AA5688" t="s">
        <v>8035</v>
      </c>
    </row>
    <row r="5689" spans="27:27">
      <c r="AA5689" t="s">
        <v>8036</v>
      </c>
    </row>
    <row r="5690" spans="27:27">
      <c r="AA5690" t="s">
        <v>8037</v>
      </c>
    </row>
    <row r="5691" spans="27:27">
      <c r="AA5691" t="s">
        <v>8038</v>
      </c>
    </row>
    <row r="5692" spans="27:27">
      <c r="AA5692" t="s">
        <v>8039</v>
      </c>
    </row>
    <row r="5693" spans="27:27">
      <c r="AA5693" t="s">
        <v>1945</v>
      </c>
    </row>
    <row r="5694" spans="27:27">
      <c r="AA5694" t="s">
        <v>3728</v>
      </c>
    </row>
    <row r="5695" spans="27:27">
      <c r="AA5695" t="s">
        <v>8040</v>
      </c>
    </row>
    <row r="5696" spans="27:27">
      <c r="AA5696" t="s">
        <v>8041</v>
      </c>
    </row>
    <row r="5697" spans="27:27">
      <c r="AA5697" t="s">
        <v>8042</v>
      </c>
    </row>
    <row r="5698" spans="27:27">
      <c r="AA5698" t="s">
        <v>8043</v>
      </c>
    </row>
    <row r="5699" spans="27:27">
      <c r="AA5699" t="s">
        <v>8044</v>
      </c>
    </row>
    <row r="5700" spans="27:27">
      <c r="AA5700" t="s">
        <v>8045</v>
      </c>
    </row>
    <row r="5701" spans="27:27">
      <c r="AA5701" t="s">
        <v>8046</v>
      </c>
    </row>
    <row r="5702" spans="27:27">
      <c r="AA5702" t="s">
        <v>8047</v>
      </c>
    </row>
    <row r="5703" spans="27:27">
      <c r="AA5703" t="s">
        <v>8048</v>
      </c>
    </row>
    <row r="5704" spans="27:27">
      <c r="AA5704" t="s">
        <v>8049</v>
      </c>
    </row>
    <row r="5705" spans="27:27">
      <c r="AA5705" t="s">
        <v>8050</v>
      </c>
    </row>
    <row r="5706" spans="27:27">
      <c r="AA5706" t="s">
        <v>8051</v>
      </c>
    </row>
    <row r="5707" spans="27:27">
      <c r="AA5707" t="s">
        <v>8052</v>
      </c>
    </row>
    <row r="5708" spans="27:27">
      <c r="AA5708" t="s">
        <v>8053</v>
      </c>
    </row>
    <row r="5709" spans="27:27">
      <c r="AA5709" t="s">
        <v>8054</v>
      </c>
    </row>
    <row r="5710" spans="27:27">
      <c r="AA5710" t="s">
        <v>8055</v>
      </c>
    </row>
    <row r="5711" spans="27:27">
      <c r="AA5711" t="s">
        <v>8056</v>
      </c>
    </row>
    <row r="5712" spans="27:27">
      <c r="AA5712" t="s">
        <v>8057</v>
      </c>
    </row>
    <row r="5713" spans="27:27">
      <c r="AA5713" t="s">
        <v>8058</v>
      </c>
    </row>
    <row r="5714" spans="27:27">
      <c r="AA5714" t="s">
        <v>8059</v>
      </c>
    </row>
    <row r="5715" spans="27:27">
      <c r="AA5715" t="s">
        <v>8060</v>
      </c>
    </row>
    <row r="5716" spans="27:27">
      <c r="AA5716" t="s">
        <v>8061</v>
      </c>
    </row>
    <row r="5717" spans="27:27">
      <c r="AA5717" t="s">
        <v>3729</v>
      </c>
    </row>
    <row r="5718" spans="27:27">
      <c r="AA5718" t="s">
        <v>8062</v>
      </c>
    </row>
    <row r="5719" spans="27:27">
      <c r="AA5719" t="s">
        <v>8063</v>
      </c>
    </row>
    <row r="5720" spans="27:27">
      <c r="AA5720" t="s">
        <v>8064</v>
      </c>
    </row>
    <row r="5721" spans="27:27">
      <c r="AA5721" t="s">
        <v>8065</v>
      </c>
    </row>
    <row r="5722" spans="27:27">
      <c r="AA5722" t="s">
        <v>8066</v>
      </c>
    </row>
    <row r="5723" spans="27:27">
      <c r="AA5723" t="s">
        <v>8067</v>
      </c>
    </row>
    <row r="5724" spans="27:27">
      <c r="AA5724" t="s">
        <v>8068</v>
      </c>
    </row>
    <row r="5725" spans="27:27">
      <c r="AA5725" t="s">
        <v>8069</v>
      </c>
    </row>
    <row r="5726" spans="27:27">
      <c r="AA5726" t="s">
        <v>8070</v>
      </c>
    </row>
    <row r="5727" spans="27:27">
      <c r="AA5727" t="s">
        <v>8071</v>
      </c>
    </row>
    <row r="5728" spans="27:27">
      <c r="AA5728" t="s">
        <v>8072</v>
      </c>
    </row>
    <row r="5729" spans="27:27">
      <c r="AA5729" t="s">
        <v>8073</v>
      </c>
    </row>
    <row r="5730" spans="27:27">
      <c r="AA5730" t="s">
        <v>8074</v>
      </c>
    </row>
    <row r="5731" spans="27:27">
      <c r="AA5731" t="s">
        <v>8075</v>
      </c>
    </row>
    <row r="5732" spans="27:27">
      <c r="AA5732" t="s">
        <v>8076</v>
      </c>
    </row>
    <row r="5733" spans="27:27">
      <c r="AA5733" t="s">
        <v>8077</v>
      </c>
    </row>
    <row r="5734" spans="27:27">
      <c r="AA5734" t="s">
        <v>8078</v>
      </c>
    </row>
    <row r="5735" spans="27:27">
      <c r="AA5735" t="s">
        <v>1946</v>
      </c>
    </row>
    <row r="5736" spans="27:27">
      <c r="AA5736" t="s">
        <v>3730</v>
      </c>
    </row>
    <row r="5737" spans="27:27">
      <c r="AA5737" t="s">
        <v>8079</v>
      </c>
    </row>
    <row r="5738" spans="27:27">
      <c r="AA5738" t="s">
        <v>8080</v>
      </c>
    </row>
    <row r="5739" spans="27:27">
      <c r="AA5739" t="s">
        <v>8081</v>
      </c>
    </row>
    <row r="5740" spans="27:27">
      <c r="AA5740" t="s">
        <v>8082</v>
      </c>
    </row>
    <row r="5741" spans="27:27">
      <c r="AA5741" t="s">
        <v>8083</v>
      </c>
    </row>
    <row r="5742" spans="27:27">
      <c r="AA5742" t="s">
        <v>1947</v>
      </c>
    </row>
    <row r="5743" spans="27:27">
      <c r="AA5743" t="s">
        <v>3731</v>
      </c>
    </row>
    <row r="5744" spans="27:27">
      <c r="AA5744" t="s">
        <v>1948</v>
      </c>
    </row>
    <row r="5745" spans="27:27">
      <c r="AA5745" t="s">
        <v>8084</v>
      </c>
    </row>
    <row r="5746" spans="27:27">
      <c r="AA5746" t="s">
        <v>8085</v>
      </c>
    </row>
    <row r="5747" spans="27:27">
      <c r="AA5747" t="s">
        <v>8086</v>
      </c>
    </row>
    <row r="5748" spans="27:27">
      <c r="AA5748" t="s">
        <v>8087</v>
      </c>
    </row>
    <row r="5749" spans="27:27">
      <c r="AA5749" t="s">
        <v>760</v>
      </c>
    </row>
    <row r="5750" spans="27:27">
      <c r="AA5750" t="s">
        <v>761</v>
      </c>
    </row>
    <row r="5751" spans="27:27">
      <c r="AA5751" t="s">
        <v>3732</v>
      </c>
    </row>
    <row r="5752" spans="27:27">
      <c r="AA5752" t="s">
        <v>8088</v>
      </c>
    </row>
    <row r="5753" spans="27:27">
      <c r="AA5753" t="s">
        <v>8089</v>
      </c>
    </row>
    <row r="5754" spans="27:27">
      <c r="AA5754" t="s">
        <v>8090</v>
      </c>
    </row>
    <row r="5755" spans="27:27">
      <c r="AA5755" t="s">
        <v>8091</v>
      </c>
    </row>
    <row r="5756" spans="27:27">
      <c r="AA5756" t="s">
        <v>8092</v>
      </c>
    </row>
    <row r="5757" spans="27:27">
      <c r="AA5757" t="s">
        <v>1949</v>
      </c>
    </row>
    <row r="5758" spans="27:27">
      <c r="AA5758" t="s">
        <v>8093</v>
      </c>
    </row>
    <row r="5759" spans="27:27">
      <c r="AA5759" t="s">
        <v>8094</v>
      </c>
    </row>
    <row r="5760" spans="27:27">
      <c r="AA5760" t="s">
        <v>8095</v>
      </c>
    </row>
    <row r="5761" spans="27:27">
      <c r="AA5761" t="s">
        <v>8096</v>
      </c>
    </row>
    <row r="5762" spans="27:27">
      <c r="AA5762" t="s">
        <v>8097</v>
      </c>
    </row>
    <row r="5763" spans="27:27">
      <c r="AA5763" t="s">
        <v>8098</v>
      </c>
    </row>
    <row r="5764" spans="27:27">
      <c r="AA5764" t="s">
        <v>8099</v>
      </c>
    </row>
    <row r="5765" spans="27:27">
      <c r="AA5765" t="s">
        <v>8100</v>
      </c>
    </row>
    <row r="5766" spans="27:27">
      <c r="AA5766" t="s">
        <v>8101</v>
      </c>
    </row>
    <row r="5767" spans="27:27">
      <c r="AA5767" t="s">
        <v>8102</v>
      </c>
    </row>
    <row r="5768" spans="27:27">
      <c r="AA5768" t="s">
        <v>8103</v>
      </c>
    </row>
    <row r="5769" spans="27:27">
      <c r="AA5769" t="s">
        <v>3733</v>
      </c>
    </row>
    <row r="5770" spans="27:27">
      <c r="AA5770" t="s">
        <v>8104</v>
      </c>
    </row>
    <row r="5771" spans="27:27">
      <c r="AA5771" t="s">
        <v>8105</v>
      </c>
    </row>
    <row r="5772" spans="27:27">
      <c r="AA5772" t="s">
        <v>762</v>
      </c>
    </row>
    <row r="5773" spans="27:27">
      <c r="AA5773" t="s">
        <v>763</v>
      </c>
    </row>
    <row r="5774" spans="27:27">
      <c r="AA5774" t="s">
        <v>764</v>
      </c>
    </row>
    <row r="5775" spans="27:27">
      <c r="AA5775" t="s">
        <v>8106</v>
      </c>
    </row>
    <row r="5776" spans="27:27">
      <c r="AA5776" t="s">
        <v>3734</v>
      </c>
    </row>
    <row r="5777" spans="27:27">
      <c r="AA5777" t="s">
        <v>765</v>
      </c>
    </row>
    <row r="5778" spans="27:27">
      <c r="AA5778" t="s">
        <v>8107</v>
      </c>
    </row>
    <row r="5779" spans="27:27">
      <c r="AA5779" t="s">
        <v>8108</v>
      </c>
    </row>
    <row r="5780" spans="27:27">
      <c r="AA5780" t="s">
        <v>8109</v>
      </c>
    </row>
    <row r="5781" spans="27:27">
      <c r="AA5781" t="s">
        <v>8110</v>
      </c>
    </row>
    <row r="5782" spans="27:27">
      <c r="AA5782" t="s">
        <v>8111</v>
      </c>
    </row>
    <row r="5783" spans="27:27">
      <c r="AA5783" t="s">
        <v>3735</v>
      </c>
    </row>
    <row r="5784" spans="27:27">
      <c r="AA5784" t="s">
        <v>8112</v>
      </c>
    </row>
    <row r="5785" spans="27:27">
      <c r="AA5785" t="s">
        <v>8113</v>
      </c>
    </row>
    <row r="5786" spans="27:27">
      <c r="AA5786" t="s">
        <v>8114</v>
      </c>
    </row>
    <row r="5787" spans="27:27">
      <c r="AA5787" t="s">
        <v>8115</v>
      </c>
    </row>
    <row r="5788" spans="27:27">
      <c r="AA5788" t="s">
        <v>8116</v>
      </c>
    </row>
    <row r="5789" spans="27:27">
      <c r="AA5789" t="s">
        <v>8117</v>
      </c>
    </row>
    <row r="5790" spans="27:27">
      <c r="AA5790" t="s">
        <v>8118</v>
      </c>
    </row>
    <row r="5791" spans="27:27">
      <c r="AA5791" t="s">
        <v>8119</v>
      </c>
    </row>
    <row r="5792" spans="27:27">
      <c r="AA5792" t="s">
        <v>8120</v>
      </c>
    </row>
    <row r="5793" spans="27:27">
      <c r="AA5793" t="s">
        <v>8121</v>
      </c>
    </row>
    <row r="5794" spans="27:27">
      <c r="AA5794" t="s">
        <v>8122</v>
      </c>
    </row>
    <row r="5795" spans="27:27">
      <c r="AA5795" t="s">
        <v>8123</v>
      </c>
    </row>
    <row r="5796" spans="27:27">
      <c r="AA5796" t="s">
        <v>8124</v>
      </c>
    </row>
    <row r="5797" spans="27:27">
      <c r="AA5797" t="s">
        <v>8125</v>
      </c>
    </row>
    <row r="5798" spans="27:27">
      <c r="AA5798" t="s">
        <v>8126</v>
      </c>
    </row>
    <row r="5799" spans="27:27">
      <c r="AA5799" t="s">
        <v>8127</v>
      </c>
    </row>
    <row r="5800" spans="27:27">
      <c r="AA5800" t="s">
        <v>8128</v>
      </c>
    </row>
    <row r="5801" spans="27:27">
      <c r="AA5801" t="s">
        <v>8129</v>
      </c>
    </row>
    <row r="5802" spans="27:27">
      <c r="AA5802" t="s">
        <v>8130</v>
      </c>
    </row>
    <row r="5803" spans="27:27">
      <c r="AA5803" t="s">
        <v>8131</v>
      </c>
    </row>
    <row r="5804" spans="27:27">
      <c r="AA5804" t="s">
        <v>8132</v>
      </c>
    </row>
    <row r="5805" spans="27:27">
      <c r="AA5805" t="s">
        <v>8133</v>
      </c>
    </row>
    <row r="5806" spans="27:27">
      <c r="AA5806" t="s">
        <v>8134</v>
      </c>
    </row>
    <row r="5807" spans="27:27">
      <c r="AA5807" t="s">
        <v>8135</v>
      </c>
    </row>
    <row r="5808" spans="27:27">
      <c r="AA5808" t="s">
        <v>8136</v>
      </c>
    </row>
    <row r="5809" spans="27:27">
      <c r="AA5809" t="s">
        <v>766</v>
      </c>
    </row>
    <row r="5810" spans="27:27">
      <c r="AA5810" t="s">
        <v>767</v>
      </c>
    </row>
    <row r="5811" spans="27:27">
      <c r="AA5811" t="s">
        <v>8137</v>
      </c>
    </row>
    <row r="5812" spans="27:27">
      <c r="AA5812" t="s">
        <v>8138</v>
      </c>
    </row>
    <row r="5813" spans="27:27">
      <c r="AA5813" t="s">
        <v>768</v>
      </c>
    </row>
    <row r="5814" spans="27:27">
      <c r="AA5814" t="s">
        <v>3736</v>
      </c>
    </row>
    <row r="5815" spans="27:27">
      <c r="AA5815" t="s">
        <v>8139</v>
      </c>
    </row>
    <row r="5816" spans="27:27">
      <c r="AA5816" t="s">
        <v>8140</v>
      </c>
    </row>
    <row r="5817" spans="27:27">
      <c r="AA5817" t="s">
        <v>8141</v>
      </c>
    </row>
    <row r="5818" spans="27:27">
      <c r="AA5818" t="s">
        <v>8142</v>
      </c>
    </row>
    <row r="5819" spans="27:27">
      <c r="AA5819" t="s">
        <v>8143</v>
      </c>
    </row>
    <row r="5820" spans="27:27">
      <c r="AA5820" t="s">
        <v>769</v>
      </c>
    </row>
    <row r="5821" spans="27:27">
      <c r="AA5821" t="s">
        <v>770</v>
      </c>
    </row>
    <row r="5822" spans="27:27">
      <c r="AA5822" t="s">
        <v>771</v>
      </c>
    </row>
    <row r="5823" spans="27:27">
      <c r="AA5823" t="s">
        <v>772</v>
      </c>
    </row>
    <row r="5824" spans="27:27">
      <c r="AA5824" t="s">
        <v>773</v>
      </c>
    </row>
    <row r="5825" spans="27:27">
      <c r="AA5825" t="s">
        <v>774</v>
      </c>
    </row>
    <row r="5826" spans="27:27">
      <c r="AA5826" t="s">
        <v>775</v>
      </c>
    </row>
    <row r="5827" spans="27:27">
      <c r="AA5827" t="s">
        <v>8144</v>
      </c>
    </row>
    <row r="5828" spans="27:27">
      <c r="AA5828" t="s">
        <v>8145</v>
      </c>
    </row>
    <row r="5829" spans="27:27">
      <c r="AA5829" t="s">
        <v>8146</v>
      </c>
    </row>
    <row r="5830" spans="27:27">
      <c r="AA5830" t="s">
        <v>8147</v>
      </c>
    </row>
    <row r="5831" spans="27:27">
      <c r="AA5831" t="s">
        <v>8148</v>
      </c>
    </row>
    <row r="5832" spans="27:27">
      <c r="AA5832" t="s">
        <v>1950</v>
      </c>
    </row>
    <row r="5833" spans="27:27">
      <c r="AA5833" t="s">
        <v>8149</v>
      </c>
    </row>
    <row r="5834" spans="27:27">
      <c r="AA5834" t="s">
        <v>776</v>
      </c>
    </row>
    <row r="5835" spans="27:27">
      <c r="AA5835" t="s">
        <v>8150</v>
      </c>
    </row>
    <row r="5836" spans="27:27">
      <c r="AA5836" t="s">
        <v>8151</v>
      </c>
    </row>
    <row r="5837" spans="27:27">
      <c r="AA5837" t="s">
        <v>8152</v>
      </c>
    </row>
    <row r="5838" spans="27:27">
      <c r="AA5838" t="s">
        <v>8153</v>
      </c>
    </row>
    <row r="5839" spans="27:27">
      <c r="AA5839" t="s">
        <v>8154</v>
      </c>
    </row>
    <row r="5840" spans="27:27">
      <c r="AA5840" t="s">
        <v>8155</v>
      </c>
    </row>
    <row r="5841" spans="27:27">
      <c r="AA5841" t="s">
        <v>8156</v>
      </c>
    </row>
    <row r="5842" spans="27:27">
      <c r="AA5842" t="s">
        <v>8157</v>
      </c>
    </row>
    <row r="5843" spans="27:27">
      <c r="AA5843" t="s">
        <v>8158</v>
      </c>
    </row>
    <row r="5844" spans="27:27">
      <c r="AA5844" t="s">
        <v>8159</v>
      </c>
    </row>
    <row r="5845" spans="27:27">
      <c r="AA5845" t="s">
        <v>777</v>
      </c>
    </row>
    <row r="5846" spans="27:27">
      <c r="AA5846" t="s">
        <v>8160</v>
      </c>
    </row>
    <row r="5847" spans="27:27">
      <c r="AA5847" t="s">
        <v>8161</v>
      </c>
    </row>
    <row r="5848" spans="27:27">
      <c r="AA5848" t="s">
        <v>8162</v>
      </c>
    </row>
    <row r="5849" spans="27:27">
      <c r="AA5849" t="s">
        <v>8163</v>
      </c>
    </row>
    <row r="5850" spans="27:27">
      <c r="AA5850" t="s">
        <v>8164</v>
      </c>
    </row>
    <row r="5851" spans="27:27">
      <c r="AA5851" t="s">
        <v>8165</v>
      </c>
    </row>
    <row r="5852" spans="27:27">
      <c r="AA5852" t="s">
        <v>8166</v>
      </c>
    </row>
    <row r="5853" spans="27:27">
      <c r="AA5853" t="s">
        <v>8167</v>
      </c>
    </row>
    <row r="5854" spans="27:27">
      <c r="AA5854" t="s">
        <v>8168</v>
      </c>
    </row>
    <row r="5855" spans="27:27">
      <c r="AA5855" t="s">
        <v>8169</v>
      </c>
    </row>
    <row r="5856" spans="27:27">
      <c r="AA5856" t="s">
        <v>8170</v>
      </c>
    </row>
    <row r="5857" spans="27:27">
      <c r="AA5857" t="s">
        <v>8171</v>
      </c>
    </row>
    <row r="5858" spans="27:27">
      <c r="AA5858" t="s">
        <v>8172</v>
      </c>
    </row>
    <row r="5859" spans="27:27">
      <c r="AA5859" t="s">
        <v>8173</v>
      </c>
    </row>
    <row r="5860" spans="27:27">
      <c r="AA5860" t="s">
        <v>8174</v>
      </c>
    </row>
    <row r="5861" spans="27:27">
      <c r="AA5861" t="s">
        <v>778</v>
      </c>
    </row>
    <row r="5862" spans="27:27">
      <c r="AA5862" t="s">
        <v>779</v>
      </c>
    </row>
    <row r="5863" spans="27:27">
      <c r="AA5863" t="s">
        <v>8175</v>
      </c>
    </row>
    <row r="5864" spans="27:27">
      <c r="AA5864" t="s">
        <v>8176</v>
      </c>
    </row>
    <row r="5865" spans="27:27">
      <c r="AA5865" t="s">
        <v>8177</v>
      </c>
    </row>
    <row r="5866" spans="27:27">
      <c r="AA5866" t="s">
        <v>8178</v>
      </c>
    </row>
    <row r="5867" spans="27:27">
      <c r="AA5867" t="s">
        <v>8179</v>
      </c>
    </row>
    <row r="5868" spans="27:27">
      <c r="AA5868" t="s">
        <v>8180</v>
      </c>
    </row>
    <row r="5869" spans="27:27">
      <c r="AA5869" t="s">
        <v>8181</v>
      </c>
    </row>
    <row r="5870" spans="27:27">
      <c r="AA5870" t="s">
        <v>8182</v>
      </c>
    </row>
    <row r="5871" spans="27:27">
      <c r="AA5871" t="s">
        <v>8183</v>
      </c>
    </row>
    <row r="5872" spans="27:27">
      <c r="AA5872" t="s">
        <v>8184</v>
      </c>
    </row>
    <row r="5873" spans="27:27">
      <c r="AA5873" t="s">
        <v>8185</v>
      </c>
    </row>
    <row r="5874" spans="27:27">
      <c r="AA5874" t="s">
        <v>780</v>
      </c>
    </row>
    <row r="5875" spans="27:27">
      <c r="AA5875" t="s">
        <v>8186</v>
      </c>
    </row>
    <row r="5876" spans="27:27">
      <c r="AA5876" t="s">
        <v>781</v>
      </c>
    </row>
    <row r="5877" spans="27:27">
      <c r="AA5877" t="s">
        <v>8187</v>
      </c>
    </row>
    <row r="5878" spans="27:27">
      <c r="AA5878" t="s">
        <v>8188</v>
      </c>
    </row>
    <row r="5879" spans="27:27">
      <c r="AA5879" t="s">
        <v>8189</v>
      </c>
    </row>
    <row r="5880" spans="27:27">
      <c r="AA5880" t="s">
        <v>8190</v>
      </c>
    </row>
    <row r="5881" spans="27:27">
      <c r="AA5881" t="s">
        <v>8191</v>
      </c>
    </row>
    <row r="5882" spans="27:27">
      <c r="AA5882" t="s">
        <v>8192</v>
      </c>
    </row>
    <row r="5883" spans="27:27">
      <c r="AA5883" t="s">
        <v>8193</v>
      </c>
    </row>
    <row r="5884" spans="27:27">
      <c r="AA5884" t="s">
        <v>8194</v>
      </c>
    </row>
    <row r="5885" spans="27:27">
      <c r="AA5885" t="s">
        <v>8195</v>
      </c>
    </row>
    <row r="5886" spans="27:27">
      <c r="AA5886" t="s">
        <v>8196</v>
      </c>
    </row>
    <row r="5887" spans="27:27">
      <c r="AA5887" t="s">
        <v>8197</v>
      </c>
    </row>
    <row r="5888" spans="27:27">
      <c r="AA5888" t="s">
        <v>8198</v>
      </c>
    </row>
    <row r="5889" spans="27:27">
      <c r="AA5889" t="s">
        <v>8199</v>
      </c>
    </row>
    <row r="5890" spans="27:27">
      <c r="AA5890" t="s">
        <v>8200</v>
      </c>
    </row>
    <row r="5891" spans="27:27">
      <c r="AA5891" t="s">
        <v>8201</v>
      </c>
    </row>
    <row r="5892" spans="27:27">
      <c r="AA5892" t="s">
        <v>8202</v>
      </c>
    </row>
    <row r="5893" spans="27:27">
      <c r="AA5893" t="s">
        <v>8203</v>
      </c>
    </row>
    <row r="5894" spans="27:27">
      <c r="AA5894" t="s">
        <v>8204</v>
      </c>
    </row>
    <row r="5895" spans="27:27">
      <c r="AA5895" t="s">
        <v>8205</v>
      </c>
    </row>
    <row r="5896" spans="27:27">
      <c r="AA5896" t="s">
        <v>8206</v>
      </c>
    </row>
    <row r="5897" spans="27:27">
      <c r="AA5897" t="s">
        <v>8207</v>
      </c>
    </row>
    <row r="5898" spans="27:27">
      <c r="AA5898" t="s">
        <v>8208</v>
      </c>
    </row>
    <row r="5899" spans="27:27">
      <c r="AA5899" t="s">
        <v>3737</v>
      </c>
    </row>
    <row r="5900" spans="27:27">
      <c r="AA5900" t="s">
        <v>3738</v>
      </c>
    </row>
    <row r="5901" spans="27:27">
      <c r="AA5901" t="s">
        <v>1951</v>
      </c>
    </row>
    <row r="5902" spans="27:27">
      <c r="AA5902" t="s">
        <v>8209</v>
      </c>
    </row>
    <row r="5903" spans="27:27">
      <c r="AA5903" t="s">
        <v>8210</v>
      </c>
    </row>
    <row r="5904" spans="27:27">
      <c r="AA5904" t="s">
        <v>1952</v>
      </c>
    </row>
    <row r="5905" spans="27:27">
      <c r="AA5905" t="s">
        <v>8211</v>
      </c>
    </row>
    <row r="5906" spans="27:27">
      <c r="AA5906" t="s">
        <v>8212</v>
      </c>
    </row>
    <row r="5907" spans="27:27">
      <c r="AA5907" t="s">
        <v>1953</v>
      </c>
    </row>
    <row r="5908" spans="27:27">
      <c r="AA5908" t="s">
        <v>3739</v>
      </c>
    </row>
    <row r="5909" spans="27:27">
      <c r="AA5909" t="s">
        <v>1954</v>
      </c>
    </row>
    <row r="5910" spans="27:27">
      <c r="AA5910" t="s">
        <v>3740</v>
      </c>
    </row>
    <row r="5911" spans="27:27">
      <c r="AA5911" t="s">
        <v>8213</v>
      </c>
    </row>
    <row r="5912" spans="27:27">
      <c r="AA5912" t="s">
        <v>8214</v>
      </c>
    </row>
    <row r="5913" spans="27:27">
      <c r="AA5913" t="s">
        <v>1955</v>
      </c>
    </row>
    <row r="5914" spans="27:27">
      <c r="AA5914" t="s">
        <v>3741</v>
      </c>
    </row>
    <row r="5915" spans="27:27">
      <c r="AA5915" t="s">
        <v>8215</v>
      </c>
    </row>
    <row r="5916" spans="27:27">
      <c r="AA5916" t="s">
        <v>8216</v>
      </c>
    </row>
    <row r="5917" spans="27:27">
      <c r="AA5917" t="s">
        <v>1956</v>
      </c>
    </row>
    <row r="5918" spans="27:27">
      <c r="AA5918" t="s">
        <v>3742</v>
      </c>
    </row>
    <row r="5919" spans="27:27">
      <c r="AA5919" t="s">
        <v>8217</v>
      </c>
    </row>
    <row r="5920" spans="27:27">
      <c r="AA5920" t="s">
        <v>8218</v>
      </c>
    </row>
    <row r="5921" spans="27:27">
      <c r="AA5921" t="s">
        <v>8219</v>
      </c>
    </row>
    <row r="5922" spans="27:27">
      <c r="AA5922" t="s">
        <v>8220</v>
      </c>
    </row>
    <row r="5923" spans="27:27">
      <c r="AA5923" t="s">
        <v>8221</v>
      </c>
    </row>
    <row r="5924" spans="27:27">
      <c r="AA5924" t="s">
        <v>8222</v>
      </c>
    </row>
    <row r="5925" spans="27:27">
      <c r="AA5925" t="s">
        <v>8223</v>
      </c>
    </row>
    <row r="5926" spans="27:27">
      <c r="AA5926" t="s">
        <v>8224</v>
      </c>
    </row>
    <row r="5927" spans="27:27">
      <c r="AA5927" t="s">
        <v>8225</v>
      </c>
    </row>
    <row r="5928" spans="27:27">
      <c r="AA5928" t="s">
        <v>8226</v>
      </c>
    </row>
    <row r="5929" spans="27:27">
      <c r="AA5929" t="s">
        <v>8227</v>
      </c>
    </row>
    <row r="5930" spans="27:27">
      <c r="AA5930" t="s">
        <v>8228</v>
      </c>
    </row>
    <row r="5931" spans="27:27">
      <c r="AA5931" t="s">
        <v>8229</v>
      </c>
    </row>
    <row r="5932" spans="27:27">
      <c r="AA5932" t="s">
        <v>8230</v>
      </c>
    </row>
    <row r="5933" spans="27:27">
      <c r="AA5933" t="s">
        <v>8231</v>
      </c>
    </row>
    <row r="5934" spans="27:27">
      <c r="AA5934" t="s">
        <v>8232</v>
      </c>
    </row>
    <row r="5935" spans="27:27">
      <c r="AA5935" t="s">
        <v>8233</v>
      </c>
    </row>
    <row r="5936" spans="27:27">
      <c r="AA5936" t="s">
        <v>8234</v>
      </c>
    </row>
    <row r="5937" spans="27:27">
      <c r="AA5937" t="s">
        <v>8235</v>
      </c>
    </row>
    <row r="5938" spans="27:27">
      <c r="AA5938" t="s">
        <v>8236</v>
      </c>
    </row>
    <row r="5939" spans="27:27">
      <c r="AA5939" t="s">
        <v>8237</v>
      </c>
    </row>
    <row r="5940" spans="27:27">
      <c r="AA5940" t="s">
        <v>8238</v>
      </c>
    </row>
    <row r="5941" spans="27:27">
      <c r="AA5941" t="s">
        <v>8239</v>
      </c>
    </row>
    <row r="5942" spans="27:27">
      <c r="AA5942" t="s">
        <v>8240</v>
      </c>
    </row>
    <row r="5943" spans="27:27">
      <c r="AA5943" t="s">
        <v>8241</v>
      </c>
    </row>
    <row r="5944" spans="27:27">
      <c r="AA5944" t="s">
        <v>8242</v>
      </c>
    </row>
    <row r="5945" spans="27:27">
      <c r="AA5945" t="s">
        <v>8243</v>
      </c>
    </row>
    <row r="5946" spans="27:27">
      <c r="AA5946" t="s">
        <v>8244</v>
      </c>
    </row>
    <row r="5947" spans="27:27">
      <c r="AA5947" t="s">
        <v>8245</v>
      </c>
    </row>
    <row r="5948" spans="27:27">
      <c r="AA5948" t="s">
        <v>8246</v>
      </c>
    </row>
    <row r="5949" spans="27:27">
      <c r="AA5949" t="s">
        <v>8247</v>
      </c>
    </row>
    <row r="5950" spans="27:27">
      <c r="AA5950" t="s">
        <v>8248</v>
      </c>
    </row>
    <row r="5951" spans="27:27">
      <c r="AA5951" t="s">
        <v>8249</v>
      </c>
    </row>
    <row r="5952" spans="27:27">
      <c r="AA5952" t="s">
        <v>8250</v>
      </c>
    </row>
    <row r="5953" spans="27:27">
      <c r="AA5953" t="s">
        <v>8251</v>
      </c>
    </row>
    <row r="5954" spans="27:27">
      <c r="AA5954" t="s">
        <v>8252</v>
      </c>
    </row>
    <row r="5955" spans="27:27">
      <c r="AA5955" t="s">
        <v>8253</v>
      </c>
    </row>
    <row r="5956" spans="27:27">
      <c r="AA5956" t="s">
        <v>8254</v>
      </c>
    </row>
    <row r="5957" spans="27:27">
      <c r="AA5957" t="s">
        <v>8255</v>
      </c>
    </row>
    <row r="5958" spans="27:27">
      <c r="AA5958" t="s">
        <v>8256</v>
      </c>
    </row>
    <row r="5959" spans="27:27">
      <c r="AA5959" t="s">
        <v>8257</v>
      </c>
    </row>
    <row r="5960" spans="27:27">
      <c r="AA5960" t="s">
        <v>8258</v>
      </c>
    </row>
    <row r="5961" spans="27:27">
      <c r="AA5961" t="s">
        <v>8259</v>
      </c>
    </row>
    <row r="5962" spans="27:27">
      <c r="AA5962" t="s">
        <v>8260</v>
      </c>
    </row>
    <row r="5963" spans="27:27">
      <c r="AA5963" t="s">
        <v>8261</v>
      </c>
    </row>
    <row r="5964" spans="27:27">
      <c r="AA5964" t="s">
        <v>8262</v>
      </c>
    </row>
    <row r="5965" spans="27:27">
      <c r="AA5965" t="s">
        <v>8263</v>
      </c>
    </row>
    <row r="5966" spans="27:27">
      <c r="AA5966" t="s">
        <v>8264</v>
      </c>
    </row>
    <row r="5967" spans="27:27">
      <c r="AA5967" t="s">
        <v>8265</v>
      </c>
    </row>
    <row r="5968" spans="27:27">
      <c r="AA5968" t="s">
        <v>8266</v>
      </c>
    </row>
    <row r="5969" spans="27:27">
      <c r="AA5969" t="s">
        <v>8267</v>
      </c>
    </row>
    <row r="5970" spans="27:27">
      <c r="AA5970" t="s">
        <v>8268</v>
      </c>
    </row>
    <row r="5971" spans="27:27">
      <c r="AA5971" t="s">
        <v>8269</v>
      </c>
    </row>
    <row r="5972" spans="27:27">
      <c r="AA5972" t="s">
        <v>8270</v>
      </c>
    </row>
    <row r="5973" spans="27:27">
      <c r="AA5973" t="s">
        <v>8271</v>
      </c>
    </row>
    <row r="5974" spans="27:27">
      <c r="AA5974" t="s">
        <v>8272</v>
      </c>
    </row>
    <row r="5975" spans="27:27">
      <c r="AA5975" t="s">
        <v>8273</v>
      </c>
    </row>
    <row r="5976" spans="27:27">
      <c r="AA5976" t="s">
        <v>8274</v>
      </c>
    </row>
    <row r="5977" spans="27:27">
      <c r="AA5977" t="s">
        <v>8275</v>
      </c>
    </row>
    <row r="5978" spans="27:27">
      <c r="AA5978" t="s">
        <v>8276</v>
      </c>
    </row>
    <row r="5979" spans="27:27">
      <c r="AA5979" t="s">
        <v>8277</v>
      </c>
    </row>
    <row r="5980" spans="27:27">
      <c r="AA5980" t="s">
        <v>8278</v>
      </c>
    </row>
    <row r="5981" spans="27:27">
      <c r="AA5981" t="s">
        <v>8279</v>
      </c>
    </row>
    <row r="5982" spans="27:27">
      <c r="AA5982" t="s">
        <v>8280</v>
      </c>
    </row>
    <row r="5983" spans="27:27">
      <c r="AA5983" t="s">
        <v>8281</v>
      </c>
    </row>
    <row r="5984" spans="27:27">
      <c r="AA5984" t="s">
        <v>8282</v>
      </c>
    </row>
    <row r="5985" spans="27:27">
      <c r="AA5985" t="s">
        <v>8283</v>
      </c>
    </row>
    <row r="5986" spans="27:27">
      <c r="AA5986" t="s">
        <v>8284</v>
      </c>
    </row>
    <row r="5987" spans="27:27">
      <c r="AA5987" t="s">
        <v>8285</v>
      </c>
    </row>
    <row r="5988" spans="27:27">
      <c r="AA5988" t="s">
        <v>8286</v>
      </c>
    </row>
    <row r="5989" spans="27:27">
      <c r="AA5989" t="s">
        <v>8287</v>
      </c>
    </row>
    <row r="5990" spans="27:27">
      <c r="AA5990" t="s">
        <v>1957</v>
      </c>
    </row>
    <row r="5991" spans="27:27">
      <c r="AA5991" t="s">
        <v>3743</v>
      </c>
    </row>
    <row r="5992" spans="27:27">
      <c r="AA5992" t="s">
        <v>8288</v>
      </c>
    </row>
    <row r="5993" spans="27:27">
      <c r="AA5993" t="s">
        <v>8289</v>
      </c>
    </row>
    <row r="5994" spans="27:27">
      <c r="AA5994" t="s">
        <v>8290</v>
      </c>
    </row>
    <row r="5995" spans="27:27">
      <c r="AA5995" t="s">
        <v>8291</v>
      </c>
    </row>
    <row r="5996" spans="27:27">
      <c r="AA5996" t="s">
        <v>8292</v>
      </c>
    </row>
    <row r="5997" spans="27:27">
      <c r="AA5997" t="s">
        <v>8293</v>
      </c>
    </row>
    <row r="5998" spans="27:27">
      <c r="AA5998" t="s">
        <v>8294</v>
      </c>
    </row>
    <row r="5999" spans="27:27">
      <c r="AA5999" t="s">
        <v>8295</v>
      </c>
    </row>
    <row r="6000" spans="27:27">
      <c r="AA6000" t="s">
        <v>8296</v>
      </c>
    </row>
    <row r="6001" spans="27:27">
      <c r="AA6001" t="s">
        <v>8297</v>
      </c>
    </row>
    <row r="6002" spans="27:27">
      <c r="AA6002" t="s">
        <v>8298</v>
      </c>
    </row>
    <row r="6003" spans="27:27">
      <c r="AA6003" t="s">
        <v>8299</v>
      </c>
    </row>
    <row r="6004" spans="27:27">
      <c r="AA6004" t="s">
        <v>8300</v>
      </c>
    </row>
    <row r="6005" spans="27:27">
      <c r="AA6005" t="s">
        <v>8301</v>
      </c>
    </row>
    <row r="6006" spans="27:27">
      <c r="AA6006" t="s">
        <v>8302</v>
      </c>
    </row>
    <row r="6007" spans="27:27">
      <c r="AA6007" t="s">
        <v>8303</v>
      </c>
    </row>
    <row r="6008" spans="27:27">
      <c r="AA6008" t="s">
        <v>8304</v>
      </c>
    </row>
    <row r="6009" spans="27:27">
      <c r="AA6009" t="s">
        <v>8305</v>
      </c>
    </row>
    <row r="6010" spans="27:27">
      <c r="AA6010" t="s">
        <v>8306</v>
      </c>
    </row>
    <row r="6011" spans="27:27">
      <c r="AA6011" t="s">
        <v>8307</v>
      </c>
    </row>
    <row r="6012" spans="27:27">
      <c r="AA6012" t="s">
        <v>8308</v>
      </c>
    </row>
    <row r="6013" spans="27:27">
      <c r="AA6013" t="s">
        <v>8309</v>
      </c>
    </row>
    <row r="6014" spans="27:27">
      <c r="AA6014" t="s">
        <v>782</v>
      </c>
    </row>
    <row r="6015" spans="27:27">
      <c r="AA6015" t="s">
        <v>8310</v>
      </c>
    </row>
    <row r="6016" spans="27:27">
      <c r="AA6016" t="s">
        <v>8311</v>
      </c>
    </row>
    <row r="6017" spans="27:27">
      <c r="AA6017" t="s">
        <v>8312</v>
      </c>
    </row>
    <row r="6018" spans="27:27">
      <c r="AA6018" t="s">
        <v>783</v>
      </c>
    </row>
    <row r="6019" spans="27:27">
      <c r="AA6019" t="s">
        <v>8313</v>
      </c>
    </row>
    <row r="6020" spans="27:27">
      <c r="AA6020" t="s">
        <v>8314</v>
      </c>
    </row>
    <row r="6021" spans="27:27">
      <c r="AA6021" t="s">
        <v>784</v>
      </c>
    </row>
    <row r="6022" spans="27:27">
      <c r="AA6022" t="s">
        <v>8315</v>
      </c>
    </row>
    <row r="6023" spans="27:27">
      <c r="AA6023" t="s">
        <v>8316</v>
      </c>
    </row>
    <row r="6024" spans="27:27">
      <c r="AA6024" t="s">
        <v>8317</v>
      </c>
    </row>
    <row r="6025" spans="27:27">
      <c r="AA6025" t="s">
        <v>785</v>
      </c>
    </row>
    <row r="6026" spans="27:27">
      <c r="AA6026" t="s">
        <v>8318</v>
      </c>
    </row>
    <row r="6027" spans="27:27">
      <c r="AA6027" t="s">
        <v>8319</v>
      </c>
    </row>
    <row r="6028" spans="27:27">
      <c r="AA6028" t="s">
        <v>786</v>
      </c>
    </row>
    <row r="6029" spans="27:27">
      <c r="AA6029" t="s">
        <v>787</v>
      </c>
    </row>
    <row r="6030" spans="27:27">
      <c r="AA6030" t="s">
        <v>8320</v>
      </c>
    </row>
    <row r="6031" spans="27:27">
      <c r="AA6031" t="s">
        <v>8321</v>
      </c>
    </row>
    <row r="6032" spans="27:27">
      <c r="AA6032" t="s">
        <v>8322</v>
      </c>
    </row>
    <row r="6033" spans="27:27">
      <c r="AA6033" t="s">
        <v>8323</v>
      </c>
    </row>
    <row r="6034" spans="27:27">
      <c r="AA6034" t="s">
        <v>8324</v>
      </c>
    </row>
    <row r="6035" spans="27:27">
      <c r="AA6035" t="s">
        <v>8325</v>
      </c>
    </row>
    <row r="6036" spans="27:27">
      <c r="AA6036" t="s">
        <v>8326</v>
      </c>
    </row>
    <row r="6037" spans="27:27">
      <c r="AA6037" t="s">
        <v>8327</v>
      </c>
    </row>
    <row r="6038" spans="27:27">
      <c r="AA6038" t="s">
        <v>8328</v>
      </c>
    </row>
    <row r="6039" spans="27:27">
      <c r="AA6039" t="s">
        <v>8329</v>
      </c>
    </row>
    <row r="6040" spans="27:27">
      <c r="AA6040" t="s">
        <v>8330</v>
      </c>
    </row>
    <row r="6041" spans="27:27">
      <c r="AA6041" t="s">
        <v>8331</v>
      </c>
    </row>
    <row r="6042" spans="27:27">
      <c r="AA6042" t="s">
        <v>8332</v>
      </c>
    </row>
    <row r="6043" spans="27:27">
      <c r="AA6043" t="s">
        <v>8333</v>
      </c>
    </row>
    <row r="6044" spans="27:27">
      <c r="AA6044" t="s">
        <v>8334</v>
      </c>
    </row>
    <row r="6045" spans="27:27">
      <c r="AA6045" t="s">
        <v>1958</v>
      </c>
    </row>
    <row r="6046" spans="27:27">
      <c r="AA6046" t="s">
        <v>3744</v>
      </c>
    </row>
    <row r="6047" spans="27:27">
      <c r="AA6047" t="s">
        <v>8335</v>
      </c>
    </row>
    <row r="6048" spans="27:27">
      <c r="AA6048" t="s">
        <v>8336</v>
      </c>
    </row>
    <row r="6049" spans="27:27">
      <c r="AA6049" t="s">
        <v>8337</v>
      </c>
    </row>
    <row r="6050" spans="27:27">
      <c r="AA6050" t="s">
        <v>8338</v>
      </c>
    </row>
    <row r="6051" spans="27:27">
      <c r="AA6051" t="s">
        <v>8339</v>
      </c>
    </row>
    <row r="6052" spans="27:27">
      <c r="AA6052" t="s">
        <v>8340</v>
      </c>
    </row>
    <row r="6053" spans="27:27">
      <c r="AA6053" t="s">
        <v>1959</v>
      </c>
    </row>
    <row r="6054" spans="27:27">
      <c r="AA6054" t="s">
        <v>3745</v>
      </c>
    </row>
    <row r="6055" spans="27:27">
      <c r="AA6055" t="s">
        <v>8341</v>
      </c>
    </row>
    <row r="6056" spans="27:27">
      <c r="AA6056" t="s">
        <v>8342</v>
      </c>
    </row>
    <row r="6057" spans="27:27">
      <c r="AA6057" t="s">
        <v>8343</v>
      </c>
    </row>
    <row r="6058" spans="27:27">
      <c r="AA6058" t="s">
        <v>8344</v>
      </c>
    </row>
    <row r="6059" spans="27:27">
      <c r="AA6059" t="s">
        <v>1960</v>
      </c>
    </row>
    <row r="6060" spans="27:27">
      <c r="AA6060" t="s">
        <v>8345</v>
      </c>
    </row>
    <row r="6061" spans="27:27">
      <c r="AA6061" t="s">
        <v>8346</v>
      </c>
    </row>
    <row r="6062" spans="27:27">
      <c r="AA6062" t="s">
        <v>1961</v>
      </c>
    </row>
    <row r="6063" spans="27:27">
      <c r="AA6063" t="s">
        <v>1962</v>
      </c>
    </row>
    <row r="6064" spans="27:27">
      <c r="AA6064" t="s">
        <v>1963</v>
      </c>
    </row>
    <row r="6065" spans="27:27">
      <c r="AA6065" t="s">
        <v>1964</v>
      </c>
    </row>
    <row r="6066" spans="27:27">
      <c r="AA6066" t="s">
        <v>8347</v>
      </c>
    </row>
    <row r="6067" spans="27:27">
      <c r="AA6067" t="s">
        <v>1965</v>
      </c>
    </row>
    <row r="6068" spans="27:27">
      <c r="AA6068" t="s">
        <v>1966</v>
      </c>
    </row>
    <row r="6069" spans="27:27">
      <c r="AA6069" t="s">
        <v>8348</v>
      </c>
    </row>
    <row r="6070" spans="27:27">
      <c r="AA6070" t="s">
        <v>8349</v>
      </c>
    </row>
    <row r="6071" spans="27:27">
      <c r="AA6071" t="s">
        <v>8350</v>
      </c>
    </row>
    <row r="6072" spans="27:27">
      <c r="AA6072" t="s">
        <v>8351</v>
      </c>
    </row>
    <row r="6073" spans="27:27">
      <c r="AA6073" t="s">
        <v>8352</v>
      </c>
    </row>
    <row r="6074" spans="27:27">
      <c r="AA6074" t="s">
        <v>8353</v>
      </c>
    </row>
    <row r="6075" spans="27:27">
      <c r="AA6075" t="s">
        <v>1967</v>
      </c>
    </row>
    <row r="6076" spans="27:27">
      <c r="AA6076" t="s">
        <v>3746</v>
      </c>
    </row>
    <row r="6077" spans="27:27">
      <c r="AA6077" t="s">
        <v>8354</v>
      </c>
    </row>
    <row r="6078" spans="27:27">
      <c r="AA6078" t="s">
        <v>1968</v>
      </c>
    </row>
    <row r="6079" spans="27:27">
      <c r="AA6079" t="s">
        <v>8355</v>
      </c>
    </row>
    <row r="6080" spans="27:27">
      <c r="AA6080" t="s">
        <v>8356</v>
      </c>
    </row>
    <row r="6081" spans="27:27">
      <c r="AA6081" t="s">
        <v>8357</v>
      </c>
    </row>
    <row r="6082" spans="27:27">
      <c r="AA6082" t="s">
        <v>8358</v>
      </c>
    </row>
    <row r="6083" spans="27:27">
      <c r="AA6083" t="s">
        <v>8359</v>
      </c>
    </row>
    <row r="6084" spans="27:27">
      <c r="AA6084" t="s">
        <v>1969</v>
      </c>
    </row>
    <row r="6085" spans="27:27">
      <c r="AA6085" t="s">
        <v>3747</v>
      </c>
    </row>
    <row r="6086" spans="27:27">
      <c r="AA6086" t="s">
        <v>8360</v>
      </c>
    </row>
    <row r="6087" spans="27:27">
      <c r="AA6087" t="s">
        <v>8361</v>
      </c>
    </row>
    <row r="6088" spans="27:27">
      <c r="AA6088" t="s">
        <v>1970</v>
      </c>
    </row>
    <row r="6089" spans="27:27">
      <c r="AA6089" t="s">
        <v>8362</v>
      </c>
    </row>
    <row r="6090" spans="27:27">
      <c r="AA6090" t="s">
        <v>1971</v>
      </c>
    </row>
    <row r="6091" spans="27:27">
      <c r="AA6091" t="s">
        <v>8363</v>
      </c>
    </row>
    <row r="6092" spans="27:27">
      <c r="AA6092" t="s">
        <v>8364</v>
      </c>
    </row>
    <row r="6093" spans="27:27">
      <c r="AA6093" t="s">
        <v>8365</v>
      </c>
    </row>
    <row r="6094" spans="27:27">
      <c r="AA6094" t="s">
        <v>1972</v>
      </c>
    </row>
    <row r="6095" spans="27:27">
      <c r="AA6095" t="s">
        <v>8366</v>
      </c>
    </row>
    <row r="6096" spans="27:27">
      <c r="AA6096" t="s">
        <v>1973</v>
      </c>
    </row>
    <row r="6097" spans="27:27">
      <c r="AA6097" t="s">
        <v>8367</v>
      </c>
    </row>
    <row r="6098" spans="27:27">
      <c r="AA6098" t="s">
        <v>8368</v>
      </c>
    </row>
    <row r="6099" spans="27:27">
      <c r="AA6099" t="s">
        <v>1974</v>
      </c>
    </row>
    <row r="6100" spans="27:27">
      <c r="AA6100" t="s">
        <v>8369</v>
      </c>
    </row>
    <row r="6101" spans="27:27">
      <c r="AA6101" t="s">
        <v>8370</v>
      </c>
    </row>
    <row r="6102" spans="27:27">
      <c r="AA6102" t="s">
        <v>8371</v>
      </c>
    </row>
    <row r="6103" spans="27:27">
      <c r="AA6103" t="s">
        <v>8372</v>
      </c>
    </row>
    <row r="6104" spans="27:27">
      <c r="AA6104" t="s">
        <v>8373</v>
      </c>
    </row>
    <row r="6105" spans="27:27">
      <c r="AA6105" t="s">
        <v>1975</v>
      </c>
    </row>
    <row r="6106" spans="27:27">
      <c r="AA6106" t="s">
        <v>8374</v>
      </c>
    </row>
    <row r="6107" spans="27:27">
      <c r="AA6107" t="s">
        <v>8375</v>
      </c>
    </row>
    <row r="6108" spans="27:27">
      <c r="AA6108" t="s">
        <v>8376</v>
      </c>
    </row>
    <row r="6109" spans="27:27">
      <c r="AA6109" t="s">
        <v>8377</v>
      </c>
    </row>
    <row r="6110" spans="27:27">
      <c r="AA6110" t="s">
        <v>1976</v>
      </c>
    </row>
    <row r="6111" spans="27:27">
      <c r="AA6111" t="s">
        <v>8378</v>
      </c>
    </row>
    <row r="6112" spans="27:27">
      <c r="AA6112" t="s">
        <v>8379</v>
      </c>
    </row>
    <row r="6113" spans="27:27">
      <c r="AA6113" t="s">
        <v>8380</v>
      </c>
    </row>
    <row r="6114" spans="27:27">
      <c r="AA6114" t="s">
        <v>1977</v>
      </c>
    </row>
    <row r="6115" spans="27:27">
      <c r="AA6115" t="s">
        <v>3748</v>
      </c>
    </row>
    <row r="6116" spans="27:27">
      <c r="AA6116" t="s">
        <v>8381</v>
      </c>
    </row>
    <row r="6117" spans="27:27">
      <c r="AA6117" t="s">
        <v>8382</v>
      </c>
    </row>
    <row r="6118" spans="27:27">
      <c r="AA6118" t="s">
        <v>1978</v>
      </c>
    </row>
    <row r="6119" spans="27:27">
      <c r="AA6119" t="s">
        <v>8383</v>
      </c>
    </row>
    <row r="6120" spans="27:27">
      <c r="AA6120" t="s">
        <v>1979</v>
      </c>
    </row>
    <row r="6121" spans="27:27">
      <c r="AA6121" t="s">
        <v>8384</v>
      </c>
    </row>
    <row r="6122" spans="27:27">
      <c r="AA6122" t="s">
        <v>8385</v>
      </c>
    </row>
    <row r="6123" spans="27:27">
      <c r="AA6123" t="s">
        <v>8386</v>
      </c>
    </row>
    <row r="6124" spans="27:27">
      <c r="AA6124" t="s">
        <v>1980</v>
      </c>
    </row>
    <row r="6125" spans="27:27">
      <c r="AA6125" t="s">
        <v>8387</v>
      </c>
    </row>
    <row r="6126" spans="27:27">
      <c r="AA6126" t="s">
        <v>1981</v>
      </c>
    </row>
    <row r="6127" spans="27:27">
      <c r="AA6127" t="s">
        <v>8388</v>
      </c>
    </row>
    <row r="6128" spans="27:27">
      <c r="AA6128" t="s">
        <v>8389</v>
      </c>
    </row>
    <row r="6129" spans="27:27">
      <c r="AA6129" t="s">
        <v>1982</v>
      </c>
    </row>
    <row r="6130" spans="27:27">
      <c r="AA6130" t="s">
        <v>8390</v>
      </c>
    </row>
    <row r="6131" spans="27:27">
      <c r="AA6131" t="s">
        <v>8391</v>
      </c>
    </row>
    <row r="6132" spans="27:27">
      <c r="AA6132" t="s">
        <v>8392</v>
      </c>
    </row>
    <row r="6133" spans="27:27">
      <c r="AA6133" t="s">
        <v>8393</v>
      </c>
    </row>
    <row r="6134" spans="27:27">
      <c r="AA6134" t="s">
        <v>8394</v>
      </c>
    </row>
    <row r="6135" spans="27:27">
      <c r="AA6135" t="s">
        <v>1983</v>
      </c>
    </row>
    <row r="6136" spans="27:27">
      <c r="AA6136" t="s">
        <v>8395</v>
      </c>
    </row>
    <row r="6137" spans="27:27">
      <c r="AA6137" t="s">
        <v>8396</v>
      </c>
    </row>
    <row r="6138" spans="27:27">
      <c r="AA6138" t="s">
        <v>8397</v>
      </c>
    </row>
    <row r="6139" spans="27:27">
      <c r="AA6139" t="s">
        <v>8398</v>
      </c>
    </row>
    <row r="6140" spans="27:27">
      <c r="AA6140" t="s">
        <v>1984</v>
      </c>
    </row>
    <row r="6141" spans="27:27">
      <c r="AA6141" t="s">
        <v>8399</v>
      </c>
    </row>
    <row r="6142" spans="27:27">
      <c r="AA6142" t="s">
        <v>1985</v>
      </c>
    </row>
    <row r="6143" spans="27:27">
      <c r="AA6143" t="s">
        <v>8400</v>
      </c>
    </row>
    <row r="6144" spans="27:27">
      <c r="AA6144" t="s">
        <v>1986</v>
      </c>
    </row>
    <row r="6145" spans="27:27">
      <c r="AA6145" t="s">
        <v>8401</v>
      </c>
    </row>
    <row r="6146" spans="27:27">
      <c r="AA6146" t="s">
        <v>8402</v>
      </c>
    </row>
    <row r="6147" spans="27:27">
      <c r="AA6147" t="s">
        <v>1987</v>
      </c>
    </row>
    <row r="6148" spans="27:27">
      <c r="AA6148" t="s">
        <v>3749</v>
      </c>
    </row>
    <row r="6149" spans="27:27">
      <c r="AA6149" t="s">
        <v>1988</v>
      </c>
    </row>
    <row r="6150" spans="27:27">
      <c r="AA6150" t="s">
        <v>8403</v>
      </c>
    </row>
    <row r="6151" spans="27:27">
      <c r="AA6151" t="s">
        <v>8404</v>
      </c>
    </row>
    <row r="6152" spans="27:27">
      <c r="AA6152" t="s">
        <v>8405</v>
      </c>
    </row>
    <row r="6153" spans="27:27">
      <c r="AA6153" t="s">
        <v>8406</v>
      </c>
    </row>
    <row r="6154" spans="27:27">
      <c r="AA6154" t="s">
        <v>1989</v>
      </c>
    </row>
    <row r="6155" spans="27:27">
      <c r="AA6155" t="s">
        <v>8407</v>
      </c>
    </row>
    <row r="6156" spans="27:27">
      <c r="AA6156" t="s">
        <v>1990</v>
      </c>
    </row>
    <row r="6157" spans="27:27">
      <c r="AA6157" t="s">
        <v>8408</v>
      </c>
    </row>
    <row r="6158" spans="27:27">
      <c r="AA6158" t="s">
        <v>8409</v>
      </c>
    </row>
    <row r="6159" spans="27:27">
      <c r="AA6159" t="s">
        <v>8410</v>
      </c>
    </row>
    <row r="6160" spans="27:27">
      <c r="AA6160" t="s">
        <v>8411</v>
      </c>
    </row>
    <row r="6161" spans="27:27">
      <c r="AA6161" t="s">
        <v>1991</v>
      </c>
    </row>
    <row r="6162" spans="27:27">
      <c r="AA6162" t="s">
        <v>8412</v>
      </c>
    </row>
    <row r="6163" spans="27:27">
      <c r="AA6163" t="s">
        <v>1992</v>
      </c>
    </row>
    <row r="6164" spans="27:27">
      <c r="AA6164" t="s">
        <v>8413</v>
      </c>
    </row>
    <row r="6165" spans="27:27">
      <c r="AA6165" t="s">
        <v>1993</v>
      </c>
    </row>
    <row r="6166" spans="27:27">
      <c r="AA6166" t="s">
        <v>8414</v>
      </c>
    </row>
    <row r="6167" spans="27:27">
      <c r="AA6167" t="s">
        <v>8415</v>
      </c>
    </row>
    <row r="6168" spans="27:27">
      <c r="AA6168" t="s">
        <v>8416</v>
      </c>
    </row>
    <row r="6169" spans="27:27">
      <c r="AA6169" t="s">
        <v>8417</v>
      </c>
    </row>
    <row r="6170" spans="27:27">
      <c r="AA6170" t="s">
        <v>8418</v>
      </c>
    </row>
    <row r="6171" spans="27:27">
      <c r="AA6171" t="s">
        <v>1994</v>
      </c>
    </row>
    <row r="6172" spans="27:27">
      <c r="AA6172" t="s">
        <v>8419</v>
      </c>
    </row>
    <row r="6173" spans="27:27">
      <c r="AA6173" t="s">
        <v>1995</v>
      </c>
    </row>
    <row r="6174" spans="27:27">
      <c r="AA6174" t="s">
        <v>8420</v>
      </c>
    </row>
    <row r="6175" spans="27:27">
      <c r="AA6175" t="s">
        <v>8421</v>
      </c>
    </row>
    <row r="6176" spans="27:27">
      <c r="AA6176" t="s">
        <v>8422</v>
      </c>
    </row>
    <row r="6177" spans="27:27">
      <c r="AA6177" t="s">
        <v>8423</v>
      </c>
    </row>
    <row r="6178" spans="27:27">
      <c r="AA6178" t="s">
        <v>1996</v>
      </c>
    </row>
    <row r="6179" spans="27:27">
      <c r="AA6179" t="s">
        <v>8424</v>
      </c>
    </row>
    <row r="6180" spans="27:27">
      <c r="AA6180" t="s">
        <v>8425</v>
      </c>
    </row>
    <row r="6181" spans="27:27">
      <c r="AA6181" t="s">
        <v>8426</v>
      </c>
    </row>
    <row r="6182" spans="27:27">
      <c r="AA6182" t="s">
        <v>8427</v>
      </c>
    </row>
    <row r="6183" spans="27:27">
      <c r="AA6183" t="s">
        <v>1997</v>
      </c>
    </row>
    <row r="6184" spans="27:27">
      <c r="AA6184" t="s">
        <v>8428</v>
      </c>
    </row>
    <row r="6185" spans="27:27">
      <c r="AA6185" t="s">
        <v>1998</v>
      </c>
    </row>
    <row r="6186" spans="27:27">
      <c r="AA6186" t="s">
        <v>8429</v>
      </c>
    </row>
    <row r="6187" spans="27:27">
      <c r="AA6187" t="s">
        <v>8430</v>
      </c>
    </row>
    <row r="6188" spans="27:27">
      <c r="AA6188" t="s">
        <v>8431</v>
      </c>
    </row>
    <row r="6189" spans="27:27">
      <c r="AA6189" t="s">
        <v>8432</v>
      </c>
    </row>
    <row r="6190" spans="27:27">
      <c r="AA6190" t="s">
        <v>8433</v>
      </c>
    </row>
    <row r="6191" spans="27:27">
      <c r="AA6191" t="s">
        <v>8434</v>
      </c>
    </row>
    <row r="6192" spans="27:27">
      <c r="AA6192" t="s">
        <v>8435</v>
      </c>
    </row>
    <row r="6193" spans="27:27">
      <c r="AA6193" t="s">
        <v>8436</v>
      </c>
    </row>
    <row r="6194" spans="27:27">
      <c r="AA6194" t="s">
        <v>8437</v>
      </c>
    </row>
    <row r="6195" spans="27:27">
      <c r="AA6195" t="s">
        <v>8438</v>
      </c>
    </row>
    <row r="6196" spans="27:27">
      <c r="AA6196" t="s">
        <v>8439</v>
      </c>
    </row>
    <row r="6197" spans="27:27">
      <c r="AA6197" t="s">
        <v>8440</v>
      </c>
    </row>
    <row r="6198" spans="27:27">
      <c r="AA6198" t="s">
        <v>8441</v>
      </c>
    </row>
    <row r="6199" spans="27:27">
      <c r="AA6199" t="s">
        <v>8442</v>
      </c>
    </row>
    <row r="6200" spans="27:27">
      <c r="AA6200" t="s">
        <v>8443</v>
      </c>
    </row>
    <row r="6201" spans="27:27">
      <c r="AA6201" t="s">
        <v>1999</v>
      </c>
    </row>
    <row r="6202" spans="27:27">
      <c r="AA6202" t="s">
        <v>8444</v>
      </c>
    </row>
    <row r="6203" spans="27:27">
      <c r="AA6203" t="s">
        <v>8445</v>
      </c>
    </row>
    <row r="6204" spans="27:27">
      <c r="AA6204" t="s">
        <v>8446</v>
      </c>
    </row>
    <row r="6205" spans="27:27">
      <c r="AA6205" t="s">
        <v>8447</v>
      </c>
    </row>
    <row r="6206" spans="27:27">
      <c r="AA6206" t="s">
        <v>8448</v>
      </c>
    </row>
    <row r="6207" spans="27:27">
      <c r="AA6207" t="s">
        <v>8449</v>
      </c>
    </row>
    <row r="6208" spans="27:27">
      <c r="AA6208" t="s">
        <v>8450</v>
      </c>
    </row>
    <row r="6209" spans="27:27">
      <c r="AA6209" t="s">
        <v>8451</v>
      </c>
    </row>
    <row r="6210" spans="27:27">
      <c r="AA6210" t="s">
        <v>8452</v>
      </c>
    </row>
    <row r="6211" spans="27:27">
      <c r="AA6211" t="s">
        <v>8453</v>
      </c>
    </row>
    <row r="6212" spans="27:27">
      <c r="AA6212" t="s">
        <v>2000</v>
      </c>
    </row>
    <row r="6213" spans="27:27">
      <c r="AA6213" t="s">
        <v>8454</v>
      </c>
    </row>
    <row r="6214" spans="27:27">
      <c r="AA6214" t="s">
        <v>8455</v>
      </c>
    </row>
    <row r="6215" spans="27:27">
      <c r="AA6215" t="s">
        <v>8456</v>
      </c>
    </row>
    <row r="6216" spans="27:27">
      <c r="AA6216" t="s">
        <v>8457</v>
      </c>
    </row>
    <row r="6217" spans="27:27">
      <c r="AA6217" t="s">
        <v>2001</v>
      </c>
    </row>
    <row r="6218" spans="27:27">
      <c r="AA6218" t="s">
        <v>2002</v>
      </c>
    </row>
    <row r="6219" spans="27:27">
      <c r="AA6219" t="s">
        <v>8458</v>
      </c>
    </row>
    <row r="6220" spans="27:27">
      <c r="AA6220" t="s">
        <v>8459</v>
      </c>
    </row>
    <row r="6221" spans="27:27">
      <c r="AA6221" t="s">
        <v>2003</v>
      </c>
    </row>
    <row r="6222" spans="27:27">
      <c r="AA6222" t="s">
        <v>3750</v>
      </c>
    </row>
    <row r="6223" spans="27:27">
      <c r="AA6223" t="s">
        <v>8460</v>
      </c>
    </row>
    <row r="6224" spans="27:27">
      <c r="AA6224" t="s">
        <v>8461</v>
      </c>
    </row>
    <row r="6225" spans="27:27">
      <c r="AA6225" t="s">
        <v>788</v>
      </c>
    </row>
    <row r="6226" spans="27:27">
      <c r="AA6226" t="s">
        <v>8462</v>
      </c>
    </row>
    <row r="6227" spans="27:27">
      <c r="AA6227" t="s">
        <v>8463</v>
      </c>
    </row>
    <row r="6228" spans="27:27">
      <c r="AA6228" t="s">
        <v>8464</v>
      </c>
    </row>
    <row r="6229" spans="27:27">
      <c r="AA6229" t="s">
        <v>8465</v>
      </c>
    </row>
    <row r="6230" spans="27:27">
      <c r="AA6230" t="s">
        <v>8466</v>
      </c>
    </row>
    <row r="6231" spans="27:27">
      <c r="AA6231" t="s">
        <v>8467</v>
      </c>
    </row>
    <row r="6232" spans="27:27">
      <c r="AA6232" t="s">
        <v>8468</v>
      </c>
    </row>
    <row r="6233" spans="27:27">
      <c r="AA6233" t="s">
        <v>8469</v>
      </c>
    </row>
    <row r="6234" spans="27:27">
      <c r="AA6234" t="s">
        <v>8470</v>
      </c>
    </row>
    <row r="6235" spans="27:27">
      <c r="AA6235" t="s">
        <v>2004</v>
      </c>
    </row>
    <row r="6236" spans="27:27">
      <c r="AA6236" t="s">
        <v>8471</v>
      </c>
    </row>
    <row r="6237" spans="27:27">
      <c r="AA6237" t="s">
        <v>2005</v>
      </c>
    </row>
    <row r="6238" spans="27:27">
      <c r="AA6238" t="s">
        <v>8472</v>
      </c>
    </row>
    <row r="6239" spans="27:27">
      <c r="AA6239" t="s">
        <v>8473</v>
      </c>
    </row>
    <row r="6240" spans="27:27">
      <c r="AA6240" t="s">
        <v>8474</v>
      </c>
    </row>
    <row r="6241" spans="27:27">
      <c r="AA6241" t="s">
        <v>8475</v>
      </c>
    </row>
    <row r="6242" spans="27:27">
      <c r="AA6242" t="s">
        <v>8476</v>
      </c>
    </row>
    <row r="6243" spans="27:27">
      <c r="AA6243" t="s">
        <v>2006</v>
      </c>
    </row>
    <row r="6244" spans="27:27">
      <c r="AA6244" t="s">
        <v>3751</v>
      </c>
    </row>
    <row r="6245" spans="27:27">
      <c r="AA6245" t="s">
        <v>2007</v>
      </c>
    </row>
    <row r="6246" spans="27:27">
      <c r="AA6246" t="s">
        <v>3752</v>
      </c>
    </row>
    <row r="6247" spans="27:27">
      <c r="AA6247" t="s">
        <v>8477</v>
      </c>
    </row>
    <row r="6248" spans="27:27">
      <c r="AA6248" t="s">
        <v>8478</v>
      </c>
    </row>
    <row r="6249" spans="27:27">
      <c r="AA6249" t="s">
        <v>8479</v>
      </c>
    </row>
    <row r="6250" spans="27:27">
      <c r="AA6250" t="s">
        <v>8480</v>
      </c>
    </row>
    <row r="6251" spans="27:27">
      <c r="AA6251" t="s">
        <v>8481</v>
      </c>
    </row>
    <row r="6252" spans="27:27">
      <c r="AA6252" t="s">
        <v>789</v>
      </c>
    </row>
    <row r="6253" spans="27:27">
      <c r="AA6253" t="s">
        <v>790</v>
      </c>
    </row>
    <row r="6254" spans="27:27">
      <c r="AA6254" t="s">
        <v>791</v>
      </c>
    </row>
    <row r="6255" spans="27:27">
      <c r="AA6255" t="s">
        <v>792</v>
      </c>
    </row>
    <row r="6256" spans="27:27">
      <c r="AA6256" t="s">
        <v>793</v>
      </c>
    </row>
    <row r="6257" spans="27:27">
      <c r="AA6257" t="s">
        <v>794</v>
      </c>
    </row>
    <row r="6258" spans="27:27">
      <c r="AA6258" t="s">
        <v>795</v>
      </c>
    </row>
    <row r="6259" spans="27:27">
      <c r="AA6259" t="s">
        <v>796</v>
      </c>
    </row>
    <row r="6260" spans="27:27">
      <c r="AA6260" t="s">
        <v>8482</v>
      </c>
    </row>
    <row r="6261" spans="27:27">
      <c r="AA6261" t="s">
        <v>8483</v>
      </c>
    </row>
    <row r="6262" spans="27:27">
      <c r="AA6262" t="s">
        <v>8484</v>
      </c>
    </row>
    <row r="6263" spans="27:27">
      <c r="AA6263" t="s">
        <v>8485</v>
      </c>
    </row>
    <row r="6264" spans="27:27">
      <c r="AA6264" t="s">
        <v>3753</v>
      </c>
    </row>
    <row r="6265" spans="27:27">
      <c r="AA6265" t="s">
        <v>8486</v>
      </c>
    </row>
    <row r="6266" spans="27:27">
      <c r="AA6266" t="s">
        <v>8487</v>
      </c>
    </row>
    <row r="6267" spans="27:27">
      <c r="AA6267" t="s">
        <v>8488</v>
      </c>
    </row>
    <row r="6268" spans="27:27">
      <c r="AA6268" t="s">
        <v>8489</v>
      </c>
    </row>
    <row r="6269" spans="27:27">
      <c r="AA6269" t="s">
        <v>8490</v>
      </c>
    </row>
    <row r="6270" spans="27:27">
      <c r="AA6270" t="s">
        <v>2008</v>
      </c>
    </row>
    <row r="6271" spans="27:27">
      <c r="AA6271" t="s">
        <v>3754</v>
      </c>
    </row>
    <row r="6272" spans="27:27">
      <c r="AA6272" t="s">
        <v>8491</v>
      </c>
    </row>
    <row r="6273" spans="27:27">
      <c r="AA6273" t="s">
        <v>8492</v>
      </c>
    </row>
    <row r="6274" spans="27:27">
      <c r="AA6274" t="s">
        <v>8493</v>
      </c>
    </row>
    <row r="6275" spans="27:27">
      <c r="AA6275" t="s">
        <v>3755</v>
      </c>
    </row>
    <row r="6276" spans="27:27">
      <c r="AA6276" t="s">
        <v>8494</v>
      </c>
    </row>
    <row r="6277" spans="27:27">
      <c r="AA6277" t="s">
        <v>8495</v>
      </c>
    </row>
    <row r="6278" spans="27:27">
      <c r="AA6278" t="s">
        <v>8496</v>
      </c>
    </row>
    <row r="6279" spans="27:27">
      <c r="AA6279" t="s">
        <v>8497</v>
      </c>
    </row>
    <row r="6280" spans="27:27">
      <c r="AA6280" t="s">
        <v>8498</v>
      </c>
    </row>
    <row r="6281" spans="27:27">
      <c r="AA6281" t="s">
        <v>2009</v>
      </c>
    </row>
    <row r="6282" spans="27:27">
      <c r="AA6282" t="s">
        <v>8499</v>
      </c>
    </row>
    <row r="6283" spans="27:27">
      <c r="AA6283" t="s">
        <v>8500</v>
      </c>
    </row>
    <row r="6284" spans="27:27">
      <c r="AA6284" t="s">
        <v>8501</v>
      </c>
    </row>
    <row r="6285" spans="27:27">
      <c r="AA6285" t="s">
        <v>8502</v>
      </c>
    </row>
    <row r="6286" spans="27:27">
      <c r="AA6286" t="s">
        <v>8503</v>
      </c>
    </row>
    <row r="6287" spans="27:27">
      <c r="AA6287" t="s">
        <v>8504</v>
      </c>
    </row>
    <row r="6288" spans="27:27">
      <c r="AA6288" t="s">
        <v>8505</v>
      </c>
    </row>
    <row r="6289" spans="27:27">
      <c r="AA6289" t="s">
        <v>8506</v>
      </c>
    </row>
    <row r="6290" spans="27:27">
      <c r="AA6290" t="s">
        <v>8507</v>
      </c>
    </row>
    <row r="6291" spans="27:27">
      <c r="AA6291" t="s">
        <v>8508</v>
      </c>
    </row>
    <row r="6292" spans="27:27">
      <c r="AA6292" t="s">
        <v>8509</v>
      </c>
    </row>
    <row r="6293" spans="27:27">
      <c r="AA6293" t="s">
        <v>8510</v>
      </c>
    </row>
    <row r="6294" spans="27:27">
      <c r="AA6294" t="s">
        <v>8511</v>
      </c>
    </row>
    <row r="6295" spans="27:27">
      <c r="AA6295" t="s">
        <v>8512</v>
      </c>
    </row>
    <row r="6296" spans="27:27">
      <c r="AA6296" t="s">
        <v>8513</v>
      </c>
    </row>
    <row r="6297" spans="27:27">
      <c r="AA6297" t="s">
        <v>8514</v>
      </c>
    </row>
    <row r="6298" spans="27:27">
      <c r="AA6298" t="s">
        <v>8515</v>
      </c>
    </row>
    <row r="6299" spans="27:27">
      <c r="AA6299" t="s">
        <v>8516</v>
      </c>
    </row>
    <row r="6300" spans="27:27">
      <c r="AA6300" t="s">
        <v>8517</v>
      </c>
    </row>
    <row r="6301" spans="27:27">
      <c r="AA6301" t="s">
        <v>8518</v>
      </c>
    </row>
    <row r="6302" spans="27:27">
      <c r="AA6302" t="s">
        <v>8519</v>
      </c>
    </row>
    <row r="6303" spans="27:27">
      <c r="AA6303" t="s">
        <v>8520</v>
      </c>
    </row>
    <row r="6304" spans="27:27">
      <c r="AA6304" t="s">
        <v>8521</v>
      </c>
    </row>
    <row r="6305" spans="27:27">
      <c r="AA6305" t="s">
        <v>8522</v>
      </c>
    </row>
    <row r="6306" spans="27:27">
      <c r="AA6306" t="s">
        <v>8523</v>
      </c>
    </row>
    <row r="6307" spans="27:27">
      <c r="AA6307" t="s">
        <v>8524</v>
      </c>
    </row>
    <row r="6308" spans="27:27">
      <c r="AA6308" t="s">
        <v>2010</v>
      </c>
    </row>
    <row r="6309" spans="27:27">
      <c r="AA6309" t="s">
        <v>8525</v>
      </c>
    </row>
    <row r="6310" spans="27:27">
      <c r="AA6310" t="s">
        <v>2011</v>
      </c>
    </row>
    <row r="6311" spans="27:27">
      <c r="AA6311" t="s">
        <v>3756</v>
      </c>
    </row>
    <row r="6312" spans="27:27">
      <c r="AA6312" t="s">
        <v>2012</v>
      </c>
    </row>
    <row r="6313" spans="27:27">
      <c r="AA6313" t="s">
        <v>8526</v>
      </c>
    </row>
    <row r="6314" spans="27:27">
      <c r="AA6314" t="s">
        <v>8527</v>
      </c>
    </row>
    <row r="6315" spans="27:27">
      <c r="AA6315" t="s">
        <v>8528</v>
      </c>
    </row>
    <row r="6316" spans="27:27">
      <c r="AA6316" t="s">
        <v>8529</v>
      </c>
    </row>
    <row r="6317" spans="27:27">
      <c r="AA6317" t="s">
        <v>2013</v>
      </c>
    </row>
    <row r="6318" spans="27:27">
      <c r="AA6318" t="s">
        <v>8530</v>
      </c>
    </row>
    <row r="6319" spans="27:27">
      <c r="AA6319" t="s">
        <v>8531</v>
      </c>
    </row>
    <row r="6320" spans="27:27">
      <c r="AA6320" t="s">
        <v>8532</v>
      </c>
    </row>
    <row r="6321" spans="27:27">
      <c r="AA6321" t="s">
        <v>8533</v>
      </c>
    </row>
    <row r="6322" spans="27:27">
      <c r="AA6322" t="s">
        <v>8534</v>
      </c>
    </row>
    <row r="6323" spans="27:27">
      <c r="AA6323" t="s">
        <v>8535</v>
      </c>
    </row>
    <row r="6324" spans="27:27">
      <c r="AA6324" t="s">
        <v>8536</v>
      </c>
    </row>
    <row r="6325" spans="27:27">
      <c r="AA6325" t="s">
        <v>8537</v>
      </c>
    </row>
    <row r="6326" spans="27:27">
      <c r="AA6326" t="s">
        <v>8538</v>
      </c>
    </row>
    <row r="6327" spans="27:27">
      <c r="AA6327" t="s">
        <v>8539</v>
      </c>
    </row>
    <row r="6328" spans="27:27">
      <c r="AA6328" t="s">
        <v>2014</v>
      </c>
    </row>
    <row r="6329" spans="27:27">
      <c r="AA6329" t="s">
        <v>8540</v>
      </c>
    </row>
    <row r="6330" spans="27:27">
      <c r="AA6330" t="s">
        <v>8541</v>
      </c>
    </row>
    <row r="6331" spans="27:27">
      <c r="AA6331" t="s">
        <v>8542</v>
      </c>
    </row>
    <row r="6332" spans="27:27">
      <c r="AA6332" t="s">
        <v>2015</v>
      </c>
    </row>
    <row r="6333" spans="27:27">
      <c r="AA6333" t="s">
        <v>8543</v>
      </c>
    </row>
    <row r="6334" spans="27:27">
      <c r="AA6334" t="s">
        <v>8544</v>
      </c>
    </row>
    <row r="6335" spans="27:27">
      <c r="AA6335" t="s">
        <v>8545</v>
      </c>
    </row>
    <row r="6336" spans="27:27">
      <c r="AA6336" t="s">
        <v>8546</v>
      </c>
    </row>
    <row r="6337" spans="27:27">
      <c r="AA6337" t="s">
        <v>8547</v>
      </c>
    </row>
    <row r="6338" spans="27:27">
      <c r="AA6338" t="s">
        <v>8548</v>
      </c>
    </row>
    <row r="6339" spans="27:27">
      <c r="AA6339" t="s">
        <v>8549</v>
      </c>
    </row>
    <row r="6340" spans="27:27">
      <c r="AA6340" t="s">
        <v>8550</v>
      </c>
    </row>
    <row r="6341" spans="27:27">
      <c r="AA6341" t="s">
        <v>8551</v>
      </c>
    </row>
    <row r="6342" spans="27:27">
      <c r="AA6342" t="s">
        <v>8552</v>
      </c>
    </row>
    <row r="6343" spans="27:27">
      <c r="AA6343" t="s">
        <v>8553</v>
      </c>
    </row>
    <row r="6344" spans="27:27">
      <c r="AA6344" t="s">
        <v>8554</v>
      </c>
    </row>
    <row r="6345" spans="27:27">
      <c r="AA6345" t="s">
        <v>8555</v>
      </c>
    </row>
    <row r="6346" spans="27:27">
      <c r="AA6346" t="s">
        <v>8556</v>
      </c>
    </row>
    <row r="6347" spans="27:27">
      <c r="AA6347" t="s">
        <v>8557</v>
      </c>
    </row>
    <row r="6348" spans="27:27">
      <c r="AA6348" t="s">
        <v>8558</v>
      </c>
    </row>
    <row r="6349" spans="27:27">
      <c r="AA6349" t="s">
        <v>8559</v>
      </c>
    </row>
    <row r="6350" spans="27:27">
      <c r="AA6350" t="s">
        <v>8560</v>
      </c>
    </row>
    <row r="6351" spans="27:27">
      <c r="AA6351" t="s">
        <v>2016</v>
      </c>
    </row>
    <row r="6352" spans="27:27">
      <c r="AA6352" t="s">
        <v>8561</v>
      </c>
    </row>
    <row r="6353" spans="27:27">
      <c r="AA6353" t="s">
        <v>8562</v>
      </c>
    </row>
    <row r="6354" spans="27:27">
      <c r="AA6354" t="s">
        <v>8563</v>
      </c>
    </row>
    <row r="6355" spans="27:27">
      <c r="AA6355" t="s">
        <v>8564</v>
      </c>
    </row>
    <row r="6356" spans="27:27">
      <c r="AA6356" t="s">
        <v>8565</v>
      </c>
    </row>
    <row r="6357" spans="27:27">
      <c r="AA6357" t="s">
        <v>8566</v>
      </c>
    </row>
    <row r="6358" spans="27:27">
      <c r="AA6358" t="s">
        <v>8567</v>
      </c>
    </row>
    <row r="6359" spans="27:27">
      <c r="AA6359" t="s">
        <v>8568</v>
      </c>
    </row>
    <row r="6360" spans="27:27">
      <c r="AA6360" t="s">
        <v>8569</v>
      </c>
    </row>
    <row r="6361" spans="27:27">
      <c r="AA6361" t="s">
        <v>8570</v>
      </c>
    </row>
    <row r="6362" spans="27:27">
      <c r="AA6362" t="s">
        <v>8571</v>
      </c>
    </row>
    <row r="6363" spans="27:27">
      <c r="AA6363" t="s">
        <v>8572</v>
      </c>
    </row>
    <row r="6364" spans="27:27">
      <c r="AA6364" t="s">
        <v>8573</v>
      </c>
    </row>
    <row r="6365" spans="27:27">
      <c r="AA6365" t="s">
        <v>8574</v>
      </c>
    </row>
    <row r="6366" spans="27:27">
      <c r="AA6366" t="s">
        <v>8575</v>
      </c>
    </row>
    <row r="6367" spans="27:27">
      <c r="AA6367" t="s">
        <v>8576</v>
      </c>
    </row>
    <row r="6368" spans="27:27">
      <c r="AA6368" t="s">
        <v>8577</v>
      </c>
    </row>
    <row r="6369" spans="27:27">
      <c r="AA6369" t="s">
        <v>8578</v>
      </c>
    </row>
    <row r="6370" spans="27:27">
      <c r="AA6370" t="s">
        <v>8579</v>
      </c>
    </row>
    <row r="6371" spans="27:27">
      <c r="AA6371" t="s">
        <v>8580</v>
      </c>
    </row>
    <row r="6372" spans="27:27">
      <c r="AA6372" t="s">
        <v>8581</v>
      </c>
    </row>
    <row r="6373" spans="27:27">
      <c r="AA6373" t="s">
        <v>8582</v>
      </c>
    </row>
    <row r="6374" spans="27:27">
      <c r="AA6374" t="s">
        <v>8583</v>
      </c>
    </row>
    <row r="6375" spans="27:27">
      <c r="AA6375" t="s">
        <v>8584</v>
      </c>
    </row>
    <row r="6376" spans="27:27">
      <c r="AA6376" t="s">
        <v>2017</v>
      </c>
    </row>
    <row r="6377" spans="27:27">
      <c r="AA6377" t="s">
        <v>8585</v>
      </c>
    </row>
    <row r="6378" spans="27:27">
      <c r="AA6378" t="s">
        <v>8586</v>
      </c>
    </row>
    <row r="6379" spans="27:27">
      <c r="AA6379" t="s">
        <v>2018</v>
      </c>
    </row>
    <row r="6380" spans="27:27">
      <c r="AA6380" t="s">
        <v>8587</v>
      </c>
    </row>
    <row r="6381" spans="27:27">
      <c r="AA6381" t="s">
        <v>8588</v>
      </c>
    </row>
    <row r="6382" spans="27:27">
      <c r="AA6382" t="s">
        <v>8589</v>
      </c>
    </row>
    <row r="6383" spans="27:27">
      <c r="AA6383" t="s">
        <v>8590</v>
      </c>
    </row>
    <row r="6384" spans="27:27">
      <c r="AA6384" t="s">
        <v>8591</v>
      </c>
    </row>
    <row r="6385" spans="27:27">
      <c r="AA6385" t="s">
        <v>8592</v>
      </c>
    </row>
    <row r="6386" spans="27:27">
      <c r="AA6386" t="s">
        <v>8593</v>
      </c>
    </row>
    <row r="6387" spans="27:27">
      <c r="AA6387" t="s">
        <v>2019</v>
      </c>
    </row>
    <row r="6388" spans="27:27">
      <c r="AA6388" t="s">
        <v>8594</v>
      </c>
    </row>
    <row r="6389" spans="27:27">
      <c r="AA6389" t="s">
        <v>2020</v>
      </c>
    </row>
    <row r="6390" spans="27:27">
      <c r="AA6390" t="s">
        <v>8595</v>
      </c>
    </row>
    <row r="6391" spans="27:27">
      <c r="AA6391" t="s">
        <v>8596</v>
      </c>
    </row>
    <row r="6392" spans="27:27">
      <c r="AA6392" t="s">
        <v>8597</v>
      </c>
    </row>
    <row r="6393" spans="27:27">
      <c r="AA6393" t="s">
        <v>8598</v>
      </c>
    </row>
    <row r="6394" spans="27:27">
      <c r="AA6394" t="s">
        <v>8599</v>
      </c>
    </row>
    <row r="6395" spans="27:27">
      <c r="AA6395" t="s">
        <v>8600</v>
      </c>
    </row>
    <row r="6396" spans="27:27">
      <c r="AA6396" t="s">
        <v>8601</v>
      </c>
    </row>
    <row r="6397" spans="27:27">
      <c r="AA6397" t="s">
        <v>8602</v>
      </c>
    </row>
    <row r="6398" spans="27:27">
      <c r="AA6398" t="s">
        <v>8603</v>
      </c>
    </row>
    <row r="6399" spans="27:27">
      <c r="AA6399" t="s">
        <v>8604</v>
      </c>
    </row>
    <row r="6400" spans="27:27">
      <c r="AA6400" t="s">
        <v>8605</v>
      </c>
    </row>
    <row r="6401" spans="27:27">
      <c r="AA6401" t="s">
        <v>8606</v>
      </c>
    </row>
    <row r="6402" spans="27:27">
      <c r="AA6402" t="s">
        <v>8607</v>
      </c>
    </row>
    <row r="6403" spans="27:27">
      <c r="AA6403" t="s">
        <v>2021</v>
      </c>
    </row>
    <row r="6404" spans="27:27">
      <c r="AA6404" t="s">
        <v>8608</v>
      </c>
    </row>
    <row r="6405" spans="27:27">
      <c r="AA6405" t="s">
        <v>8609</v>
      </c>
    </row>
    <row r="6406" spans="27:27">
      <c r="AA6406" t="s">
        <v>8610</v>
      </c>
    </row>
    <row r="6407" spans="27:27">
      <c r="AA6407" t="s">
        <v>8611</v>
      </c>
    </row>
    <row r="6408" spans="27:27">
      <c r="AA6408" t="s">
        <v>8612</v>
      </c>
    </row>
    <row r="6409" spans="27:27">
      <c r="AA6409" t="s">
        <v>8613</v>
      </c>
    </row>
    <row r="6410" spans="27:27">
      <c r="AA6410" t="s">
        <v>2022</v>
      </c>
    </row>
    <row r="6411" spans="27:27">
      <c r="AA6411" t="s">
        <v>8614</v>
      </c>
    </row>
    <row r="6412" spans="27:27">
      <c r="AA6412" t="s">
        <v>8615</v>
      </c>
    </row>
    <row r="6413" spans="27:27">
      <c r="AA6413" t="s">
        <v>2023</v>
      </c>
    </row>
    <row r="6414" spans="27:27">
      <c r="AA6414" t="s">
        <v>8616</v>
      </c>
    </row>
    <row r="6415" spans="27:27">
      <c r="AA6415" t="s">
        <v>8617</v>
      </c>
    </row>
    <row r="6416" spans="27:27">
      <c r="AA6416" t="s">
        <v>8618</v>
      </c>
    </row>
    <row r="6417" spans="27:27">
      <c r="AA6417" t="s">
        <v>8619</v>
      </c>
    </row>
    <row r="6418" spans="27:27">
      <c r="AA6418" t="s">
        <v>8620</v>
      </c>
    </row>
    <row r="6419" spans="27:27">
      <c r="AA6419" t="s">
        <v>8621</v>
      </c>
    </row>
    <row r="6420" spans="27:27">
      <c r="AA6420" t="s">
        <v>8622</v>
      </c>
    </row>
    <row r="6421" spans="27:27">
      <c r="AA6421" t="s">
        <v>8623</v>
      </c>
    </row>
    <row r="6422" spans="27:27">
      <c r="AA6422" t="s">
        <v>2024</v>
      </c>
    </row>
    <row r="6423" spans="27:27">
      <c r="AA6423" t="s">
        <v>8624</v>
      </c>
    </row>
    <row r="6424" spans="27:27">
      <c r="AA6424" t="s">
        <v>8625</v>
      </c>
    </row>
    <row r="6425" spans="27:27">
      <c r="AA6425" t="s">
        <v>8626</v>
      </c>
    </row>
    <row r="6426" spans="27:27">
      <c r="AA6426" t="s">
        <v>8627</v>
      </c>
    </row>
    <row r="6427" spans="27:27">
      <c r="AA6427" t="s">
        <v>8628</v>
      </c>
    </row>
    <row r="6428" spans="27:27">
      <c r="AA6428" t="s">
        <v>8629</v>
      </c>
    </row>
    <row r="6429" spans="27:27">
      <c r="AA6429" t="s">
        <v>8630</v>
      </c>
    </row>
    <row r="6430" spans="27:27">
      <c r="AA6430" t="s">
        <v>8631</v>
      </c>
    </row>
    <row r="6431" spans="27:27">
      <c r="AA6431" t="s">
        <v>8632</v>
      </c>
    </row>
    <row r="6432" spans="27:27">
      <c r="AA6432" t="s">
        <v>8633</v>
      </c>
    </row>
    <row r="6433" spans="27:27">
      <c r="AA6433" t="s">
        <v>2025</v>
      </c>
    </row>
    <row r="6434" spans="27:27">
      <c r="AA6434" t="s">
        <v>8634</v>
      </c>
    </row>
    <row r="6435" spans="27:27">
      <c r="AA6435" t="s">
        <v>8635</v>
      </c>
    </row>
    <row r="6436" spans="27:27">
      <c r="AA6436" t="s">
        <v>8636</v>
      </c>
    </row>
    <row r="6437" spans="27:27">
      <c r="AA6437" t="s">
        <v>8637</v>
      </c>
    </row>
    <row r="6438" spans="27:27">
      <c r="AA6438" t="s">
        <v>8638</v>
      </c>
    </row>
    <row r="6439" spans="27:27">
      <c r="AA6439" t="s">
        <v>8639</v>
      </c>
    </row>
    <row r="6440" spans="27:27">
      <c r="AA6440" t="s">
        <v>2026</v>
      </c>
    </row>
    <row r="6441" spans="27:27">
      <c r="AA6441" t="s">
        <v>8640</v>
      </c>
    </row>
    <row r="6442" spans="27:27">
      <c r="AA6442" t="s">
        <v>8641</v>
      </c>
    </row>
    <row r="6443" spans="27:27">
      <c r="AA6443" t="s">
        <v>8642</v>
      </c>
    </row>
    <row r="6444" spans="27:27">
      <c r="AA6444" t="s">
        <v>8643</v>
      </c>
    </row>
    <row r="6445" spans="27:27">
      <c r="AA6445" t="s">
        <v>8644</v>
      </c>
    </row>
    <row r="6446" spans="27:27">
      <c r="AA6446" t="s">
        <v>8645</v>
      </c>
    </row>
    <row r="6447" spans="27:27">
      <c r="AA6447" t="s">
        <v>8646</v>
      </c>
    </row>
    <row r="6448" spans="27:27">
      <c r="AA6448" t="s">
        <v>8647</v>
      </c>
    </row>
    <row r="6449" spans="27:27">
      <c r="AA6449" t="s">
        <v>8648</v>
      </c>
    </row>
    <row r="6450" spans="27:27">
      <c r="AA6450" t="s">
        <v>8649</v>
      </c>
    </row>
    <row r="6451" spans="27:27">
      <c r="AA6451" t="s">
        <v>2027</v>
      </c>
    </row>
    <row r="6452" spans="27:27">
      <c r="AA6452" t="s">
        <v>8650</v>
      </c>
    </row>
    <row r="6453" spans="27:27">
      <c r="AA6453" t="s">
        <v>2028</v>
      </c>
    </row>
    <row r="6454" spans="27:27">
      <c r="AA6454" t="s">
        <v>8651</v>
      </c>
    </row>
    <row r="6455" spans="27:27">
      <c r="AA6455" t="s">
        <v>8652</v>
      </c>
    </row>
    <row r="6456" spans="27:27">
      <c r="AA6456" t="s">
        <v>8653</v>
      </c>
    </row>
    <row r="6457" spans="27:27">
      <c r="AA6457" t="s">
        <v>8654</v>
      </c>
    </row>
    <row r="6458" spans="27:27">
      <c r="AA6458" t="s">
        <v>8655</v>
      </c>
    </row>
    <row r="6459" spans="27:27">
      <c r="AA6459" t="s">
        <v>8656</v>
      </c>
    </row>
    <row r="6460" spans="27:27">
      <c r="AA6460" t="s">
        <v>2029</v>
      </c>
    </row>
    <row r="6461" spans="27:27">
      <c r="AA6461" t="s">
        <v>8657</v>
      </c>
    </row>
    <row r="6462" spans="27:27">
      <c r="AA6462" t="s">
        <v>2030</v>
      </c>
    </row>
    <row r="6463" spans="27:27">
      <c r="AA6463" t="s">
        <v>8658</v>
      </c>
    </row>
    <row r="6464" spans="27:27">
      <c r="AA6464" t="s">
        <v>8659</v>
      </c>
    </row>
    <row r="6465" spans="27:27">
      <c r="AA6465" t="s">
        <v>8660</v>
      </c>
    </row>
    <row r="6466" spans="27:27">
      <c r="AA6466" t="s">
        <v>8661</v>
      </c>
    </row>
    <row r="6467" spans="27:27">
      <c r="AA6467" t="s">
        <v>8662</v>
      </c>
    </row>
    <row r="6468" spans="27:27">
      <c r="AA6468" t="s">
        <v>8663</v>
      </c>
    </row>
    <row r="6469" spans="27:27">
      <c r="AA6469" t="s">
        <v>8664</v>
      </c>
    </row>
    <row r="6470" spans="27:27">
      <c r="AA6470" t="s">
        <v>8665</v>
      </c>
    </row>
    <row r="6471" spans="27:27">
      <c r="AA6471" t="s">
        <v>8666</v>
      </c>
    </row>
    <row r="6472" spans="27:27">
      <c r="AA6472" t="s">
        <v>8667</v>
      </c>
    </row>
    <row r="6473" spans="27:27">
      <c r="AA6473" t="s">
        <v>2031</v>
      </c>
    </row>
    <row r="6474" spans="27:27">
      <c r="AA6474" t="s">
        <v>8668</v>
      </c>
    </row>
    <row r="6475" spans="27:27">
      <c r="AA6475" t="s">
        <v>8669</v>
      </c>
    </row>
    <row r="6476" spans="27:27">
      <c r="AA6476" t="s">
        <v>2032</v>
      </c>
    </row>
    <row r="6477" spans="27:27">
      <c r="AA6477" t="s">
        <v>8670</v>
      </c>
    </row>
    <row r="6478" spans="27:27">
      <c r="AA6478" t="s">
        <v>8671</v>
      </c>
    </row>
    <row r="6479" spans="27:27">
      <c r="AA6479" t="s">
        <v>8672</v>
      </c>
    </row>
    <row r="6480" spans="27:27">
      <c r="AA6480" t="s">
        <v>8673</v>
      </c>
    </row>
    <row r="6481" spans="27:27">
      <c r="AA6481" t="s">
        <v>8674</v>
      </c>
    </row>
    <row r="6482" spans="27:27">
      <c r="AA6482" t="s">
        <v>8675</v>
      </c>
    </row>
    <row r="6483" spans="27:27">
      <c r="AA6483" t="s">
        <v>2033</v>
      </c>
    </row>
    <row r="6484" spans="27:27">
      <c r="AA6484" t="s">
        <v>8676</v>
      </c>
    </row>
    <row r="6485" spans="27:27">
      <c r="AA6485" t="s">
        <v>8677</v>
      </c>
    </row>
    <row r="6486" spans="27:27">
      <c r="AA6486" t="s">
        <v>8678</v>
      </c>
    </row>
    <row r="6487" spans="27:27">
      <c r="AA6487" t="s">
        <v>8679</v>
      </c>
    </row>
    <row r="6488" spans="27:27">
      <c r="AA6488" t="s">
        <v>8680</v>
      </c>
    </row>
    <row r="6489" spans="27:27">
      <c r="AA6489" t="s">
        <v>8681</v>
      </c>
    </row>
    <row r="6490" spans="27:27">
      <c r="AA6490" t="s">
        <v>8682</v>
      </c>
    </row>
    <row r="6491" spans="27:27">
      <c r="AA6491" t="s">
        <v>8683</v>
      </c>
    </row>
    <row r="6492" spans="27:27">
      <c r="AA6492" t="s">
        <v>8684</v>
      </c>
    </row>
    <row r="6493" spans="27:27">
      <c r="AA6493" t="s">
        <v>8685</v>
      </c>
    </row>
    <row r="6494" spans="27:27">
      <c r="AA6494" t="s">
        <v>2034</v>
      </c>
    </row>
    <row r="6495" spans="27:27">
      <c r="AA6495" t="s">
        <v>8686</v>
      </c>
    </row>
    <row r="6496" spans="27:27">
      <c r="AA6496" t="s">
        <v>2035</v>
      </c>
    </row>
    <row r="6497" spans="27:27">
      <c r="AA6497" t="s">
        <v>8687</v>
      </c>
    </row>
    <row r="6498" spans="27:27">
      <c r="AA6498" t="s">
        <v>8688</v>
      </c>
    </row>
    <row r="6499" spans="27:27">
      <c r="AA6499" t="s">
        <v>8689</v>
      </c>
    </row>
    <row r="6500" spans="27:27">
      <c r="AA6500" t="s">
        <v>8690</v>
      </c>
    </row>
    <row r="6501" spans="27:27">
      <c r="AA6501" t="s">
        <v>8691</v>
      </c>
    </row>
    <row r="6502" spans="27:27">
      <c r="AA6502" t="s">
        <v>8692</v>
      </c>
    </row>
    <row r="6503" spans="27:27">
      <c r="AA6503" t="s">
        <v>2036</v>
      </c>
    </row>
    <row r="6504" spans="27:27">
      <c r="AA6504" t="s">
        <v>3757</v>
      </c>
    </row>
    <row r="6505" spans="27:27">
      <c r="AA6505" t="s">
        <v>8693</v>
      </c>
    </row>
    <row r="6506" spans="27:27">
      <c r="AA6506" t="s">
        <v>2037</v>
      </c>
    </row>
    <row r="6507" spans="27:27">
      <c r="AA6507" t="s">
        <v>8694</v>
      </c>
    </row>
    <row r="6508" spans="27:27">
      <c r="AA6508" t="s">
        <v>8695</v>
      </c>
    </row>
    <row r="6509" spans="27:27">
      <c r="AA6509" t="s">
        <v>2038</v>
      </c>
    </row>
    <row r="6510" spans="27:27">
      <c r="AA6510" t="s">
        <v>3758</v>
      </c>
    </row>
    <row r="6511" spans="27:27">
      <c r="AA6511" t="s">
        <v>2039</v>
      </c>
    </row>
    <row r="6512" spans="27:27">
      <c r="AA6512" t="s">
        <v>3759</v>
      </c>
    </row>
    <row r="6513" spans="27:27">
      <c r="AA6513" t="s">
        <v>8696</v>
      </c>
    </row>
    <row r="6514" spans="27:27">
      <c r="AA6514" t="s">
        <v>8697</v>
      </c>
    </row>
    <row r="6515" spans="27:27">
      <c r="AA6515" t="s">
        <v>8698</v>
      </c>
    </row>
    <row r="6516" spans="27:27">
      <c r="AA6516" t="s">
        <v>8699</v>
      </c>
    </row>
    <row r="6517" spans="27:27">
      <c r="AA6517" t="s">
        <v>8700</v>
      </c>
    </row>
    <row r="6518" spans="27:27">
      <c r="AA6518" t="s">
        <v>2040</v>
      </c>
    </row>
    <row r="6519" spans="27:27">
      <c r="AA6519" t="s">
        <v>3760</v>
      </c>
    </row>
    <row r="6520" spans="27:27">
      <c r="AA6520" t="s">
        <v>2041</v>
      </c>
    </row>
    <row r="6521" spans="27:27">
      <c r="AA6521" t="s">
        <v>8701</v>
      </c>
    </row>
    <row r="6522" spans="27:27">
      <c r="AA6522" t="s">
        <v>2042</v>
      </c>
    </row>
    <row r="6523" spans="27:27">
      <c r="AA6523" t="s">
        <v>8702</v>
      </c>
    </row>
    <row r="6524" spans="27:27">
      <c r="AA6524" t="s">
        <v>8703</v>
      </c>
    </row>
    <row r="6525" spans="27:27">
      <c r="AA6525" t="s">
        <v>8704</v>
      </c>
    </row>
    <row r="6526" spans="27:27">
      <c r="AA6526" t="s">
        <v>2043</v>
      </c>
    </row>
    <row r="6527" spans="27:27">
      <c r="AA6527" t="s">
        <v>3761</v>
      </c>
    </row>
    <row r="6528" spans="27:27">
      <c r="AA6528" t="s">
        <v>2044</v>
      </c>
    </row>
    <row r="6529" spans="27:27">
      <c r="AA6529" t="s">
        <v>3762</v>
      </c>
    </row>
    <row r="6530" spans="27:27">
      <c r="AA6530" t="s">
        <v>2045</v>
      </c>
    </row>
    <row r="6531" spans="27:27">
      <c r="AA6531" t="s">
        <v>8705</v>
      </c>
    </row>
    <row r="6532" spans="27:27">
      <c r="AA6532" t="s">
        <v>8706</v>
      </c>
    </row>
    <row r="6533" spans="27:27">
      <c r="AA6533" t="s">
        <v>8707</v>
      </c>
    </row>
    <row r="6534" spans="27:27">
      <c r="AA6534" t="s">
        <v>8708</v>
      </c>
    </row>
    <row r="6535" spans="27:27">
      <c r="AA6535" t="s">
        <v>8709</v>
      </c>
    </row>
    <row r="6536" spans="27:27">
      <c r="AA6536" t="s">
        <v>8710</v>
      </c>
    </row>
    <row r="6537" spans="27:27">
      <c r="AA6537" t="s">
        <v>8711</v>
      </c>
    </row>
    <row r="6538" spans="27:27">
      <c r="AA6538" t="s">
        <v>8712</v>
      </c>
    </row>
    <row r="6539" spans="27:27">
      <c r="AA6539" t="s">
        <v>8713</v>
      </c>
    </row>
    <row r="6540" spans="27:27">
      <c r="AA6540" t="s">
        <v>8714</v>
      </c>
    </row>
    <row r="6541" spans="27:27">
      <c r="AA6541" t="s">
        <v>8715</v>
      </c>
    </row>
    <row r="6542" spans="27:27">
      <c r="AA6542" t="s">
        <v>8716</v>
      </c>
    </row>
    <row r="6543" spans="27:27">
      <c r="AA6543" t="s">
        <v>8717</v>
      </c>
    </row>
    <row r="6544" spans="27:27">
      <c r="AA6544" t="s">
        <v>8718</v>
      </c>
    </row>
    <row r="6545" spans="27:27">
      <c r="AA6545" t="s">
        <v>8719</v>
      </c>
    </row>
    <row r="6546" spans="27:27">
      <c r="AA6546" t="s">
        <v>8720</v>
      </c>
    </row>
    <row r="6547" spans="27:27">
      <c r="AA6547" t="s">
        <v>8721</v>
      </c>
    </row>
    <row r="6548" spans="27:27">
      <c r="AA6548" t="s">
        <v>8722</v>
      </c>
    </row>
    <row r="6549" spans="27:27">
      <c r="AA6549" t="s">
        <v>8723</v>
      </c>
    </row>
    <row r="6550" spans="27:27">
      <c r="AA6550" t="s">
        <v>8724</v>
      </c>
    </row>
    <row r="6551" spans="27:27">
      <c r="AA6551" t="s">
        <v>2046</v>
      </c>
    </row>
    <row r="6552" spans="27:27">
      <c r="AA6552" t="s">
        <v>8725</v>
      </c>
    </row>
    <row r="6553" spans="27:27">
      <c r="AA6553" t="s">
        <v>8726</v>
      </c>
    </row>
    <row r="6554" spans="27:27">
      <c r="AA6554" t="s">
        <v>2047</v>
      </c>
    </row>
    <row r="6555" spans="27:27">
      <c r="AA6555" t="s">
        <v>8727</v>
      </c>
    </row>
    <row r="6556" spans="27:27">
      <c r="AA6556" t="s">
        <v>8728</v>
      </c>
    </row>
    <row r="6557" spans="27:27">
      <c r="AA6557" t="s">
        <v>8729</v>
      </c>
    </row>
    <row r="6558" spans="27:27">
      <c r="AA6558" t="s">
        <v>8730</v>
      </c>
    </row>
    <row r="6559" spans="27:27">
      <c r="AA6559" t="s">
        <v>2048</v>
      </c>
    </row>
    <row r="6560" spans="27:27">
      <c r="AA6560" t="s">
        <v>8731</v>
      </c>
    </row>
    <row r="6561" spans="27:27">
      <c r="AA6561" t="s">
        <v>8732</v>
      </c>
    </row>
    <row r="6562" spans="27:27">
      <c r="AA6562" t="s">
        <v>2049</v>
      </c>
    </row>
    <row r="6563" spans="27:27">
      <c r="AA6563" t="s">
        <v>8733</v>
      </c>
    </row>
    <row r="6564" spans="27:27">
      <c r="AA6564" t="s">
        <v>8734</v>
      </c>
    </row>
    <row r="6565" spans="27:27">
      <c r="AA6565" t="s">
        <v>8735</v>
      </c>
    </row>
    <row r="6566" spans="27:27">
      <c r="AA6566" t="s">
        <v>8736</v>
      </c>
    </row>
    <row r="6567" spans="27:27">
      <c r="AA6567" t="s">
        <v>8737</v>
      </c>
    </row>
    <row r="6568" spans="27:27">
      <c r="AA6568" t="s">
        <v>8738</v>
      </c>
    </row>
    <row r="6569" spans="27:27">
      <c r="AA6569" t="s">
        <v>2050</v>
      </c>
    </row>
    <row r="6570" spans="27:27">
      <c r="AA6570" t="s">
        <v>8739</v>
      </c>
    </row>
    <row r="6571" spans="27:27">
      <c r="AA6571" t="s">
        <v>8740</v>
      </c>
    </row>
    <row r="6572" spans="27:27">
      <c r="AA6572" t="s">
        <v>8741</v>
      </c>
    </row>
    <row r="6573" spans="27:27">
      <c r="AA6573" t="s">
        <v>8742</v>
      </c>
    </row>
    <row r="6574" spans="27:27">
      <c r="AA6574" t="s">
        <v>8743</v>
      </c>
    </row>
    <row r="6575" spans="27:27">
      <c r="AA6575" t="s">
        <v>2051</v>
      </c>
    </row>
    <row r="6576" spans="27:27">
      <c r="AA6576" t="s">
        <v>8744</v>
      </c>
    </row>
    <row r="6577" spans="27:27">
      <c r="AA6577" t="s">
        <v>8745</v>
      </c>
    </row>
    <row r="6578" spans="27:27">
      <c r="AA6578" t="s">
        <v>8746</v>
      </c>
    </row>
    <row r="6579" spans="27:27">
      <c r="AA6579" t="s">
        <v>8747</v>
      </c>
    </row>
    <row r="6580" spans="27:27">
      <c r="AA6580" t="s">
        <v>8748</v>
      </c>
    </row>
    <row r="6581" spans="27:27">
      <c r="AA6581" t="s">
        <v>8749</v>
      </c>
    </row>
    <row r="6582" spans="27:27">
      <c r="AA6582" t="s">
        <v>8750</v>
      </c>
    </row>
    <row r="6583" spans="27:27">
      <c r="AA6583" t="s">
        <v>8751</v>
      </c>
    </row>
    <row r="6584" spans="27:27">
      <c r="AA6584" t="s">
        <v>8752</v>
      </c>
    </row>
    <row r="6585" spans="27:27">
      <c r="AA6585" t="s">
        <v>8753</v>
      </c>
    </row>
    <row r="6586" spans="27:27">
      <c r="AA6586" t="s">
        <v>2052</v>
      </c>
    </row>
    <row r="6587" spans="27:27">
      <c r="AA6587" t="s">
        <v>8754</v>
      </c>
    </row>
    <row r="6588" spans="27:27">
      <c r="AA6588" t="s">
        <v>8755</v>
      </c>
    </row>
    <row r="6589" spans="27:27">
      <c r="AA6589" t="s">
        <v>8756</v>
      </c>
    </row>
    <row r="6590" spans="27:27">
      <c r="AA6590" t="s">
        <v>8757</v>
      </c>
    </row>
    <row r="6591" spans="27:27">
      <c r="AA6591" t="s">
        <v>2053</v>
      </c>
    </row>
    <row r="6592" spans="27:27">
      <c r="AA6592" t="s">
        <v>8758</v>
      </c>
    </row>
    <row r="6593" spans="27:27">
      <c r="AA6593" t="s">
        <v>2054</v>
      </c>
    </row>
    <row r="6594" spans="27:27">
      <c r="AA6594" t="s">
        <v>8759</v>
      </c>
    </row>
    <row r="6595" spans="27:27">
      <c r="AA6595" t="s">
        <v>8760</v>
      </c>
    </row>
    <row r="6596" spans="27:27">
      <c r="AA6596" t="s">
        <v>3763</v>
      </c>
    </row>
    <row r="6597" spans="27:27">
      <c r="AA6597" t="s">
        <v>8761</v>
      </c>
    </row>
    <row r="6598" spans="27:27">
      <c r="AA6598" t="s">
        <v>8762</v>
      </c>
    </row>
    <row r="6599" spans="27:27">
      <c r="AA6599" t="s">
        <v>8763</v>
      </c>
    </row>
    <row r="6600" spans="27:27">
      <c r="AA6600" t="s">
        <v>2055</v>
      </c>
    </row>
    <row r="6601" spans="27:27">
      <c r="AA6601" t="s">
        <v>3764</v>
      </c>
    </row>
    <row r="6602" spans="27:27">
      <c r="AA6602" t="s">
        <v>8764</v>
      </c>
    </row>
    <row r="6603" spans="27:27">
      <c r="AA6603" t="s">
        <v>8765</v>
      </c>
    </row>
    <row r="6604" spans="27:27">
      <c r="AA6604" t="s">
        <v>8766</v>
      </c>
    </row>
    <row r="6605" spans="27:27">
      <c r="AA6605" t="s">
        <v>8767</v>
      </c>
    </row>
    <row r="6606" spans="27:27">
      <c r="AA6606" t="s">
        <v>2056</v>
      </c>
    </row>
    <row r="6607" spans="27:27">
      <c r="AA6607" t="s">
        <v>8768</v>
      </c>
    </row>
    <row r="6608" spans="27:27">
      <c r="AA6608" t="s">
        <v>8769</v>
      </c>
    </row>
    <row r="6609" spans="27:27">
      <c r="AA6609" t="s">
        <v>8770</v>
      </c>
    </row>
    <row r="6610" spans="27:27">
      <c r="AA6610" t="s">
        <v>2057</v>
      </c>
    </row>
    <row r="6611" spans="27:27">
      <c r="AA6611" t="s">
        <v>3765</v>
      </c>
    </row>
    <row r="6612" spans="27:27">
      <c r="AA6612" t="s">
        <v>2058</v>
      </c>
    </row>
    <row r="6613" spans="27:27">
      <c r="AA6613" t="s">
        <v>3766</v>
      </c>
    </row>
    <row r="6614" spans="27:27">
      <c r="AA6614" t="s">
        <v>8771</v>
      </c>
    </row>
    <row r="6615" spans="27:27">
      <c r="AA6615" t="s">
        <v>8772</v>
      </c>
    </row>
    <row r="6616" spans="27:27">
      <c r="AA6616" t="s">
        <v>8773</v>
      </c>
    </row>
    <row r="6617" spans="27:27">
      <c r="AA6617" t="s">
        <v>8774</v>
      </c>
    </row>
    <row r="6618" spans="27:27">
      <c r="AA6618" t="s">
        <v>2059</v>
      </c>
    </row>
    <row r="6619" spans="27:27">
      <c r="AA6619" t="s">
        <v>8775</v>
      </c>
    </row>
    <row r="6620" spans="27:27">
      <c r="AA6620" t="s">
        <v>8776</v>
      </c>
    </row>
    <row r="6621" spans="27:27">
      <c r="AA6621" t="s">
        <v>8777</v>
      </c>
    </row>
    <row r="6622" spans="27:27">
      <c r="AA6622" t="s">
        <v>8778</v>
      </c>
    </row>
    <row r="6623" spans="27:27">
      <c r="AA6623" t="s">
        <v>8779</v>
      </c>
    </row>
    <row r="6624" spans="27:27">
      <c r="AA6624" t="s">
        <v>8780</v>
      </c>
    </row>
    <row r="6625" spans="27:27">
      <c r="AA6625" t="s">
        <v>8781</v>
      </c>
    </row>
    <row r="6626" spans="27:27">
      <c r="AA6626" t="s">
        <v>2060</v>
      </c>
    </row>
    <row r="6627" spans="27:27">
      <c r="AA6627" t="s">
        <v>3767</v>
      </c>
    </row>
    <row r="6628" spans="27:27">
      <c r="AA6628" t="s">
        <v>2061</v>
      </c>
    </row>
    <row r="6629" spans="27:27">
      <c r="AA6629" t="s">
        <v>3768</v>
      </c>
    </row>
    <row r="6630" spans="27:27">
      <c r="AA6630" t="s">
        <v>8782</v>
      </c>
    </row>
    <row r="6631" spans="27:27">
      <c r="AA6631" t="s">
        <v>8783</v>
      </c>
    </row>
    <row r="6632" spans="27:27">
      <c r="AA6632" t="s">
        <v>2062</v>
      </c>
    </row>
    <row r="6633" spans="27:27">
      <c r="AA6633" t="s">
        <v>3769</v>
      </c>
    </row>
    <row r="6634" spans="27:27">
      <c r="AA6634" t="s">
        <v>8784</v>
      </c>
    </row>
    <row r="6635" spans="27:27">
      <c r="AA6635" t="s">
        <v>8785</v>
      </c>
    </row>
    <row r="6636" spans="27:27">
      <c r="AA6636" t="s">
        <v>8786</v>
      </c>
    </row>
    <row r="6637" spans="27:27">
      <c r="AA6637" t="s">
        <v>8787</v>
      </c>
    </row>
    <row r="6638" spans="27:27">
      <c r="AA6638" t="s">
        <v>8788</v>
      </c>
    </row>
    <row r="6639" spans="27:27">
      <c r="AA6639" t="s">
        <v>8789</v>
      </c>
    </row>
    <row r="6640" spans="27:27">
      <c r="AA6640" t="s">
        <v>8790</v>
      </c>
    </row>
    <row r="6641" spans="27:27">
      <c r="AA6641" t="s">
        <v>8791</v>
      </c>
    </row>
    <row r="6642" spans="27:27">
      <c r="AA6642" t="s">
        <v>8792</v>
      </c>
    </row>
    <row r="6643" spans="27:27">
      <c r="AA6643" t="s">
        <v>8793</v>
      </c>
    </row>
    <row r="6644" spans="27:27">
      <c r="AA6644" t="s">
        <v>8794</v>
      </c>
    </row>
    <row r="6645" spans="27:27">
      <c r="AA6645" t="s">
        <v>8795</v>
      </c>
    </row>
    <row r="6646" spans="27:27">
      <c r="AA6646" t="s">
        <v>2063</v>
      </c>
    </row>
    <row r="6647" spans="27:27">
      <c r="AA6647" t="s">
        <v>8796</v>
      </c>
    </row>
    <row r="6648" spans="27:27">
      <c r="AA6648" t="s">
        <v>2064</v>
      </c>
    </row>
    <row r="6649" spans="27:27">
      <c r="AA6649" t="s">
        <v>8797</v>
      </c>
    </row>
    <row r="6650" spans="27:27">
      <c r="AA6650" t="s">
        <v>8798</v>
      </c>
    </row>
    <row r="6651" spans="27:27">
      <c r="AA6651" t="s">
        <v>2065</v>
      </c>
    </row>
    <row r="6652" spans="27:27">
      <c r="AA6652" t="s">
        <v>3770</v>
      </c>
    </row>
    <row r="6653" spans="27:27">
      <c r="AA6653" t="s">
        <v>2066</v>
      </c>
    </row>
    <row r="6654" spans="27:27">
      <c r="AA6654" t="s">
        <v>3771</v>
      </c>
    </row>
    <row r="6655" spans="27:27">
      <c r="AA6655" t="s">
        <v>8799</v>
      </c>
    </row>
    <row r="6656" spans="27:27">
      <c r="AA6656" t="s">
        <v>2067</v>
      </c>
    </row>
    <row r="6657" spans="27:27">
      <c r="AA6657" t="s">
        <v>8800</v>
      </c>
    </row>
    <row r="6658" spans="27:27">
      <c r="AA6658" t="s">
        <v>2068</v>
      </c>
    </row>
    <row r="6659" spans="27:27">
      <c r="AA6659" t="s">
        <v>8801</v>
      </c>
    </row>
    <row r="6660" spans="27:27">
      <c r="AA6660" t="s">
        <v>2069</v>
      </c>
    </row>
    <row r="6661" spans="27:27">
      <c r="AA6661" t="s">
        <v>8802</v>
      </c>
    </row>
    <row r="6662" spans="27:27">
      <c r="AA6662" t="s">
        <v>2070</v>
      </c>
    </row>
    <row r="6663" spans="27:27">
      <c r="AA6663" t="s">
        <v>8803</v>
      </c>
    </row>
    <row r="6664" spans="27:27">
      <c r="AA6664" t="s">
        <v>8804</v>
      </c>
    </row>
    <row r="6665" spans="27:27">
      <c r="AA6665" t="s">
        <v>2071</v>
      </c>
    </row>
    <row r="6666" spans="27:27">
      <c r="AA6666" t="s">
        <v>8805</v>
      </c>
    </row>
    <row r="6667" spans="27:27">
      <c r="AA6667" t="s">
        <v>8806</v>
      </c>
    </row>
    <row r="6668" spans="27:27">
      <c r="AA6668" t="s">
        <v>8807</v>
      </c>
    </row>
    <row r="6669" spans="27:27">
      <c r="AA6669" t="s">
        <v>8808</v>
      </c>
    </row>
    <row r="6670" spans="27:27">
      <c r="AA6670" t="s">
        <v>8809</v>
      </c>
    </row>
    <row r="6671" spans="27:27">
      <c r="AA6671" t="s">
        <v>8810</v>
      </c>
    </row>
    <row r="6672" spans="27:27">
      <c r="AA6672" t="s">
        <v>8811</v>
      </c>
    </row>
    <row r="6673" spans="27:27">
      <c r="AA6673" t="s">
        <v>8812</v>
      </c>
    </row>
    <row r="6674" spans="27:27">
      <c r="AA6674" t="s">
        <v>8813</v>
      </c>
    </row>
    <row r="6675" spans="27:27">
      <c r="AA6675" t="s">
        <v>8814</v>
      </c>
    </row>
    <row r="6676" spans="27:27">
      <c r="AA6676" t="s">
        <v>8815</v>
      </c>
    </row>
    <row r="6677" spans="27:27">
      <c r="AA6677" t="s">
        <v>2072</v>
      </c>
    </row>
    <row r="6678" spans="27:27">
      <c r="AA6678" t="s">
        <v>8816</v>
      </c>
    </row>
    <row r="6679" spans="27:27">
      <c r="AA6679" t="s">
        <v>8817</v>
      </c>
    </row>
    <row r="6680" spans="27:27">
      <c r="AA6680" t="s">
        <v>8818</v>
      </c>
    </row>
    <row r="6681" spans="27:27">
      <c r="AA6681" t="s">
        <v>2073</v>
      </c>
    </row>
    <row r="6682" spans="27:27">
      <c r="AA6682" t="s">
        <v>8819</v>
      </c>
    </row>
    <row r="6683" spans="27:27">
      <c r="AA6683" t="s">
        <v>8820</v>
      </c>
    </row>
    <row r="6684" spans="27:27">
      <c r="AA6684" t="s">
        <v>8821</v>
      </c>
    </row>
    <row r="6685" spans="27:27">
      <c r="AA6685" t="s">
        <v>2074</v>
      </c>
    </row>
    <row r="6686" spans="27:27">
      <c r="AA6686" t="s">
        <v>8822</v>
      </c>
    </row>
    <row r="6687" spans="27:27">
      <c r="AA6687" t="s">
        <v>2075</v>
      </c>
    </row>
    <row r="6688" spans="27:27">
      <c r="AA6688" t="s">
        <v>8823</v>
      </c>
    </row>
    <row r="6689" spans="27:27">
      <c r="AA6689" t="s">
        <v>8824</v>
      </c>
    </row>
    <row r="6690" spans="27:27">
      <c r="AA6690" t="s">
        <v>2076</v>
      </c>
    </row>
    <row r="6691" spans="27:27">
      <c r="AA6691" t="s">
        <v>8825</v>
      </c>
    </row>
    <row r="6692" spans="27:27">
      <c r="AA6692" t="s">
        <v>8826</v>
      </c>
    </row>
    <row r="6693" spans="27:27">
      <c r="AA6693" t="s">
        <v>8827</v>
      </c>
    </row>
    <row r="6694" spans="27:27">
      <c r="AA6694" t="s">
        <v>8828</v>
      </c>
    </row>
    <row r="6695" spans="27:27">
      <c r="AA6695" t="s">
        <v>8829</v>
      </c>
    </row>
    <row r="6696" spans="27:27">
      <c r="AA6696" t="s">
        <v>8830</v>
      </c>
    </row>
    <row r="6697" spans="27:27">
      <c r="AA6697" t="s">
        <v>8831</v>
      </c>
    </row>
    <row r="6698" spans="27:27">
      <c r="AA6698" t="s">
        <v>8832</v>
      </c>
    </row>
    <row r="6699" spans="27:27">
      <c r="AA6699" t="s">
        <v>8833</v>
      </c>
    </row>
    <row r="6700" spans="27:27">
      <c r="AA6700" t="s">
        <v>8834</v>
      </c>
    </row>
    <row r="6701" spans="27:27">
      <c r="AA6701" t="s">
        <v>8835</v>
      </c>
    </row>
    <row r="6702" spans="27:27">
      <c r="AA6702" t="s">
        <v>8836</v>
      </c>
    </row>
    <row r="6703" spans="27:27">
      <c r="AA6703" t="s">
        <v>8837</v>
      </c>
    </row>
    <row r="6704" spans="27:27">
      <c r="AA6704" t="s">
        <v>8838</v>
      </c>
    </row>
    <row r="6705" spans="27:27">
      <c r="AA6705" t="s">
        <v>2077</v>
      </c>
    </row>
    <row r="6706" spans="27:27">
      <c r="AA6706" t="s">
        <v>8839</v>
      </c>
    </row>
    <row r="6707" spans="27:27">
      <c r="AA6707" t="s">
        <v>8840</v>
      </c>
    </row>
    <row r="6708" spans="27:27">
      <c r="AA6708" t="s">
        <v>8841</v>
      </c>
    </row>
    <row r="6709" spans="27:27">
      <c r="AA6709" t="s">
        <v>2078</v>
      </c>
    </row>
    <row r="6710" spans="27:27">
      <c r="AA6710" t="s">
        <v>8842</v>
      </c>
    </row>
    <row r="6711" spans="27:27">
      <c r="AA6711" t="s">
        <v>8843</v>
      </c>
    </row>
    <row r="6712" spans="27:27">
      <c r="AA6712" t="s">
        <v>2079</v>
      </c>
    </row>
    <row r="6713" spans="27:27">
      <c r="AA6713" t="s">
        <v>8844</v>
      </c>
    </row>
    <row r="6714" spans="27:27">
      <c r="AA6714" t="s">
        <v>8845</v>
      </c>
    </row>
    <row r="6715" spans="27:27">
      <c r="AA6715" t="s">
        <v>8846</v>
      </c>
    </row>
    <row r="6716" spans="27:27">
      <c r="AA6716" t="s">
        <v>8847</v>
      </c>
    </row>
    <row r="6717" spans="27:27">
      <c r="AA6717" t="s">
        <v>2080</v>
      </c>
    </row>
    <row r="6718" spans="27:27">
      <c r="AA6718" t="s">
        <v>8848</v>
      </c>
    </row>
    <row r="6719" spans="27:27">
      <c r="AA6719" t="s">
        <v>8849</v>
      </c>
    </row>
    <row r="6720" spans="27:27">
      <c r="AA6720" t="s">
        <v>8850</v>
      </c>
    </row>
    <row r="6721" spans="27:27">
      <c r="AA6721" t="s">
        <v>8851</v>
      </c>
    </row>
    <row r="6722" spans="27:27">
      <c r="AA6722" t="s">
        <v>8852</v>
      </c>
    </row>
    <row r="6723" spans="27:27">
      <c r="AA6723" t="s">
        <v>8853</v>
      </c>
    </row>
    <row r="6724" spans="27:27">
      <c r="AA6724" t="s">
        <v>8854</v>
      </c>
    </row>
    <row r="6725" spans="27:27">
      <c r="AA6725" t="s">
        <v>8855</v>
      </c>
    </row>
    <row r="6726" spans="27:27">
      <c r="AA6726" t="s">
        <v>8856</v>
      </c>
    </row>
    <row r="6727" spans="27:27">
      <c r="AA6727" t="s">
        <v>8857</v>
      </c>
    </row>
    <row r="6728" spans="27:27">
      <c r="AA6728" t="s">
        <v>8858</v>
      </c>
    </row>
    <row r="6729" spans="27:27">
      <c r="AA6729" t="s">
        <v>8859</v>
      </c>
    </row>
    <row r="6730" spans="27:27">
      <c r="AA6730" t="s">
        <v>8860</v>
      </c>
    </row>
    <row r="6731" spans="27:27">
      <c r="AA6731" t="s">
        <v>8861</v>
      </c>
    </row>
    <row r="6732" spans="27:27">
      <c r="AA6732" t="s">
        <v>2081</v>
      </c>
    </row>
    <row r="6733" spans="27:27">
      <c r="AA6733" t="s">
        <v>8862</v>
      </c>
    </row>
    <row r="6734" spans="27:27">
      <c r="AA6734" t="s">
        <v>2082</v>
      </c>
    </row>
    <row r="6735" spans="27:27">
      <c r="AA6735" t="s">
        <v>3772</v>
      </c>
    </row>
    <row r="6736" spans="27:27">
      <c r="AA6736" t="s">
        <v>2083</v>
      </c>
    </row>
    <row r="6737" spans="27:27">
      <c r="AA6737" t="s">
        <v>8863</v>
      </c>
    </row>
    <row r="6738" spans="27:27">
      <c r="AA6738" t="s">
        <v>8864</v>
      </c>
    </row>
    <row r="6739" spans="27:27">
      <c r="AA6739" t="s">
        <v>2084</v>
      </c>
    </row>
    <row r="6740" spans="27:27">
      <c r="AA6740" t="s">
        <v>8865</v>
      </c>
    </row>
    <row r="6741" spans="27:27">
      <c r="AA6741" t="s">
        <v>8866</v>
      </c>
    </row>
    <row r="6742" spans="27:27">
      <c r="AA6742" t="s">
        <v>8867</v>
      </c>
    </row>
    <row r="6743" spans="27:27">
      <c r="AA6743" t="s">
        <v>8868</v>
      </c>
    </row>
    <row r="6744" spans="27:27">
      <c r="AA6744" t="s">
        <v>8869</v>
      </c>
    </row>
    <row r="6745" spans="27:27">
      <c r="AA6745" t="s">
        <v>8870</v>
      </c>
    </row>
    <row r="6746" spans="27:27">
      <c r="AA6746" t="s">
        <v>8871</v>
      </c>
    </row>
    <row r="6747" spans="27:27">
      <c r="AA6747" t="s">
        <v>8872</v>
      </c>
    </row>
    <row r="6748" spans="27:27">
      <c r="AA6748" t="s">
        <v>2085</v>
      </c>
    </row>
    <row r="6749" spans="27:27">
      <c r="AA6749" t="s">
        <v>8873</v>
      </c>
    </row>
    <row r="6750" spans="27:27">
      <c r="AA6750" t="s">
        <v>2086</v>
      </c>
    </row>
    <row r="6751" spans="27:27">
      <c r="AA6751" t="s">
        <v>8874</v>
      </c>
    </row>
    <row r="6752" spans="27:27">
      <c r="AA6752" t="s">
        <v>8875</v>
      </c>
    </row>
    <row r="6753" spans="27:27">
      <c r="AA6753" t="s">
        <v>8876</v>
      </c>
    </row>
    <row r="6754" spans="27:27">
      <c r="AA6754" t="s">
        <v>2087</v>
      </c>
    </row>
    <row r="6755" spans="27:27">
      <c r="AA6755" t="s">
        <v>8877</v>
      </c>
    </row>
    <row r="6756" spans="27:27">
      <c r="AA6756" t="s">
        <v>8878</v>
      </c>
    </row>
    <row r="6757" spans="27:27">
      <c r="AA6757" t="s">
        <v>8879</v>
      </c>
    </row>
    <row r="6758" spans="27:27">
      <c r="AA6758" t="s">
        <v>8880</v>
      </c>
    </row>
    <row r="6759" spans="27:27">
      <c r="AA6759" t="s">
        <v>8881</v>
      </c>
    </row>
    <row r="6760" spans="27:27">
      <c r="AA6760" t="s">
        <v>8882</v>
      </c>
    </row>
    <row r="6761" spans="27:27">
      <c r="AA6761" t="s">
        <v>8883</v>
      </c>
    </row>
    <row r="6762" spans="27:27">
      <c r="AA6762" t="s">
        <v>8884</v>
      </c>
    </row>
    <row r="6763" spans="27:27">
      <c r="AA6763" t="s">
        <v>8885</v>
      </c>
    </row>
    <row r="6764" spans="27:27">
      <c r="AA6764" t="s">
        <v>8886</v>
      </c>
    </row>
    <row r="6765" spans="27:27">
      <c r="AA6765" t="s">
        <v>8887</v>
      </c>
    </row>
    <row r="6766" spans="27:27">
      <c r="AA6766" t="s">
        <v>2088</v>
      </c>
    </row>
    <row r="6767" spans="27:27">
      <c r="AA6767" t="s">
        <v>8888</v>
      </c>
    </row>
    <row r="6768" spans="27:27">
      <c r="AA6768" t="s">
        <v>2089</v>
      </c>
    </row>
    <row r="6769" spans="27:27">
      <c r="AA6769" t="s">
        <v>8889</v>
      </c>
    </row>
    <row r="6770" spans="27:27">
      <c r="AA6770" t="s">
        <v>8890</v>
      </c>
    </row>
    <row r="6771" spans="27:27">
      <c r="AA6771" t="s">
        <v>8891</v>
      </c>
    </row>
    <row r="6772" spans="27:27">
      <c r="AA6772" t="s">
        <v>2090</v>
      </c>
    </row>
    <row r="6773" spans="27:27">
      <c r="AA6773" t="s">
        <v>8892</v>
      </c>
    </row>
    <row r="6774" spans="27:27">
      <c r="AA6774" t="s">
        <v>8893</v>
      </c>
    </row>
    <row r="6775" spans="27:27">
      <c r="AA6775" t="s">
        <v>8894</v>
      </c>
    </row>
    <row r="6776" spans="27:27">
      <c r="AA6776" t="s">
        <v>8895</v>
      </c>
    </row>
    <row r="6777" spans="27:27">
      <c r="AA6777" t="s">
        <v>8896</v>
      </c>
    </row>
    <row r="6778" spans="27:27">
      <c r="AA6778" t="s">
        <v>2091</v>
      </c>
    </row>
    <row r="6779" spans="27:27">
      <c r="AA6779" t="s">
        <v>3773</v>
      </c>
    </row>
    <row r="6780" spans="27:27">
      <c r="AA6780" t="s">
        <v>8897</v>
      </c>
    </row>
    <row r="6781" spans="27:27">
      <c r="AA6781" t="s">
        <v>8898</v>
      </c>
    </row>
    <row r="6782" spans="27:27">
      <c r="AA6782" t="s">
        <v>3774</v>
      </c>
    </row>
    <row r="6783" spans="27:27">
      <c r="AA6783" t="s">
        <v>8899</v>
      </c>
    </row>
    <row r="6784" spans="27:27">
      <c r="AA6784" t="s">
        <v>3775</v>
      </c>
    </row>
    <row r="6785" spans="27:27">
      <c r="AA6785" t="s">
        <v>8900</v>
      </c>
    </row>
    <row r="6786" spans="27:27">
      <c r="AA6786" t="s">
        <v>8901</v>
      </c>
    </row>
    <row r="6787" spans="27:27">
      <c r="AA6787" t="s">
        <v>8902</v>
      </c>
    </row>
    <row r="6788" spans="27:27">
      <c r="AA6788" t="s">
        <v>2092</v>
      </c>
    </row>
    <row r="6789" spans="27:27">
      <c r="AA6789" t="s">
        <v>8903</v>
      </c>
    </row>
    <row r="6790" spans="27:27">
      <c r="AA6790" t="s">
        <v>8904</v>
      </c>
    </row>
    <row r="6791" spans="27:27">
      <c r="AA6791" t="s">
        <v>8905</v>
      </c>
    </row>
    <row r="6792" spans="27:27">
      <c r="AA6792" t="s">
        <v>8906</v>
      </c>
    </row>
    <row r="6793" spans="27:27">
      <c r="AA6793" t="s">
        <v>8907</v>
      </c>
    </row>
    <row r="6794" spans="27:27">
      <c r="AA6794" t="s">
        <v>8908</v>
      </c>
    </row>
    <row r="6795" spans="27:27">
      <c r="AA6795" t="s">
        <v>8909</v>
      </c>
    </row>
    <row r="6796" spans="27:27">
      <c r="AA6796" t="s">
        <v>8910</v>
      </c>
    </row>
    <row r="6797" spans="27:27">
      <c r="AA6797" t="s">
        <v>8911</v>
      </c>
    </row>
    <row r="6798" spans="27:27">
      <c r="AA6798" t="s">
        <v>2093</v>
      </c>
    </row>
    <row r="6799" spans="27:27">
      <c r="AA6799" t="s">
        <v>8912</v>
      </c>
    </row>
    <row r="6800" spans="27:27">
      <c r="AA6800" t="s">
        <v>8913</v>
      </c>
    </row>
    <row r="6801" spans="27:27">
      <c r="AA6801" t="s">
        <v>8914</v>
      </c>
    </row>
    <row r="6802" spans="27:27">
      <c r="AA6802" t="s">
        <v>8915</v>
      </c>
    </row>
    <row r="6803" spans="27:27">
      <c r="AA6803" t="s">
        <v>8916</v>
      </c>
    </row>
    <row r="6804" spans="27:27">
      <c r="AA6804" t="s">
        <v>8917</v>
      </c>
    </row>
    <row r="6805" spans="27:27">
      <c r="AA6805" t="s">
        <v>2094</v>
      </c>
    </row>
    <row r="6806" spans="27:27">
      <c r="AA6806" t="s">
        <v>8918</v>
      </c>
    </row>
    <row r="6807" spans="27:27">
      <c r="AA6807" t="s">
        <v>8919</v>
      </c>
    </row>
    <row r="6808" spans="27:27">
      <c r="AA6808" t="s">
        <v>8920</v>
      </c>
    </row>
    <row r="6809" spans="27:27">
      <c r="AA6809" t="s">
        <v>8921</v>
      </c>
    </row>
    <row r="6810" spans="27:27">
      <c r="AA6810" t="s">
        <v>8922</v>
      </c>
    </row>
    <row r="6811" spans="27:27">
      <c r="AA6811" t="s">
        <v>8923</v>
      </c>
    </row>
    <row r="6812" spans="27:27">
      <c r="AA6812" t="s">
        <v>8924</v>
      </c>
    </row>
    <row r="6813" spans="27:27">
      <c r="AA6813" t="s">
        <v>8925</v>
      </c>
    </row>
    <row r="6814" spans="27:27">
      <c r="AA6814" t="s">
        <v>8926</v>
      </c>
    </row>
    <row r="6815" spans="27:27">
      <c r="AA6815" t="s">
        <v>2095</v>
      </c>
    </row>
    <row r="6816" spans="27:27">
      <c r="AA6816" t="s">
        <v>8927</v>
      </c>
    </row>
    <row r="6817" spans="27:27">
      <c r="AA6817" t="s">
        <v>8928</v>
      </c>
    </row>
    <row r="6818" spans="27:27">
      <c r="AA6818" t="s">
        <v>8929</v>
      </c>
    </row>
    <row r="6819" spans="27:27">
      <c r="AA6819" t="s">
        <v>8930</v>
      </c>
    </row>
    <row r="6820" spans="27:27">
      <c r="AA6820" t="s">
        <v>8931</v>
      </c>
    </row>
    <row r="6821" spans="27:27">
      <c r="AA6821" t="s">
        <v>8932</v>
      </c>
    </row>
    <row r="6822" spans="27:27">
      <c r="AA6822" t="s">
        <v>8933</v>
      </c>
    </row>
    <row r="6823" spans="27:27">
      <c r="AA6823" t="s">
        <v>8934</v>
      </c>
    </row>
    <row r="6824" spans="27:27">
      <c r="AA6824" t="s">
        <v>8935</v>
      </c>
    </row>
    <row r="6825" spans="27:27">
      <c r="AA6825" t="s">
        <v>8936</v>
      </c>
    </row>
    <row r="6826" spans="27:27">
      <c r="AA6826" t="s">
        <v>8937</v>
      </c>
    </row>
    <row r="6827" spans="27:27">
      <c r="AA6827" t="s">
        <v>8938</v>
      </c>
    </row>
    <row r="6828" spans="27:27">
      <c r="AA6828" t="s">
        <v>8939</v>
      </c>
    </row>
    <row r="6829" spans="27:27">
      <c r="AA6829" t="s">
        <v>8940</v>
      </c>
    </row>
    <row r="6830" spans="27:27">
      <c r="AA6830" t="s">
        <v>8941</v>
      </c>
    </row>
    <row r="6831" spans="27:27">
      <c r="AA6831" t="s">
        <v>8942</v>
      </c>
    </row>
    <row r="6832" spans="27:27">
      <c r="AA6832" t="s">
        <v>8943</v>
      </c>
    </row>
    <row r="6833" spans="27:27">
      <c r="AA6833" t="s">
        <v>8944</v>
      </c>
    </row>
    <row r="6834" spans="27:27">
      <c r="AA6834" t="s">
        <v>8945</v>
      </c>
    </row>
    <row r="6835" spans="27:27">
      <c r="AA6835" t="s">
        <v>8946</v>
      </c>
    </row>
    <row r="6836" spans="27:27">
      <c r="AA6836" t="s">
        <v>8947</v>
      </c>
    </row>
    <row r="6837" spans="27:27">
      <c r="AA6837" t="s">
        <v>8948</v>
      </c>
    </row>
    <row r="6838" spans="27:27">
      <c r="AA6838" t="s">
        <v>8949</v>
      </c>
    </row>
    <row r="6839" spans="27:27">
      <c r="AA6839" t="s">
        <v>2096</v>
      </c>
    </row>
    <row r="6840" spans="27:27">
      <c r="AA6840" t="s">
        <v>8950</v>
      </c>
    </row>
    <row r="6841" spans="27:27">
      <c r="AA6841" t="s">
        <v>8951</v>
      </c>
    </row>
    <row r="6842" spans="27:27">
      <c r="AA6842" t="s">
        <v>8952</v>
      </c>
    </row>
    <row r="6843" spans="27:27">
      <c r="AA6843" t="s">
        <v>8953</v>
      </c>
    </row>
    <row r="6844" spans="27:27">
      <c r="AA6844" t="s">
        <v>8954</v>
      </c>
    </row>
    <row r="6845" spans="27:27">
      <c r="AA6845" t="s">
        <v>8955</v>
      </c>
    </row>
    <row r="6846" spans="27:27">
      <c r="AA6846" t="s">
        <v>8956</v>
      </c>
    </row>
    <row r="6847" spans="27:27">
      <c r="AA6847" t="s">
        <v>8957</v>
      </c>
    </row>
    <row r="6848" spans="27:27">
      <c r="AA6848" t="s">
        <v>8958</v>
      </c>
    </row>
    <row r="6849" spans="27:27">
      <c r="AA6849" t="s">
        <v>8959</v>
      </c>
    </row>
    <row r="6850" spans="27:27">
      <c r="AA6850" t="s">
        <v>2097</v>
      </c>
    </row>
    <row r="6851" spans="27:27">
      <c r="AA6851" t="s">
        <v>8960</v>
      </c>
    </row>
    <row r="6852" spans="27:27">
      <c r="AA6852" t="s">
        <v>8961</v>
      </c>
    </row>
    <row r="6853" spans="27:27">
      <c r="AA6853" t="s">
        <v>8962</v>
      </c>
    </row>
    <row r="6854" spans="27:27">
      <c r="AA6854" t="s">
        <v>8963</v>
      </c>
    </row>
    <row r="6855" spans="27:27">
      <c r="AA6855" t="s">
        <v>8964</v>
      </c>
    </row>
    <row r="6856" spans="27:27">
      <c r="AA6856" t="s">
        <v>8965</v>
      </c>
    </row>
    <row r="6857" spans="27:27">
      <c r="AA6857" t="s">
        <v>8966</v>
      </c>
    </row>
    <row r="6858" spans="27:27">
      <c r="AA6858" t="s">
        <v>8967</v>
      </c>
    </row>
    <row r="6859" spans="27:27">
      <c r="AA6859" t="s">
        <v>2098</v>
      </c>
    </row>
    <row r="6860" spans="27:27">
      <c r="AA6860" t="s">
        <v>8968</v>
      </c>
    </row>
    <row r="6861" spans="27:27">
      <c r="AA6861" t="s">
        <v>8969</v>
      </c>
    </row>
    <row r="6862" spans="27:27">
      <c r="AA6862" t="s">
        <v>8970</v>
      </c>
    </row>
    <row r="6863" spans="27:27">
      <c r="AA6863" t="s">
        <v>8971</v>
      </c>
    </row>
    <row r="6864" spans="27:27">
      <c r="AA6864" t="s">
        <v>8972</v>
      </c>
    </row>
    <row r="6865" spans="27:27">
      <c r="AA6865" t="s">
        <v>8973</v>
      </c>
    </row>
    <row r="6866" spans="27:27">
      <c r="AA6866" t="s">
        <v>8974</v>
      </c>
    </row>
    <row r="6867" spans="27:27">
      <c r="AA6867" t="s">
        <v>8975</v>
      </c>
    </row>
    <row r="6868" spans="27:27">
      <c r="AA6868" t="s">
        <v>8976</v>
      </c>
    </row>
    <row r="6869" spans="27:27">
      <c r="AA6869" t="s">
        <v>8977</v>
      </c>
    </row>
    <row r="6870" spans="27:27">
      <c r="AA6870" t="s">
        <v>2099</v>
      </c>
    </row>
    <row r="6871" spans="27:27">
      <c r="AA6871" t="s">
        <v>8978</v>
      </c>
    </row>
    <row r="6872" spans="27:27">
      <c r="AA6872" t="s">
        <v>8979</v>
      </c>
    </row>
    <row r="6873" spans="27:27">
      <c r="AA6873" t="s">
        <v>8980</v>
      </c>
    </row>
    <row r="6874" spans="27:27">
      <c r="AA6874" t="s">
        <v>8981</v>
      </c>
    </row>
    <row r="6875" spans="27:27">
      <c r="AA6875" t="s">
        <v>8982</v>
      </c>
    </row>
    <row r="6876" spans="27:27">
      <c r="AA6876" t="s">
        <v>8983</v>
      </c>
    </row>
    <row r="6877" spans="27:27">
      <c r="AA6877" t="s">
        <v>8984</v>
      </c>
    </row>
    <row r="6878" spans="27:27">
      <c r="AA6878" t="s">
        <v>8985</v>
      </c>
    </row>
    <row r="6879" spans="27:27">
      <c r="AA6879" t="s">
        <v>8986</v>
      </c>
    </row>
    <row r="6880" spans="27:27">
      <c r="AA6880" t="s">
        <v>8987</v>
      </c>
    </row>
    <row r="6881" spans="27:27">
      <c r="AA6881" t="s">
        <v>2100</v>
      </c>
    </row>
    <row r="6882" spans="27:27">
      <c r="AA6882" t="s">
        <v>8988</v>
      </c>
    </row>
    <row r="6883" spans="27:27">
      <c r="AA6883" t="s">
        <v>3776</v>
      </c>
    </row>
    <row r="6884" spans="27:27">
      <c r="AA6884" t="s">
        <v>8989</v>
      </c>
    </row>
    <row r="6885" spans="27:27">
      <c r="AA6885" t="s">
        <v>8990</v>
      </c>
    </row>
    <row r="6886" spans="27:27">
      <c r="AA6886" t="s">
        <v>8991</v>
      </c>
    </row>
    <row r="6887" spans="27:27">
      <c r="AA6887" t="s">
        <v>8992</v>
      </c>
    </row>
    <row r="6888" spans="27:27">
      <c r="AA6888" t="s">
        <v>8993</v>
      </c>
    </row>
    <row r="6889" spans="27:27">
      <c r="AA6889" t="s">
        <v>8994</v>
      </c>
    </row>
    <row r="6890" spans="27:27">
      <c r="AA6890" t="s">
        <v>8995</v>
      </c>
    </row>
    <row r="6891" spans="27:27">
      <c r="AA6891" t="s">
        <v>8996</v>
      </c>
    </row>
    <row r="6892" spans="27:27">
      <c r="AA6892" t="s">
        <v>8997</v>
      </c>
    </row>
    <row r="6893" spans="27:27">
      <c r="AA6893" t="s">
        <v>8998</v>
      </c>
    </row>
    <row r="6894" spans="27:27">
      <c r="AA6894" t="s">
        <v>8999</v>
      </c>
    </row>
    <row r="6895" spans="27:27">
      <c r="AA6895" t="s">
        <v>2101</v>
      </c>
    </row>
    <row r="6896" spans="27:27">
      <c r="AA6896" t="s">
        <v>2102</v>
      </c>
    </row>
    <row r="6897" spans="27:27">
      <c r="AA6897" t="s">
        <v>2103</v>
      </c>
    </row>
    <row r="6898" spans="27:27">
      <c r="AA6898" t="s">
        <v>3777</v>
      </c>
    </row>
    <row r="6899" spans="27:27">
      <c r="AA6899" t="s">
        <v>2104</v>
      </c>
    </row>
    <row r="6900" spans="27:27">
      <c r="AA6900" t="s">
        <v>2105</v>
      </c>
    </row>
    <row r="6901" spans="27:27">
      <c r="AA6901" t="s">
        <v>2106</v>
      </c>
    </row>
    <row r="6902" spans="27:27">
      <c r="AA6902" t="s">
        <v>2107</v>
      </c>
    </row>
    <row r="6903" spans="27:27">
      <c r="AA6903" t="s">
        <v>9000</v>
      </c>
    </row>
    <row r="6904" spans="27:27">
      <c r="AA6904" t="s">
        <v>9001</v>
      </c>
    </row>
    <row r="6905" spans="27:27">
      <c r="AA6905" t="s">
        <v>9002</v>
      </c>
    </row>
    <row r="6906" spans="27:27">
      <c r="AA6906" t="s">
        <v>9003</v>
      </c>
    </row>
    <row r="6907" spans="27:27">
      <c r="AA6907" t="s">
        <v>2108</v>
      </c>
    </row>
    <row r="6908" spans="27:27">
      <c r="AA6908" t="s">
        <v>9004</v>
      </c>
    </row>
    <row r="6909" spans="27:27">
      <c r="AA6909" t="s">
        <v>9005</v>
      </c>
    </row>
    <row r="6910" spans="27:27">
      <c r="AA6910" t="s">
        <v>9006</v>
      </c>
    </row>
    <row r="6911" spans="27:27">
      <c r="AA6911" t="s">
        <v>9007</v>
      </c>
    </row>
    <row r="6912" spans="27:27">
      <c r="AA6912" t="s">
        <v>9008</v>
      </c>
    </row>
    <row r="6913" spans="27:27">
      <c r="AA6913" t="s">
        <v>9009</v>
      </c>
    </row>
    <row r="6914" spans="27:27">
      <c r="AA6914" t="s">
        <v>9010</v>
      </c>
    </row>
    <row r="6915" spans="27:27">
      <c r="AA6915" t="s">
        <v>2109</v>
      </c>
    </row>
    <row r="6916" spans="27:27">
      <c r="AA6916" t="s">
        <v>9011</v>
      </c>
    </row>
    <row r="6917" spans="27:27">
      <c r="AA6917" t="s">
        <v>2110</v>
      </c>
    </row>
    <row r="6918" spans="27:27">
      <c r="AA6918" t="s">
        <v>9012</v>
      </c>
    </row>
    <row r="6919" spans="27:27">
      <c r="AA6919" t="s">
        <v>9013</v>
      </c>
    </row>
    <row r="6920" spans="27:27">
      <c r="AA6920" t="s">
        <v>9014</v>
      </c>
    </row>
    <row r="6921" spans="27:27">
      <c r="AA6921" t="s">
        <v>9015</v>
      </c>
    </row>
    <row r="6922" spans="27:27">
      <c r="AA6922" t="s">
        <v>9016</v>
      </c>
    </row>
    <row r="6923" spans="27:27">
      <c r="AA6923" t="s">
        <v>9017</v>
      </c>
    </row>
    <row r="6924" spans="27:27">
      <c r="AA6924" t="s">
        <v>9018</v>
      </c>
    </row>
    <row r="6925" spans="27:27">
      <c r="AA6925" t="s">
        <v>2111</v>
      </c>
    </row>
    <row r="6926" spans="27:27">
      <c r="AA6926" t="s">
        <v>9019</v>
      </c>
    </row>
    <row r="6927" spans="27:27">
      <c r="AA6927" t="s">
        <v>2112</v>
      </c>
    </row>
    <row r="6928" spans="27:27">
      <c r="AA6928" t="s">
        <v>9020</v>
      </c>
    </row>
    <row r="6929" spans="27:27">
      <c r="AA6929" t="s">
        <v>9021</v>
      </c>
    </row>
    <row r="6930" spans="27:27">
      <c r="AA6930" t="s">
        <v>9022</v>
      </c>
    </row>
    <row r="6931" spans="27:27">
      <c r="AA6931" t="s">
        <v>9023</v>
      </c>
    </row>
    <row r="6932" spans="27:27">
      <c r="AA6932" t="s">
        <v>9024</v>
      </c>
    </row>
    <row r="6933" spans="27:27">
      <c r="AA6933" t="s">
        <v>2113</v>
      </c>
    </row>
    <row r="6934" spans="27:27">
      <c r="AA6934" t="s">
        <v>9025</v>
      </c>
    </row>
    <row r="6935" spans="27:27">
      <c r="AA6935" t="s">
        <v>9026</v>
      </c>
    </row>
    <row r="6936" spans="27:27">
      <c r="AA6936" t="s">
        <v>2114</v>
      </c>
    </row>
    <row r="6937" spans="27:27">
      <c r="AA6937" t="s">
        <v>9027</v>
      </c>
    </row>
    <row r="6938" spans="27:27">
      <c r="AA6938" t="s">
        <v>9028</v>
      </c>
    </row>
    <row r="6939" spans="27:27">
      <c r="AA6939" t="s">
        <v>9029</v>
      </c>
    </row>
    <row r="6940" spans="27:27">
      <c r="AA6940" t="s">
        <v>9030</v>
      </c>
    </row>
    <row r="6941" spans="27:27">
      <c r="AA6941" t="s">
        <v>9031</v>
      </c>
    </row>
    <row r="6942" spans="27:27">
      <c r="AA6942" t="s">
        <v>2115</v>
      </c>
    </row>
    <row r="6943" spans="27:27">
      <c r="AA6943" t="s">
        <v>9032</v>
      </c>
    </row>
    <row r="6944" spans="27:27">
      <c r="AA6944" t="s">
        <v>2116</v>
      </c>
    </row>
    <row r="6945" spans="27:27">
      <c r="AA6945" t="s">
        <v>9033</v>
      </c>
    </row>
    <row r="6946" spans="27:27">
      <c r="AA6946" t="s">
        <v>9034</v>
      </c>
    </row>
    <row r="6947" spans="27:27">
      <c r="AA6947" t="s">
        <v>2117</v>
      </c>
    </row>
    <row r="6948" spans="27:27">
      <c r="AA6948" t="s">
        <v>3778</v>
      </c>
    </row>
    <row r="6949" spans="27:27">
      <c r="AA6949" t="s">
        <v>9035</v>
      </c>
    </row>
    <row r="6950" spans="27:27">
      <c r="AA6950" t="s">
        <v>2118</v>
      </c>
    </row>
    <row r="6951" spans="27:27">
      <c r="AA6951" t="s">
        <v>2119</v>
      </c>
    </row>
    <row r="6952" spans="27:27">
      <c r="AA6952" t="s">
        <v>2120</v>
      </c>
    </row>
    <row r="6953" spans="27:27">
      <c r="AA6953" t="s">
        <v>2121</v>
      </c>
    </row>
    <row r="6954" spans="27:27">
      <c r="AA6954" t="s">
        <v>9036</v>
      </c>
    </row>
    <row r="6955" spans="27:27">
      <c r="AA6955" t="s">
        <v>9037</v>
      </c>
    </row>
    <row r="6956" spans="27:27">
      <c r="AA6956" t="s">
        <v>2122</v>
      </c>
    </row>
    <row r="6957" spans="27:27">
      <c r="AA6957" t="s">
        <v>9038</v>
      </c>
    </row>
    <row r="6958" spans="27:27">
      <c r="AA6958" t="s">
        <v>9039</v>
      </c>
    </row>
    <row r="6959" spans="27:27">
      <c r="AA6959" t="s">
        <v>9040</v>
      </c>
    </row>
    <row r="6960" spans="27:27">
      <c r="AA6960" t="s">
        <v>2123</v>
      </c>
    </row>
    <row r="6961" spans="27:27">
      <c r="AA6961" t="s">
        <v>9041</v>
      </c>
    </row>
    <row r="6962" spans="27:27">
      <c r="AA6962" t="s">
        <v>2124</v>
      </c>
    </row>
    <row r="6963" spans="27:27">
      <c r="AA6963" t="s">
        <v>2125</v>
      </c>
    </row>
    <row r="6964" spans="27:27">
      <c r="AA6964" t="s">
        <v>9042</v>
      </c>
    </row>
    <row r="6965" spans="27:27">
      <c r="AA6965" t="s">
        <v>9043</v>
      </c>
    </row>
    <row r="6966" spans="27:27">
      <c r="AA6966" t="s">
        <v>2126</v>
      </c>
    </row>
    <row r="6967" spans="27:27">
      <c r="AA6967" t="s">
        <v>9044</v>
      </c>
    </row>
    <row r="6968" spans="27:27">
      <c r="AA6968" t="s">
        <v>9045</v>
      </c>
    </row>
    <row r="6969" spans="27:27">
      <c r="AA6969" t="s">
        <v>2127</v>
      </c>
    </row>
    <row r="6970" spans="27:27">
      <c r="AA6970" t="s">
        <v>2128</v>
      </c>
    </row>
    <row r="6971" spans="27:27">
      <c r="AA6971" t="s">
        <v>2129</v>
      </c>
    </row>
    <row r="6972" spans="27:27">
      <c r="AA6972" t="s">
        <v>2130</v>
      </c>
    </row>
    <row r="6973" spans="27:27">
      <c r="AA6973" t="s">
        <v>9046</v>
      </c>
    </row>
    <row r="6974" spans="27:27">
      <c r="AA6974" t="s">
        <v>9047</v>
      </c>
    </row>
    <row r="6975" spans="27:27">
      <c r="AA6975" t="s">
        <v>2131</v>
      </c>
    </row>
    <row r="6976" spans="27:27">
      <c r="AA6976" t="s">
        <v>9048</v>
      </c>
    </row>
    <row r="6977" spans="27:27">
      <c r="AA6977" t="s">
        <v>9049</v>
      </c>
    </row>
    <row r="6978" spans="27:27">
      <c r="AA6978" t="s">
        <v>9050</v>
      </c>
    </row>
    <row r="6979" spans="27:27">
      <c r="AA6979" t="s">
        <v>2132</v>
      </c>
    </row>
    <row r="6980" spans="27:27">
      <c r="AA6980" t="s">
        <v>9051</v>
      </c>
    </row>
    <row r="6981" spans="27:27">
      <c r="AA6981" t="s">
        <v>9052</v>
      </c>
    </row>
    <row r="6982" spans="27:27">
      <c r="AA6982" t="s">
        <v>9053</v>
      </c>
    </row>
    <row r="6983" spans="27:27">
      <c r="AA6983" t="s">
        <v>2133</v>
      </c>
    </row>
    <row r="6984" spans="27:27">
      <c r="AA6984" t="s">
        <v>9054</v>
      </c>
    </row>
    <row r="6985" spans="27:27">
      <c r="AA6985" t="s">
        <v>9055</v>
      </c>
    </row>
    <row r="6986" spans="27:27">
      <c r="AA6986" t="s">
        <v>2134</v>
      </c>
    </row>
    <row r="6987" spans="27:27">
      <c r="AA6987" t="s">
        <v>2135</v>
      </c>
    </row>
    <row r="6988" spans="27:27">
      <c r="AA6988" t="s">
        <v>2136</v>
      </c>
    </row>
    <row r="6989" spans="27:27">
      <c r="AA6989" t="s">
        <v>9056</v>
      </c>
    </row>
    <row r="6990" spans="27:27">
      <c r="AA6990" t="s">
        <v>2137</v>
      </c>
    </row>
    <row r="6991" spans="27:27">
      <c r="AA6991" t="s">
        <v>2138</v>
      </c>
    </row>
    <row r="6992" spans="27:27">
      <c r="AA6992" t="s">
        <v>2139</v>
      </c>
    </row>
    <row r="6993" spans="27:27">
      <c r="AA6993" t="s">
        <v>2140</v>
      </c>
    </row>
    <row r="6994" spans="27:27">
      <c r="AA6994" t="s">
        <v>2141</v>
      </c>
    </row>
    <row r="6995" spans="27:27">
      <c r="AA6995" t="s">
        <v>9057</v>
      </c>
    </row>
    <row r="6996" spans="27:27">
      <c r="AA6996" t="s">
        <v>2142</v>
      </c>
    </row>
    <row r="6997" spans="27:27">
      <c r="AA6997" t="s">
        <v>9058</v>
      </c>
    </row>
    <row r="6998" spans="27:27">
      <c r="AA6998" t="s">
        <v>2143</v>
      </c>
    </row>
    <row r="6999" spans="27:27">
      <c r="AA6999" t="s">
        <v>9059</v>
      </c>
    </row>
    <row r="7000" spans="27:27">
      <c r="AA7000" t="s">
        <v>2144</v>
      </c>
    </row>
    <row r="7001" spans="27:27">
      <c r="AA7001" t="s">
        <v>2145</v>
      </c>
    </row>
    <row r="7002" spans="27:27">
      <c r="AA7002" t="s">
        <v>2146</v>
      </c>
    </row>
    <row r="7003" spans="27:27">
      <c r="AA7003" t="s">
        <v>2147</v>
      </c>
    </row>
    <row r="7004" spans="27:27">
      <c r="AA7004" t="s">
        <v>2148</v>
      </c>
    </row>
    <row r="7005" spans="27:27">
      <c r="AA7005" t="s">
        <v>2149</v>
      </c>
    </row>
    <row r="7006" spans="27:27">
      <c r="AA7006" t="s">
        <v>2150</v>
      </c>
    </row>
    <row r="7007" spans="27:27">
      <c r="AA7007" t="s">
        <v>2151</v>
      </c>
    </row>
    <row r="7008" spans="27:27">
      <c r="AA7008" t="s">
        <v>2152</v>
      </c>
    </row>
    <row r="7009" spans="27:27">
      <c r="AA7009" t="s">
        <v>2153</v>
      </c>
    </row>
    <row r="7010" spans="27:27">
      <c r="AA7010" t="s">
        <v>2154</v>
      </c>
    </row>
    <row r="7011" spans="27:27">
      <c r="AA7011" t="s">
        <v>2155</v>
      </c>
    </row>
    <row r="7012" spans="27:27">
      <c r="AA7012" t="s">
        <v>2156</v>
      </c>
    </row>
    <row r="7013" spans="27:27">
      <c r="AA7013" t="s">
        <v>2157</v>
      </c>
    </row>
    <row r="7014" spans="27:27">
      <c r="AA7014" t="s">
        <v>2158</v>
      </c>
    </row>
    <row r="7015" spans="27:27">
      <c r="AA7015" t="s">
        <v>2159</v>
      </c>
    </row>
    <row r="7016" spans="27:27">
      <c r="AA7016" t="s">
        <v>2160</v>
      </c>
    </row>
    <row r="7017" spans="27:27">
      <c r="AA7017" t="s">
        <v>2161</v>
      </c>
    </row>
    <row r="7018" spans="27:27">
      <c r="AA7018" t="s">
        <v>2162</v>
      </c>
    </row>
    <row r="7019" spans="27:27">
      <c r="AA7019" t="s">
        <v>2163</v>
      </c>
    </row>
    <row r="7020" spans="27:27">
      <c r="AA7020" t="s">
        <v>9060</v>
      </c>
    </row>
    <row r="7021" spans="27:27">
      <c r="AA7021" t="s">
        <v>2164</v>
      </c>
    </row>
    <row r="7022" spans="27:27">
      <c r="AA7022" t="s">
        <v>9061</v>
      </c>
    </row>
    <row r="7023" spans="27:27">
      <c r="AA7023" t="s">
        <v>2165</v>
      </c>
    </row>
    <row r="7024" spans="27:27">
      <c r="AA7024" t="s">
        <v>9062</v>
      </c>
    </row>
    <row r="7025" spans="27:27">
      <c r="AA7025" t="s">
        <v>2166</v>
      </c>
    </row>
    <row r="7026" spans="27:27">
      <c r="AA7026" t="s">
        <v>9063</v>
      </c>
    </row>
    <row r="7027" spans="27:27">
      <c r="AA7027" t="s">
        <v>2167</v>
      </c>
    </row>
    <row r="7028" spans="27:27">
      <c r="AA7028" t="s">
        <v>2168</v>
      </c>
    </row>
    <row r="7029" spans="27:27">
      <c r="AA7029" t="s">
        <v>2169</v>
      </c>
    </row>
    <row r="7030" spans="27:27">
      <c r="AA7030" t="s">
        <v>2170</v>
      </c>
    </row>
    <row r="7031" spans="27:27">
      <c r="AA7031" t="s">
        <v>2171</v>
      </c>
    </row>
    <row r="7032" spans="27:27">
      <c r="AA7032" t="s">
        <v>2172</v>
      </c>
    </row>
    <row r="7033" spans="27:27">
      <c r="AA7033" t="s">
        <v>797</v>
      </c>
    </row>
    <row r="7034" spans="27:27">
      <c r="AA7034" t="s">
        <v>798</v>
      </c>
    </row>
    <row r="7035" spans="27:27">
      <c r="AA7035" t="s">
        <v>799</v>
      </c>
    </row>
    <row r="7036" spans="27:27">
      <c r="AA7036" t="s">
        <v>3779</v>
      </c>
    </row>
    <row r="7037" spans="27:27">
      <c r="AA7037" t="s">
        <v>3780</v>
      </c>
    </row>
    <row r="7038" spans="27:27">
      <c r="AA7038" t="s">
        <v>800</v>
      </c>
    </row>
    <row r="7039" spans="27:27">
      <c r="AA7039" t="s">
        <v>3781</v>
      </c>
    </row>
    <row r="7040" spans="27:27">
      <c r="AA7040" t="s">
        <v>801</v>
      </c>
    </row>
    <row r="7041" spans="27:27">
      <c r="AA7041" t="s">
        <v>3782</v>
      </c>
    </row>
    <row r="7042" spans="27:27">
      <c r="AA7042" t="s">
        <v>3783</v>
      </c>
    </row>
    <row r="7043" spans="27:27">
      <c r="AA7043" t="s">
        <v>802</v>
      </c>
    </row>
    <row r="7044" spans="27:27">
      <c r="AA7044" t="s">
        <v>803</v>
      </c>
    </row>
    <row r="7045" spans="27:27">
      <c r="AA7045" t="s">
        <v>804</v>
      </c>
    </row>
    <row r="7046" spans="27:27">
      <c r="AA7046" t="s">
        <v>805</v>
      </c>
    </row>
    <row r="7047" spans="27:27">
      <c r="AA7047" t="s">
        <v>2173</v>
      </c>
    </row>
    <row r="7048" spans="27:27">
      <c r="AA7048" t="s">
        <v>2174</v>
      </c>
    </row>
    <row r="7049" spans="27:27">
      <c r="AA7049" t="s">
        <v>2175</v>
      </c>
    </row>
    <row r="7050" spans="27:27">
      <c r="AA7050" t="s">
        <v>2176</v>
      </c>
    </row>
    <row r="7051" spans="27:27">
      <c r="AA7051" t="s">
        <v>2177</v>
      </c>
    </row>
    <row r="7052" spans="27:27">
      <c r="AA7052" t="s">
        <v>2178</v>
      </c>
    </row>
    <row r="7053" spans="27:27">
      <c r="AA7053" t="s">
        <v>2179</v>
      </c>
    </row>
    <row r="7054" spans="27:27">
      <c r="AA7054" t="s">
        <v>9064</v>
      </c>
    </row>
    <row r="7055" spans="27:27">
      <c r="AA7055" t="s">
        <v>2180</v>
      </c>
    </row>
    <row r="7056" spans="27:27">
      <c r="AA7056" t="s">
        <v>9065</v>
      </c>
    </row>
    <row r="7057" spans="27:27">
      <c r="AA7057" t="s">
        <v>2181</v>
      </c>
    </row>
    <row r="7058" spans="27:27">
      <c r="AA7058" t="s">
        <v>9066</v>
      </c>
    </row>
    <row r="7059" spans="27:27">
      <c r="AA7059" t="s">
        <v>2182</v>
      </c>
    </row>
    <row r="7060" spans="27:27">
      <c r="AA7060" t="s">
        <v>2183</v>
      </c>
    </row>
    <row r="7061" spans="27:27">
      <c r="AA7061" t="s">
        <v>9067</v>
      </c>
    </row>
    <row r="7062" spans="27:27">
      <c r="AA7062" t="s">
        <v>2184</v>
      </c>
    </row>
    <row r="7063" spans="27:27">
      <c r="AA7063" t="s">
        <v>9068</v>
      </c>
    </row>
    <row r="7064" spans="27:27">
      <c r="AA7064" t="s">
        <v>2185</v>
      </c>
    </row>
    <row r="7065" spans="27:27">
      <c r="AA7065" t="s">
        <v>9069</v>
      </c>
    </row>
    <row r="7066" spans="27:27">
      <c r="AA7066" t="s">
        <v>2186</v>
      </c>
    </row>
    <row r="7067" spans="27:27">
      <c r="AA7067" t="s">
        <v>9070</v>
      </c>
    </row>
    <row r="7068" spans="27:27">
      <c r="AA7068" t="s">
        <v>2187</v>
      </c>
    </row>
    <row r="7069" spans="27:27">
      <c r="AA7069" t="s">
        <v>2188</v>
      </c>
    </row>
    <row r="7070" spans="27:27">
      <c r="AA7070" t="s">
        <v>9071</v>
      </c>
    </row>
    <row r="7071" spans="27:27">
      <c r="AA7071" t="s">
        <v>9072</v>
      </c>
    </row>
    <row r="7072" spans="27:27">
      <c r="AA7072" t="s">
        <v>2189</v>
      </c>
    </row>
    <row r="7073" spans="27:27">
      <c r="AA7073" t="s">
        <v>9073</v>
      </c>
    </row>
    <row r="7074" spans="27:27">
      <c r="AA7074" t="s">
        <v>2190</v>
      </c>
    </row>
    <row r="7075" spans="27:27">
      <c r="AA7075" t="s">
        <v>9074</v>
      </c>
    </row>
    <row r="7076" spans="27:27">
      <c r="AA7076" t="s">
        <v>2191</v>
      </c>
    </row>
    <row r="7077" spans="27:27">
      <c r="AA7077" t="s">
        <v>2192</v>
      </c>
    </row>
    <row r="7078" spans="27:27">
      <c r="AA7078" t="s">
        <v>2193</v>
      </c>
    </row>
    <row r="7079" spans="27:27">
      <c r="AA7079" t="s">
        <v>2194</v>
      </c>
    </row>
    <row r="7080" spans="27:27">
      <c r="AA7080" t="s">
        <v>2195</v>
      </c>
    </row>
    <row r="7081" spans="27:27">
      <c r="AA7081" t="s">
        <v>2196</v>
      </c>
    </row>
    <row r="7082" spans="27:27">
      <c r="AA7082" t="s">
        <v>2197</v>
      </c>
    </row>
    <row r="7083" spans="27:27">
      <c r="AA7083" t="s">
        <v>2198</v>
      </c>
    </row>
    <row r="7084" spans="27:27">
      <c r="AA7084" t="s">
        <v>9075</v>
      </c>
    </row>
    <row r="7085" spans="27:27">
      <c r="AA7085" t="s">
        <v>2199</v>
      </c>
    </row>
    <row r="7086" spans="27:27">
      <c r="AA7086" t="s">
        <v>9076</v>
      </c>
    </row>
    <row r="7087" spans="27:27">
      <c r="AA7087" t="s">
        <v>2200</v>
      </c>
    </row>
    <row r="7088" spans="27:27">
      <c r="AA7088" t="s">
        <v>9077</v>
      </c>
    </row>
    <row r="7089" spans="27:27">
      <c r="AA7089" t="s">
        <v>2201</v>
      </c>
    </row>
    <row r="7090" spans="27:27">
      <c r="AA7090" t="s">
        <v>2202</v>
      </c>
    </row>
    <row r="7091" spans="27:27">
      <c r="AA7091" t="s">
        <v>2203</v>
      </c>
    </row>
    <row r="7092" spans="27:27">
      <c r="AA7092" t="s">
        <v>2204</v>
      </c>
    </row>
    <row r="7093" spans="27:27">
      <c r="AA7093" t="s">
        <v>2205</v>
      </c>
    </row>
    <row r="7094" spans="27:27">
      <c r="AA7094" t="s">
        <v>2206</v>
      </c>
    </row>
    <row r="7095" spans="27:27">
      <c r="AA7095" t="s">
        <v>2207</v>
      </c>
    </row>
    <row r="7096" spans="27:27">
      <c r="AA7096" t="s">
        <v>2208</v>
      </c>
    </row>
    <row r="7097" spans="27:27">
      <c r="AA7097" t="s">
        <v>2209</v>
      </c>
    </row>
    <row r="7098" spans="27:27">
      <c r="AA7098" t="s">
        <v>2210</v>
      </c>
    </row>
    <row r="7099" spans="27:27">
      <c r="AA7099" t="s">
        <v>2211</v>
      </c>
    </row>
    <row r="7100" spans="27:27">
      <c r="AA7100" t="s">
        <v>2212</v>
      </c>
    </row>
    <row r="7101" spans="27:27">
      <c r="AA7101" t="s">
        <v>2213</v>
      </c>
    </row>
    <row r="7102" spans="27:27">
      <c r="AA7102" t="s">
        <v>2214</v>
      </c>
    </row>
    <row r="7103" spans="27:27">
      <c r="AA7103" t="s">
        <v>2215</v>
      </c>
    </row>
    <row r="7104" spans="27:27">
      <c r="AA7104" t="s">
        <v>2216</v>
      </c>
    </row>
    <row r="7105" spans="27:27">
      <c r="AA7105" t="s">
        <v>2217</v>
      </c>
    </row>
    <row r="7106" spans="27:27">
      <c r="AA7106" t="s">
        <v>2218</v>
      </c>
    </row>
    <row r="7107" spans="27:27">
      <c r="AA7107" t="s">
        <v>2219</v>
      </c>
    </row>
    <row r="7108" spans="27:27">
      <c r="AA7108" t="s">
        <v>2220</v>
      </c>
    </row>
    <row r="7109" spans="27:27">
      <c r="AA7109" t="s">
        <v>2221</v>
      </c>
    </row>
    <row r="7110" spans="27:27">
      <c r="AA7110" t="s">
        <v>9078</v>
      </c>
    </row>
    <row r="7111" spans="27:27">
      <c r="AA7111" t="s">
        <v>2222</v>
      </c>
    </row>
    <row r="7112" spans="27:27">
      <c r="AA7112" t="s">
        <v>9079</v>
      </c>
    </row>
    <row r="7113" spans="27:27">
      <c r="AA7113" t="s">
        <v>2223</v>
      </c>
    </row>
    <row r="7114" spans="27:27">
      <c r="AA7114" t="s">
        <v>9080</v>
      </c>
    </row>
    <row r="7115" spans="27:27">
      <c r="AA7115" t="s">
        <v>2224</v>
      </c>
    </row>
    <row r="7116" spans="27:27">
      <c r="AA7116" t="s">
        <v>9081</v>
      </c>
    </row>
    <row r="7117" spans="27:27">
      <c r="AA7117" t="s">
        <v>2225</v>
      </c>
    </row>
    <row r="7118" spans="27:27">
      <c r="AA7118" t="s">
        <v>2226</v>
      </c>
    </row>
    <row r="7119" spans="27:27">
      <c r="AA7119" t="s">
        <v>2227</v>
      </c>
    </row>
    <row r="7120" spans="27:27">
      <c r="AA7120" t="s">
        <v>2228</v>
      </c>
    </row>
    <row r="7121" spans="27:27">
      <c r="AA7121" t="s">
        <v>2229</v>
      </c>
    </row>
    <row r="7122" spans="27:27">
      <c r="AA7122" t="s">
        <v>2230</v>
      </c>
    </row>
    <row r="7123" spans="27:27">
      <c r="AA7123" t="s">
        <v>2231</v>
      </c>
    </row>
    <row r="7124" spans="27:27">
      <c r="AA7124" t="s">
        <v>2232</v>
      </c>
    </row>
    <row r="7125" spans="27:27">
      <c r="AA7125" t="s">
        <v>2233</v>
      </c>
    </row>
    <row r="7126" spans="27:27">
      <c r="AA7126" t="s">
        <v>2234</v>
      </c>
    </row>
    <row r="7127" spans="27:27">
      <c r="AA7127" t="s">
        <v>2235</v>
      </c>
    </row>
    <row r="7128" spans="27:27">
      <c r="AA7128" t="s">
        <v>2236</v>
      </c>
    </row>
    <row r="7129" spans="27:27">
      <c r="AA7129" t="s">
        <v>2237</v>
      </c>
    </row>
    <row r="7130" spans="27:27">
      <c r="AA7130" t="s">
        <v>2238</v>
      </c>
    </row>
    <row r="7131" spans="27:27">
      <c r="AA7131" t="s">
        <v>9082</v>
      </c>
    </row>
    <row r="7132" spans="27:27">
      <c r="AA7132" t="s">
        <v>2239</v>
      </c>
    </row>
    <row r="7133" spans="27:27">
      <c r="AA7133" t="s">
        <v>9083</v>
      </c>
    </row>
    <row r="7134" spans="27:27">
      <c r="AA7134" t="s">
        <v>2240</v>
      </c>
    </row>
    <row r="7135" spans="27:27">
      <c r="AA7135" t="s">
        <v>9084</v>
      </c>
    </row>
    <row r="7136" spans="27:27">
      <c r="AA7136" t="s">
        <v>2241</v>
      </c>
    </row>
    <row r="7137" spans="27:27">
      <c r="AA7137" t="s">
        <v>2242</v>
      </c>
    </row>
    <row r="7138" spans="27:27">
      <c r="AA7138" t="s">
        <v>9085</v>
      </c>
    </row>
    <row r="7139" spans="27:27">
      <c r="AA7139" t="s">
        <v>2243</v>
      </c>
    </row>
    <row r="7140" spans="27:27">
      <c r="AA7140" t="s">
        <v>9086</v>
      </c>
    </row>
    <row r="7141" spans="27:27">
      <c r="AA7141" t="s">
        <v>2244</v>
      </c>
    </row>
    <row r="7142" spans="27:27">
      <c r="AA7142" t="s">
        <v>9087</v>
      </c>
    </row>
    <row r="7143" spans="27:27">
      <c r="AA7143" t="s">
        <v>2245</v>
      </c>
    </row>
    <row r="7144" spans="27:27">
      <c r="AA7144" t="s">
        <v>9088</v>
      </c>
    </row>
    <row r="7145" spans="27:27">
      <c r="AA7145" t="s">
        <v>2246</v>
      </c>
    </row>
    <row r="7146" spans="27:27">
      <c r="AA7146" t="s">
        <v>2247</v>
      </c>
    </row>
    <row r="7147" spans="27:27">
      <c r="AA7147" t="s">
        <v>9089</v>
      </c>
    </row>
    <row r="7148" spans="27:27">
      <c r="AA7148" t="s">
        <v>9090</v>
      </c>
    </row>
    <row r="7149" spans="27:27">
      <c r="AA7149" t="s">
        <v>2248</v>
      </c>
    </row>
    <row r="7150" spans="27:27">
      <c r="AA7150" t="s">
        <v>9091</v>
      </c>
    </row>
    <row r="7151" spans="27:27">
      <c r="AA7151" t="s">
        <v>2249</v>
      </c>
    </row>
    <row r="7152" spans="27:27">
      <c r="AA7152" t="s">
        <v>9092</v>
      </c>
    </row>
    <row r="7153" spans="27:27">
      <c r="AA7153" t="s">
        <v>2250</v>
      </c>
    </row>
    <row r="7154" spans="27:27">
      <c r="AA7154" t="s">
        <v>2251</v>
      </c>
    </row>
    <row r="7155" spans="27:27">
      <c r="AA7155" t="s">
        <v>2252</v>
      </c>
    </row>
    <row r="7156" spans="27:27">
      <c r="AA7156" t="s">
        <v>2253</v>
      </c>
    </row>
    <row r="7157" spans="27:27">
      <c r="AA7157" t="s">
        <v>2254</v>
      </c>
    </row>
    <row r="7158" spans="27:27">
      <c r="AA7158" t="s">
        <v>2255</v>
      </c>
    </row>
    <row r="7159" spans="27:27">
      <c r="AA7159" t="s">
        <v>2256</v>
      </c>
    </row>
    <row r="7160" spans="27:27">
      <c r="AA7160" t="s">
        <v>2257</v>
      </c>
    </row>
    <row r="7161" spans="27:27">
      <c r="AA7161" t="s">
        <v>2258</v>
      </c>
    </row>
    <row r="7162" spans="27:27">
      <c r="AA7162" t="s">
        <v>9093</v>
      </c>
    </row>
    <row r="7163" spans="27:27">
      <c r="AA7163" t="s">
        <v>2259</v>
      </c>
    </row>
    <row r="7164" spans="27:27">
      <c r="AA7164" t="s">
        <v>9094</v>
      </c>
    </row>
    <row r="7165" spans="27:27">
      <c r="AA7165" t="s">
        <v>9095</v>
      </c>
    </row>
    <row r="7166" spans="27:27">
      <c r="AA7166" t="s">
        <v>9096</v>
      </c>
    </row>
    <row r="7167" spans="27:27">
      <c r="AA7167" t="s">
        <v>2260</v>
      </c>
    </row>
    <row r="7168" spans="27:27">
      <c r="AA7168" t="s">
        <v>9097</v>
      </c>
    </row>
    <row r="7169" spans="27:27">
      <c r="AA7169" t="s">
        <v>2261</v>
      </c>
    </row>
    <row r="7170" spans="27:27">
      <c r="AA7170" t="s">
        <v>9098</v>
      </c>
    </row>
    <row r="7171" spans="27:27">
      <c r="AA7171" t="s">
        <v>2262</v>
      </c>
    </row>
    <row r="7172" spans="27:27">
      <c r="AA7172" t="s">
        <v>9099</v>
      </c>
    </row>
    <row r="7173" spans="27:27">
      <c r="AA7173" t="s">
        <v>2263</v>
      </c>
    </row>
    <row r="7174" spans="27:27">
      <c r="AA7174" t="s">
        <v>9100</v>
      </c>
    </row>
    <row r="7175" spans="27:27">
      <c r="AA7175" t="s">
        <v>2264</v>
      </c>
    </row>
    <row r="7176" spans="27:27">
      <c r="AA7176" t="s">
        <v>9101</v>
      </c>
    </row>
    <row r="7177" spans="27:27">
      <c r="AA7177" t="s">
        <v>2265</v>
      </c>
    </row>
    <row r="7178" spans="27:27">
      <c r="AA7178" t="s">
        <v>9102</v>
      </c>
    </row>
    <row r="7179" spans="27:27">
      <c r="AA7179" t="s">
        <v>2266</v>
      </c>
    </row>
    <row r="7180" spans="27:27">
      <c r="AA7180" t="s">
        <v>2267</v>
      </c>
    </row>
    <row r="7181" spans="27:27">
      <c r="AA7181" t="s">
        <v>9103</v>
      </c>
    </row>
    <row r="7182" spans="27:27">
      <c r="AA7182" t="s">
        <v>2268</v>
      </c>
    </row>
    <row r="7183" spans="27:27">
      <c r="AA7183" t="s">
        <v>9104</v>
      </c>
    </row>
    <row r="7184" spans="27:27">
      <c r="AA7184" t="s">
        <v>2269</v>
      </c>
    </row>
    <row r="7185" spans="27:27">
      <c r="AA7185" t="s">
        <v>9105</v>
      </c>
    </row>
    <row r="7186" spans="27:27">
      <c r="AA7186" t="s">
        <v>2270</v>
      </c>
    </row>
    <row r="7187" spans="27:27">
      <c r="AA7187" t="s">
        <v>9106</v>
      </c>
    </row>
    <row r="7188" spans="27:27">
      <c r="AA7188" t="s">
        <v>2271</v>
      </c>
    </row>
    <row r="7189" spans="27:27">
      <c r="AA7189" t="s">
        <v>9107</v>
      </c>
    </row>
    <row r="7190" spans="27:27">
      <c r="AA7190" t="s">
        <v>2272</v>
      </c>
    </row>
    <row r="7191" spans="27:27">
      <c r="AA7191" t="s">
        <v>9108</v>
      </c>
    </row>
    <row r="7192" spans="27:27">
      <c r="AA7192" t="s">
        <v>2273</v>
      </c>
    </row>
    <row r="7193" spans="27:27">
      <c r="AA7193" t="s">
        <v>2274</v>
      </c>
    </row>
    <row r="7194" spans="27:27">
      <c r="AA7194" t="s">
        <v>2275</v>
      </c>
    </row>
    <row r="7195" spans="27:27">
      <c r="AA7195" t="s">
        <v>9109</v>
      </c>
    </row>
    <row r="7196" spans="27:27">
      <c r="AA7196" t="s">
        <v>2276</v>
      </c>
    </row>
    <row r="7197" spans="27:27">
      <c r="AA7197" t="s">
        <v>9110</v>
      </c>
    </row>
    <row r="7198" spans="27:27">
      <c r="AA7198" t="s">
        <v>2277</v>
      </c>
    </row>
    <row r="7199" spans="27:27">
      <c r="AA7199" t="s">
        <v>2278</v>
      </c>
    </row>
    <row r="7200" spans="27:27">
      <c r="AA7200" t="s">
        <v>9111</v>
      </c>
    </row>
    <row r="7201" spans="27:27">
      <c r="AA7201" t="s">
        <v>2279</v>
      </c>
    </row>
    <row r="7202" spans="27:27">
      <c r="AA7202" t="s">
        <v>9112</v>
      </c>
    </row>
    <row r="7203" spans="27:27">
      <c r="AA7203" t="s">
        <v>2280</v>
      </c>
    </row>
    <row r="7204" spans="27:27">
      <c r="AA7204" t="s">
        <v>2281</v>
      </c>
    </row>
    <row r="7205" spans="27:27">
      <c r="AA7205" t="s">
        <v>9113</v>
      </c>
    </row>
    <row r="7206" spans="27:27">
      <c r="AA7206" t="s">
        <v>2282</v>
      </c>
    </row>
    <row r="7207" spans="27:27">
      <c r="AA7207" t="s">
        <v>9114</v>
      </c>
    </row>
    <row r="7208" spans="27:27">
      <c r="AA7208" t="s">
        <v>2283</v>
      </c>
    </row>
    <row r="7209" spans="27:27">
      <c r="AA7209" t="s">
        <v>2284</v>
      </c>
    </row>
    <row r="7210" spans="27:27">
      <c r="AA7210" t="s">
        <v>2285</v>
      </c>
    </row>
    <row r="7211" spans="27:27">
      <c r="AA7211" t="s">
        <v>2286</v>
      </c>
    </row>
    <row r="7212" spans="27:27">
      <c r="AA7212" t="s">
        <v>2287</v>
      </c>
    </row>
    <row r="7213" spans="27:27">
      <c r="AA7213" t="s">
        <v>2288</v>
      </c>
    </row>
    <row r="7214" spans="27:27">
      <c r="AA7214" t="s">
        <v>2289</v>
      </c>
    </row>
    <row r="7215" spans="27:27">
      <c r="AA7215" t="s">
        <v>2290</v>
      </c>
    </row>
    <row r="7216" spans="27:27">
      <c r="AA7216" t="s">
        <v>9115</v>
      </c>
    </row>
    <row r="7217" spans="27:27">
      <c r="AA7217" t="s">
        <v>2291</v>
      </c>
    </row>
    <row r="7218" spans="27:27">
      <c r="AA7218" t="s">
        <v>9116</v>
      </c>
    </row>
    <row r="7219" spans="27:27">
      <c r="AA7219" t="s">
        <v>2292</v>
      </c>
    </row>
    <row r="7220" spans="27:27">
      <c r="AA7220" t="s">
        <v>9117</v>
      </c>
    </row>
    <row r="7221" spans="27:27">
      <c r="AA7221" t="s">
        <v>2293</v>
      </c>
    </row>
    <row r="7222" spans="27:27">
      <c r="AA7222" t="s">
        <v>9118</v>
      </c>
    </row>
    <row r="7223" spans="27:27">
      <c r="AA7223" t="s">
        <v>2294</v>
      </c>
    </row>
    <row r="7224" spans="27:27">
      <c r="AA7224" t="s">
        <v>9119</v>
      </c>
    </row>
    <row r="7225" spans="27:27">
      <c r="AA7225" t="s">
        <v>2295</v>
      </c>
    </row>
    <row r="7226" spans="27:27">
      <c r="AA7226" t="s">
        <v>9120</v>
      </c>
    </row>
    <row r="7227" spans="27:27">
      <c r="AA7227" t="s">
        <v>2296</v>
      </c>
    </row>
    <row r="7228" spans="27:27">
      <c r="AA7228" t="s">
        <v>2297</v>
      </c>
    </row>
    <row r="7229" spans="27:27">
      <c r="AA7229" t="s">
        <v>9121</v>
      </c>
    </row>
    <row r="7230" spans="27:27">
      <c r="AA7230" t="s">
        <v>2298</v>
      </c>
    </row>
    <row r="7231" spans="27:27">
      <c r="AA7231" t="s">
        <v>9122</v>
      </c>
    </row>
    <row r="7232" spans="27:27">
      <c r="AA7232" t="s">
        <v>2299</v>
      </c>
    </row>
    <row r="7233" spans="27:27">
      <c r="AA7233" t="s">
        <v>9123</v>
      </c>
    </row>
    <row r="7234" spans="27:27">
      <c r="AA7234" t="s">
        <v>2300</v>
      </c>
    </row>
    <row r="7235" spans="27:27">
      <c r="AA7235" t="s">
        <v>9124</v>
      </c>
    </row>
    <row r="7236" spans="27:27">
      <c r="AA7236" t="s">
        <v>2301</v>
      </c>
    </row>
    <row r="7237" spans="27:27">
      <c r="AA7237" t="s">
        <v>9125</v>
      </c>
    </row>
    <row r="7238" spans="27:27">
      <c r="AA7238" t="s">
        <v>2302</v>
      </c>
    </row>
    <row r="7239" spans="27:27">
      <c r="AA7239" t="s">
        <v>9126</v>
      </c>
    </row>
    <row r="7240" spans="27:27">
      <c r="AA7240" t="s">
        <v>2303</v>
      </c>
    </row>
    <row r="7241" spans="27:27">
      <c r="AA7241" t="s">
        <v>2304</v>
      </c>
    </row>
    <row r="7242" spans="27:27">
      <c r="AA7242" t="s">
        <v>2305</v>
      </c>
    </row>
    <row r="7243" spans="27:27">
      <c r="AA7243" t="s">
        <v>9127</v>
      </c>
    </row>
    <row r="7244" spans="27:27">
      <c r="AA7244" t="s">
        <v>2306</v>
      </c>
    </row>
    <row r="7245" spans="27:27">
      <c r="AA7245" t="s">
        <v>9128</v>
      </c>
    </row>
    <row r="7246" spans="27:27">
      <c r="AA7246" t="s">
        <v>2307</v>
      </c>
    </row>
    <row r="7247" spans="27:27">
      <c r="AA7247" t="s">
        <v>2308</v>
      </c>
    </row>
    <row r="7248" spans="27:27">
      <c r="AA7248" t="s">
        <v>9129</v>
      </c>
    </row>
    <row r="7249" spans="27:27">
      <c r="AA7249" t="s">
        <v>2309</v>
      </c>
    </row>
    <row r="7250" spans="27:27">
      <c r="AA7250" t="s">
        <v>9130</v>
      </c>
    </row>
    <row r="7251" spans="27:27">
      <c r="AA7251" t="s">
        <v>2310</v>
      </c>
    </row>
    <row r="7252" spans="27:27">
      <c r="AA7252" t="s">
        <v>2311</v>
      </c>
    </row>
    <row r="7253" spans="27:27">
      <c r="AA7253" t="s">
        <v>9131</v>
      </c>
    </row>
    <row r="7254" spans="27:27">
      <c r="AA7254" t="s">
        <v>2312</v>
      </c>
    </row>
    <row r="7255" spans="27:27">
      <c r="AA7255" t="s">
        <v>9132</v>
      </c>
    </row>
    <row r="7256" spans="27:27">
      <c r="AA7256" t="s">
        <v>2313</v>
      </c>
    </row>
    <row r="7257" spans="27:27">
      <c r="AA7257" t="s">
        <v>2314</v>
      </c>
    </row>
    <row r="7258" spans="27:27">
      <c r="AA7258" t="s">
        <v>9133</v>
      </c>
    </row>
    <row r="7259" spans="27:27">
      <c r="AA7259" t="s">
        <v>9134</v>
      </c>
    </row>
    <row r="7260" spans="27:27">
      <c r="AA7260" t="s">
        <v>9135</v>
      </c>
    </row>
    <row r="7261" spans="27:27">
      <c r="AA7261" t="s">
        <v>9136</v>
      </c>
    </row>
    <row r="7262" spans="27:27">
      <c r="AA7262" t="s">
        <v>2315</v>
      </c>
    </row>
    <row r="7263" spans="27:27">
      <c r="AA7263" t="s">
        <v>2316</v>
      </c>
    </row>
    <row r="7264" spans="27:27">
      <c r="AA7264" t="s">
        <v>2317</v>
      </c>
    </row>
    <row r="7265" spans="27:27">
      <c r="AA7265" t="s">
        <v>3784</v>
      </c>
    </row>
    <row r="7266" spans="27:27">
      <c r="AA7266" t="s">
        <v>9137</v>
      </c>
    </row>
    <row r="7267" spans="27:27">
      <c r="AA7267" t="s">
        <v>9138</v>
      </c>
    </row>
    <row r="7268" spans="27:27">
      <c r="AA7268" t="s">
        <v>9139</v>
      </c>
    </row>
    <row r="7269" spans="27:27">
      <c r="AA7269" t="s">
        <v>9140</v>
      </c>
    </row>
    <row r="7270" spans="27:27">
      <c r="AA7270" t="s">
        <v>9141</v>
      </c>
    </row>
    <row r="7271" spans="27:27">
      <c r="AA7271" t="s">
        <v>9142</v>
      </c>
    </row>
    <row r="7272" spans="27:27">
      <c r="AA7272" t="s">
        <v>9143</v>
      </c>
    </row>
    <row r="7273" spans="27:27">
      <c r="AA7273" t="s">
        <v>3785</v>
      </c>
    </row>
    <row r="7274" spans="27:27">
      <c r="AA7274" t="s">
        <v>2318</v>
      </c>
    </row>
    <row r="7275" spans="27:27">
      <c r="AA7275" t="s">
        <v>3786</v>
      </c>
    </row>
    <row r="7276" spans="27:27">
      <c r="AA7276" t="s">
        <v>9144</v>
      </c>
    </row>
    <row r="7277" spans="27:27">
      <c r="AA7277" t="s">
        <v>9145</v>
      </c>
    </row>
    <row r="7278" spans="27:27">
      <c r="AA7278" t="s">
        <v>2319</v>
      </c>
    </row>
    <row r="7279" spans="27:27">
      <c r="AA7279" t="s">
        <v>3787</v>
      </c>
    </row>
    <row r="7280" spans="27:27">
      <c r="AA7280" t="s">
        <v>9146</v>
      </c>
    </row>
    <row r="7281" spans="27:27">
      <c r="AA7281" t="s">
        <v>9147</v>
      </c>
    </row>
    <row r="7282" spans="27:27">
      <c r="AA7282" t="s">
        <v>2320</v>
      </c>
    </row>
    <row r="7283" spans="27:27">
      <c r="AA7283" t="s">
        <v>3788</v>
      </c>
    </row>
    <row r="7284" spans="27:27">
      <c r="AA7284" t="s">
        <v>2321</v>
      </c>
    </row>
    <row r="7285" spans="27:27">
      <c r="AA7285" t="s">
        <v>9148</v>
      </c>
    </row>
    <row r="7286" spans="27:27">
      <c r="AA7286" t="s">
        <v>9149</v>
      </c>
    </row>
    <row r="7287" spans="27:27">
      <c r="AA7287" t="s">
        <v>2322</v>
      </c>
    </row>
    <row r="7288" spans="27:27">
      <c r="AA7288" t="s">
        <v>2323</v>
      </c>
    </row>
    <row r="7289" spans="27:27">
      <c r="AA7289" t="s">
        <v>9150</v>
      </c>
    </row>
    <row r="7290" spans="27:27">
      <c r="AA7290" t="s">
        <v>9151</v>
      </c>
    </row>
    <row r="7291" spans="27:27">
      <c r="AA7291" t="s">
        <v>9152</v>
      </c>
    </row>
    <row r="7292" spans="27:27">
      <c r="AA7292" t="s">
        <v>9153</v>
      </c>
    </row>
    <row r="7293" spans="27:27">
      <c r="AA7293" t="s">
        <v>9154</v>
      </c>
    </row>
    <row r="7294" spans="27:27">
      <c r="AA7294" t="s">
        <v>9155</v>
      </c>
    </row>
    <row r="7295" spans="27:27">
      <c r="AA7295" t="s">
        <v>9156</v>
      </c>
    </row>
    <row r="7296" spans="27:27">
      <c r="AA7296" t="s">
        <v>2324</v>
      </c>
    </row>
    <row r="7297" spans="27:27">
      <c r="AA7297" t="s">
        <v>9157</v>
      </c>
    </row>
    <row r="7298" spans="27:27">
      <c r="AA7298" t="s">
        <v>9158</v>
      </c>
    </row>
    <row r="7299" spans="27:27">
      <c r="AA7299" t="s">
        <v>9159</v>
      </c>
    </row>
    <row r="7300" spans="27:27">
      <c r="AA7300" t="s">
        <v>9160</v>
      </c>
    </row>
    <row r="7301" spans="27:27">
      <c r="AA7301" t="s">
        <v>9161</v>
      </c>
    </row>
    <row r="7302" spans="27:27">
      <c r="AA7302" t="s">
        <v>9162</v>
      </c>
    </row>
    <row r="7303" spans="27:27">
      <c r="AA7303" t="s">
        <v>2325</v>
      </c>
    </row>
    <row r="7304" spans="27:27">
      <c r="AA7304" t="s">
        <v>9163</v>
      </c>
    </row>
    <row r="7305" spans="27:27">
      <c r="AA7305" t="s">
        <v>2326</v>
      </c>
    </row>
    <row r="7306" spans="27:27">
      <c r="AA7306" t="s">
        <v>9164</v>
      </c>
    </row>
    <row r="7307" spans="27:27">
      <c r="AA7307" t="s">
        <v>2327</v>
      </c>
    </row>
    <row r="7308" spans="27:27">
      <c r="AA7308" t="s">
        <v>9165</v>
      </c>
    </row>
    <row r="7309" spans="27:27">
      <c r="AA7309" t="s">
        <v>9166</v>
      </c>
    </row>
    <row r="7310" spans="27:27">
      <c r="AA7310" t="s">
        <v>9167</v>
      </c>
    </row>
    <row r="7311" spans="27:27">
      <c r="AA7311" t="s">
        <v>2328</v>
      </c>
    </row>
    <row r="7312" spans="27:27">
      <c r="AA7312" t="s">
        <v>9168</v>
      </c>
    </row>
    <row r="7313" spans="27:27">
      <c r="AA7313" t="s">
        <v>2329</v>
      </c>
    </row>
    <row r="7314" spans="27:27">
      <c r="AA7314" t="s">
        <v>9169</v>
      </c>
    </row>
    <row r="7315" spans="27:27">
      <c r="AA7315" t="s">
        <v>9170</v>
      </c>
    </row>
    <row r="7316" spans="27:27">
      <c r="AA7316" t="s">
        <v>9171</v>
      </c>
    </row>
    <row r="7317" spans="27:27">
      <c r="AA7317" t="s">
        <v>9172</v>
      </c>
    </row>
    <row r="7318" spans="27:27">
      <c r="AA7318" t="s">
        <v>9173</v>
      </c>
    </row>
    <row r="7319" spans="27:27">
      <c r="AA7319" t="s">
        <v>9174</v>
      </c>
    </row>
    <row r="7320" spans="27:27">
      <c r="AA7320" t="s">
        <v>9175</v>
      </c>
    </row>
    <row r="7321" spans="27:27">
      <c r="AA7321" t="s">
        <v>9176</v>
      </c>
    </row>
    <row r="7322" spans="27:27">
      <c r="AA7322" t="s">
        <v>2330</v>
      </c>
    </row>
    <row r="7323" spans="27:27">
      <c r="AA7323" t="s">
        <v>9177</v>
      </c>
    </row>
    <row r="7324" spans="27:27">
      <c r="AA7324" t="s">
        <v>2331</v>
      </c>
    </row>
    <row r="7325" spans="27:27">
      <c r="AA7325" t="s">
        <v>2332</v>
      </c>
    </row>
    <row r="7326" spans="27:27">
      <c r="AA7326" t="s">
        <v>9178</v>
      </c>
    </row>
    <row r="7327" spans="27:27">
      <c r="AA7327" t="s">
        <v>9179</v>
      </c>
    </row>
    <row r="7328" spans="27:27">
      <c r="AA7328" t="s">
        <v>9180</v>
      </c>
    </row>
    <row r="7329" spans="27:27">
      <c r="AA7329" t="s">
        <v>9181</v>
      </c>
    </row>
    <row r="7330" spans="27:27">
      <c r="AA7330" t="s">
        <v>9182</v>
      </c>
    </row>
    <row r="7331" spans="27:27">
      <c r="AA7331" t="s">
        <v>9183</v>
      </c>
    </row>
    <row r="7332" spans="27:27">
      <c r="AA7332" t="s">
        <v>9184</v>
      </c>
    </row>
    <row r="7333" spans="27:27">
      <c r="AA7333" t="s">
        <v>9185</v>
      </c>
    </row>
    <row r="7334" spans="27:27">
      <c r="AA7334" t="s">
        <v>2333</v>
      </c>
    </row>
    <row r="7335" spans="27:27">
      <c r="AA7335" t="s">
        <v>9186</v>
      </c>
    </row>
    <row r="7336" spans="27:27">
      <c r="AA7336" t="s">
        <v>9187</v>
      </c>
    </row>
    <row r="7337" spans="27:27">
      <c r="AA7337" t="s">
        <v>9188</v>
      </c>
    </row>
    <row r="7338" spans="27:27">
      <c r="AA7338" t="s">
        <v>9189</v>
      </c>
    </row>
    <row r="7339" spans="27:27">
      <c r="AA7339" t="s">
        <v>9190</v>
      </c>
    </row>
    <row r="7340" spans="27:27">
      <c r="AA7340" t="s">
        <v>9191</v>
      </c>
    </row>
    <row r="7341" spans="27:27">
      <c r="AA7341" t="s">
        <v>9192</v>
      </c>
    </row>
    <row r="7342" spans="27:27">
      <c r="AA7342" t="s">
        <v>9193</v>
      </c>
    </row>
    <row r="7343" spans="27:27">
      <c r="AA7343" t="s">
        <v>2334</v>
      </c>
    </row>
    <row r="7344" spans="27:27">
      <c r="AA7344" t="s">
        <v>2335</v>
      </c>
    </row>
    <row r="7345" spans="27:27">
      <c r="AA7345" t="s">
        <v>9194</v>
      </c>
    </row>
    <row r="7346" spans="27:27">
      <c r="AA7346" t="s">
        <v>9195</v>
      </c>
    </row>
    <row r="7347" spans="27:27">
      <c r="AA7347" t="s">
        <v>9196</v>
      </c>
    </row>
    <row r="7348" spans="27:27">
      <c r="AA7348" t="s">
        <v>9197</v>
      </c>
    </row>
    <row r="7349" spans="27:27">
      <c r="AA7349" t="s">
        <v>9198</v>
      </c>
    </row>
    <row r="7350" spans="27:27">
      <c r="AA7350" t="s">
        <v>9199</v>
      </c>
    </row>
    <row r="7351" spans="27:27">
      <c r="AA7351" t="s">
        <v>9200</v>
      </c>
    </row>
    <row r="7352" spans="27:27">
      <c r="AA7352" t="s">
        <v>9201</v>
      </c>
    </row>
    <row r="7353" spans="27:27">
      <c r="AA7353" t="s">
        <v>2336</v>
      </c>
    </row>
    <row r="7354" spans="27:27">
      <c r="AA7354" t="s">
        <v>2337</v>
      </c>
    </row>
    <row r="7355" spans="27:27">
      <c r="AA7355" t="s">
        <v>2338</v>
      </c>
    </row>
    <row r="7356" spans="27:27">
      <c r="AA7356" t="s">
        <v>9202</v>
      </c>
    </row>
    <row r="7357" spans="27:27">
      <c r="AA7357" t="s">
        <v>9203</v>
      </c>
    </row>
    <row r="7358" spans="27:27">
      <c r="AA7358" t="s">
        <v>9204</v>
      </c>
    </row>
    <row r="7359" spans="27:27">
      <c r="AA7359" t="s">
        <v>9205</v>
      </c>
    </row>
    <row r="7360" spans="27:27">
      <c r="AA7360" t="s">
        <v>9206</v>
      </c>
    </row>
    <row r="7361" spans="27:27">
      <c r="AA7361" t="s">
        <v>9207</v>
      </c>
    </row>
    <row r="7362" spans="27:27">
      <c r="AA7362" t="s">
        <v>2339</v>
      </c>
    </row>
    <row r="7363" spans="27:27">
      <c r="AA7363" t="s">
        <v>9208</v>
      </c>
    </row>
    <row r="7364" spans="27:27">
      <c r="AA7364" t="s">
        <v>2340</v>
      </c>
    </row>
    <row r="7365" spans="27:27">
      <c r="AA7365" t="s">
        <v>2341</v>
      </c>
    </row>
    <row r="7366" spans="27:27">
      <c r="AA7366" t="s">
        <v>9209</v>
      </c>
    </row>
    <row r="7367" spans="27:27">
      <c r="AA7367" t="s">
        <v>9210</v>
      </c>
    </row>
    <row r="7368" spans="27:27">
      <c r="AA7368" t="s">
        <v>9211</v>
      </c>
    </row>
    <row r="7369" spans="27:27">
      <c r="AA7369" t="s">
        <v>2342</v>
      </c>
    </row>
    <row r="7370" spans="27:27">
      <c r="AA7370" t="s">
        <v>9212</v>
      </c>
    </row>
    <row r="7371" spans="27:27">
      <c r="AA7371" t="s">
        <v>9213</v>
      </c>
    </row>
    <row r="7372" spans="27:27">
      <c r="AA7372" t="s">
        <v>9214</v>
      </c>
    </row>
    <row r="7373" spans="27:27">
      <c r="AA7373" t="s">
        <v>9215</v>
      </c>
    </row>
    <row r="7374" spans="27:27">
      <c r="AA7374" t="s">
        <v>9216</v>
      </c>
    </row>
    <row r="7375" spans="27:27">
      <c r="AA7375" t="s">
        <v>9217</v>
      </c>
    </row>
    <row r="7376" spans="27:27">
      <c r="AA7376" t="s">
        <v>9218</v>
      </c>
    </row>
    <row r="7377" spans="27:27">
      <c r="AA7377" t="s">
        <v>9219</v>
      </c>
    </row>
    <row r="7378" spans="27:27">
      <c r="AA7378" t="s">
        <v>2343</v>
      </c>
    </row>
    <row r="7379" spans="27:27">
      <c r="AA7379" t="s">
        <v>9220</v>
      </c>
    </row>
    <row r="7380" spans="27:27">
      <c r="AA7380" t="s">
        <v>9221</v>
      </c>
    </row>
    <row r="7381" spans="27:27">
      <c r="AA7381" t="s">
        <v>9222</v>
      </c>
    </row>
    <row r="7382" spans="27:27">
      <c r="AA7382" t="s">
        <v>9223</v>
      </c>
    </row>
    <row r="7383" spans="27:27">
      <c r="AA7383" t="s">
        <v>9224</v>
      </c>
    </row>
    <row r="7384" spans="27:27">
      <c r="AA7384" t="s">
        <v>9225</v>
      </c>
    </row>
    <row r="7385" spans="27:27">
      <c r="AA7385" t="s">
        <v>9226</v>
      </c>
    </row>
    <row r="7386" spans="27:27">
      <c r="AA7386" t="s">
        <v>9227</v>
      </c>
    </row>
    <row r="7387" spans="27:27">
      <c r="AA7387" t="s">
        <v>9228</v>
      </c>
    </row>
    <row r="7388" spans="27:27">
      <c r="AA7388" t="s">
        <v>2344</v>
      </c>
    </row>
    <row r="7389" spans="27:27">
      <c r="AA7389" t="s">
        <v>9229</v>
      </c>
    </row>
    <row r="7390" spans="27:27">
      <c r="AA7390" t="s">
        <v>2345</v>
      </c>
    </row>
    <row r="7391" spans="27:27">
      <c r="AA7391" t="s">
        <v>9230</v>
      </c>
    </row>
    <row r="7392" spans="27:27">
      <c r="AA7392" t="s">
        <v>9231</v>
      </c>
    </row>
    <row r="7393" spans="27:27">
      <c r="AA7393" t="s">
        <v>9232</v>
      </c>
    </row>
    <row r="7394" spans="27:27">
      <c r="AA7394" t="s">
        <v>9233</v>
      </c>
    </row>
    <row r="7395" spans="27:27">
      <c r="AA7395" t="s">
        <v>9234</v>
      </c>
    </row>
    <row r="7396" spans="27:27">
      <c r="AA7396" t="s">
        <v>9235</v>
      </c>
    </row>
    <row r="7397" spans="27:27">
      <c r="AA7397" t="s">
        <v>9236</v>
      </c>
    </row>
    <row r="7398" spans="27:27">
      <c r="AA7398" t="s">
        <v>9237</v>
      </c>
    </row>
    <row r="7399" spans="27:27">
      <c r="AA7399" t="s">
        <v>2346</v>
      </c>
    </row>
    <row r="7400" spans="27:27">
      <c r="AA7400" t="s">
        <v>2347</v>
      </c>
    </row>
    <row r="7401" spans="27:27">
      <c r="AA7401" t="s">
        <v>9238</v>
      </c>
    </row>
    <row r="7402" spans="27:27">
      <c r="AA7402" t="s">
        <v>2348</v>
      </c>
    </row>
    <row r="7403" spans="27:27">
      <c r="AA7403" t="s">
        <v>2349</v>
      </c>
    </row>
    <row r="7404" spans="27:27">
      <c r="AA7404" t="s">
        <v>9239</v>
      </c>
    </row>
    <row r="7405" spans="27:27">
      <c r="AA7405" t="s">
        <v>9240</v>
      </c>
    </row>
    <row r="7406" spans="27:27">
      <c r="AA7406" t="s">
        <v>9241</v>
      </c>
    </row>
    <row r="7407" spans="27:27">
      <c r="AA7407" t="s">
        <v>9242</v>
      </c>
    </row>
    <row r="7408" spans="27:27">
      <c r="AA7408" t="s">
        <v>9243</v>
      </c>
    </row>
    <row r="7409" spans="27:27">
      <c r="AA7409" t="s">
        <v>9244</v>
      </c>
    </row>
    <row r="7410" spans="27:27">
      <c r="AA7410" t="s">
        <v>9245</v>
      </c>
    </row>
    <row r="7411" spans="27:27">
      <c r="AA7411" t="s">
        <v>9246</v>
      </c>
    </row>
    <row r="7412" spans="27:27">
      <c r="AA7412" t="s">
        <v>2350</v>
      </c>
    </row>
    <row r="7413" spans="27:27">
      <c r="AA7413" t="s">
        <v>9247</v>
      </c>
    </row>
    <row r="7414" spans="27:27">
      <c r="AA7414" t="s">
        <v>9248</v>
      </c>
    </row>
    <row r="7415" spans="27:27">
      <c r="AA7415" t="s">
        <v>9249</v>
      </c>
    </row>
    <row r="7416" spans="27:27">
      <c r="AA7416" t="s">
        <v>9250</v>
      </c>
    </row>
    <row r="7417" spans="27:27">
      <c r="AA7417" t="s">
        <v>9251</v>
      </c>
    </row>
    <row r="7418" spans="27:27">
      <c r="AA7418" t="s">
        <v>9252</v>
      </c>
    </row>
    <row r="7419" spans="27:27">
      <c r="AA7419" t="s">
        <v>9253</v>
      </c>
    </row>
    <row r="7420" spans="27:27">
      <c r="AA7420" t="s">
        <v>9254</v>
      </c>
    </row>
    <row r="7421" spans="27:27">
      <c r="AA7421" t="s">
        <v>2351</v>
      </c>
    </row>
    <row r="7422" spans="27:27">
      <c r="AA7422" t="s">
        <v>2352</v>
      </c>
    </row>
    <row r="7423" spans="27:27">
      <c r="AA7423" t="s">
        <v>9255</v>
      </c>
    </row>
    <row r="7424" spans="27:27">
      <c r="AA7424" t="s">
        <v>9256</v>
      </c>
    </row>
    <row r="7425" spans="27:27">
      <c r="AA7425" t="s">
        <v>9257</v>
      </c>
    </row>
    <row r="7426" spans="27:27">
      <c r="AA7426" t="s">
        <v>9258</v>
      </c>
    </row>
    <row r="7427" spans="27:27">
      <c r="AA7427" t="s">
        <v>9259</v>
      </c>
    </row>
    <row r="7428" spans="27:27">
      <c r="AA7428" t="s">
        <v>9260</v>
      </c>
    </row>
    <row r="7429" spans="27:27">
      <c r="AA7429" t="s">
        <v>9261</v>
      </c>
    </row>
    <row r="7430" spans="27:27">
      <c r="AA7430" t="s">
        <v>9262</v>
      </c>
    </row>
    <row r="7431" spans="27:27">
      <c r="AA7431" t="s">
        <v>2353</v>
      </c>
    </row>
    <row r="7432" spans="27:27">
      <c r="AA7432" t="s">
        <v>2354</v>
      </c>
    </row>
    <row r="7433" spans="27:27">
      <c r="AA7433" t="s">
        <v>9263</v>
      </c>
    </row>
    <row r="7434" spans="27:27">
      <c r="AA7434" t="s">
        <v>2355</v>
      </c>
    </row>
    <row r="7435" spans="27:27">
      <c r="AA7435" t="s">
        <v>9264</v>
      </c>
    </row>
    <row r="7436" spans="27:27">
      <c r="AA7436" t="s">
        <v>9265</v>
      </c>
    </row>
    <row r="7437" spans="27:27">
      <c r="AA7437" t="s">
        <v>9266</v>
      </c>
    </row>
    <row r="7438" spans="27:27">
      <c r="AA7438" t="s">
        <v>9267</v>
      </c>
    </row>
    <row r="7439" spans="27:27">
      <c r="AA7439" t="s">
        <v>9268</v>
      </c>
    </row>
    <row r="7440" spans="27:27">
      <c r="AA7440" t="s">
        <v>9269</v>
      </c>
    </row>
    <row r="7441" spans="27:27">
      <c r="AA7441" t="s">
        <v>9270</v>
      </c>
    </row>
    <row r="7442" spans="27:27">
      <c r="AA7442" t="s">
        <v>2356</v>
      </c>
    </row>
    <row r="7443" spans="27:27">
      <c r="AA7443" t="s">
        <v>2357</v>
      </c>
    </row>
    <row r="7444" spans="27:27">
      <c r="AA7444" t="s">
        <v>9271</v>
      </c>
    </row>
    <row r="7445" spans="27:27">
      <c r="AA7445" t="s">
        <v>9272</v>
      </c>
    </row>
    <row r="7446" spans="27:27">
      <c r="AA7446" t="s">
        <v>9273</v>
      </c>
    </row>
    <row r="7447" spans="27:27">
      <c r="AA7447" t="s">
        <v>9274</v>
      </c>
    </row>
    <row r="7448" spans="27:27">
      <c r="AA7448" t="s">
        <v>9275</v>
      </c>
    </row>
    <row r="7449" spans="27:27">
      <c r="AA7449" t="s">
        <v>9276</v>
      </c>
    </row>
    <row r="7450" spans="27:27">
      <c r="AA7450" t="s">
        <v>9277</v>
      </c>
    </row>
    <row r="7451" spans="27:27">
      <c r="AA7451" t="s">
        <v>2358</v>
      </c>
    </row>
    <row r="7452" spans="27:27">
      <c r="AA7452" t="s">
        <v>9278</v>
      </c>
    </row>
    <row r="7453" spans="27:27">
      <c r="AA7453" t="s">
        <v>9279</v>
      </c>
    </row>
    <row r="7454" spans="27:27">
      <c r="AA7454" t="s">
        <v>9280</v>
      </c>
    </row>
    <row r="7455" spans="27:27">
      <c r="AA7455" t="s">
        <v>9281</v>
      </c>
    </row>
    <row r="7456" spans="27:27">
      <c r="AA7456" t="s">
        <v>9282</v>
      </c>
    </row>
    <row r="7457" spans="27:27">
      <c r="AA7457" t="s">
        <v>9283</v>
      </c>
    </row>
    <row r="7458" spans="27:27">
      <c r="AA7458" t="s">
        <v>9284</v>
      </c>
    </row>
    <row r="7459" spans="27:27">
      <c r="AA7459" t="s">
        <v>2359</v>
      </c>
    </row>
    <row r="7460" spans="27:27">
      <c r="AA7460" t="s">
        <v>9285</v>
      </c>
    </row>
    <row r="7461" spans="27:27">
      <c r="AA7461" t="s">
        <v>2360</v>
      </c>
    </row>
    <row r="7462" spans="27:27">
      <c r="AA7462" t="s">
        <v>9286</v>
      </c>
    </row>
    <row r="7463" spans="27:27">
      <c r="AA7463" t="s">
        <v>2361</v>
      </c>
    </row>
    <row r="7464" spans="27:27">
      <c r="AA7464" t="s">
        <v>9287</v>
      </c>
    </row>
    <row r="7465" spans="27:27">
      <c r="AA7465" t="s">
        <v>9288</v>
      </c>
    </row>
    <row r="7466" spans="27:27">
      <c r="AA7466" t="s">
        <v>9289</v>
      </c>
    </row>
    <row r="7467" spans="27:27">
      <c r="AA7467" t="s">
        <v>9290</v>
      </c>
    </row>
    <row r="7468" spans="27:27">
      <c r="AA7468" t="s">
        <v>9291</v>
      </c>
    </row>
    <row r="7469" spans="27:27">
      <c r="AA7469" t="s">
        <v>9292</v>
      </c>
    </row>
    <row r="7470" spans="27:27">
      <c r="AA7470" t="s">
        <v>9293</v>
      </c>
    </row>
    <row r="7471" spans="27:27">
      <c r="AA7471" t="s">
        <v>9294</v>
      </c>
    </row>
    <row r="7472" spans="27:27">
      <c r="AA7472" t="s">
        <v>9295</v>
      </c>
    </row>
    <row r="7473" spans="27:27">
      <c r="AA7473" t="s">
        <v>2362</v>
      </c>
    </row>
    <row r="7474" spans="27:27">
      <c r="AA7474" t="s">
        <v>9296</v>
      </c>
    </row>
    <row r="7475" spans="27:27">
      <c r="AA7475" t="s">
        <v>3789</v>
      </c>
    </row>
    <row r="7476" spans="27:27">
      <c r="AA7476" t="s">
        <v>9297</v>
      </c>
    </row>
    <row r="7477" spans="27:27">
      <c r="AA7477" t="s">
        <v>2363</v>
      </c>
    </row>
    <row r="7478" spans="27:27">
      <c r="AA7478" t="s">
        <v>9298</v>
      </c>
    </row>
    <row r="7479" spans="27:27">
      <c r="AA7479" t="s">
        <v>9299</v>
      </c>
    </row>
    <row r="7480" spans="27:27">
      <c r="AA7480" t="s">
        <v>2364</v>
      </c>
    </row>
    <row r="7481" spans="27:27">
      <c r="AA7481" t="s">
        <v>9300</v>
      </c>
    </row>
    <row r="7482" spans="27:27">
      <c r="AA7482" t="s">
        <v>9301</v>
      </c>
    </row>
    <row r="7483" spans="27:27">
      <c r="AA7483" t="s">
        <v>9302</v>
      </c>
    </row>
    <row r="7484" spans="27:27">
      <c r="AA7484" t="s">
        <v>2365</v>
      </c>
    </row>
    <row r="7485" spans="27:27">
      <c r="AA7485" t="s">
        <v>9303</v>
      </c>
    </row>
    <row r="7486" spans="27:27">
      <c r="AA7486" t="s">
        <v>9304</v>
      </c>
    </row>
    <row r="7487" spans="27:27">
      <c r="AA7487" t="s">
        <v>9305</v>
      </c>
    </row>
    <row r="7488" spans="27:27">
      <c r="AA7488" t="s">
        <v>2366</v>
      </c>
    </row>
    <row r="7489" spans="27:27">
      <c r="AA7489" t="s">
        <v>9306</v>
      </c>
    </row>
    <row r="7490" spans="27:27">
      <c r="AA7490" t="s">
        <v>9307</v>
      </c>
    </row>
    <row r="7491" spans="27:27">
      <c r="AA7491" t="s">
        <v>9308</v>
      </c>
    </row>
    <row r="7492" spans="27:27">
      <c r="AA7492" t="s">
        <v>9309</v>
      </c>
    </row>
    <row r="7493" spans="27:27">
      <c r="AA7493" t="s">
        <v>2367</v>
      </c>
    </row>
    <row r="7494" spans="27:27">
      <c r="AA7494" t="s">
        <v>9310</v>
      </c>
    </row>
    <row r="7495" spans="27:27">
      <c r="AA7495" t="s">
        <v>9311</v>
      </c>
    </row>
    <row r="7496" spans="27:27">
      <c r="AA7496" t="s">
        <v>9312</v>
      </c>
    </row>
    <row r="7497" spans="27:27">
      <c r="AA7497" t="s">
        <v>9313</v>
      </c>
    </row>
    <row r="7498" spans="27:27">
      <c r="AA7498" t="s">
        <v>2368</v>
      </c>
    </row>
    <row r="7499" spans="27:27">
      <c r="AA7499" t="s">
        <v>9314</v>
      </c>
    </row>
    <row r="7500" spans="27:27">
      <c r="AA7500" t="s">
        <v>2369</v>
      </c>
    </row>
    <row r="7501" spans="27:27">
      <c r="AA7501" t="s">
        <v>9315</v>
      </c>
    </row>
    <row r="7502" spans="27:27">
      <c r="AA7502" t="s">
        <v>9316</v>
      </c>
    </row>
    <row r="7503" spans="27:27">
      <c r="AA7503" t="s">
        <v>9317</v>
      </c>
    </row>
    <row r="7504" spans="27:27">
      <c r="AA7504" t="s">
        <v>9318</v>
      </c>
    </row>
    <row r="7505" spans="27:27">
      <c r="AA7505" t="s">
        <v>9319</v>
      </c>
    </row>
    <row r="7506" spans="27:27">
      <c r="AA7506" t="s">
        <v>9320</v>
      </c>
    </row>
    <row r="7507" spans="27:27">
      <c r="AA7507" t="s">
        <v>9321</v>
      </c>
    </row>
    <row r="7508" spans="27:27">
      <c r="AA7508" t="s">
        <v>2370</v>
      </c>
    </row>
    <row r="7509" spans="27:27">
      <c r="AA7509" t="s">
        <v>9322</v>
      </c>
    </row>
    <row r="7510" spans="27:27">
      <c r="AA7510" t="s">
        <v>2371</v>
      </c>
    </row>
    <row r="7511" spans="27:27">
      <c r="AA7511" t="s">
        <v>9323</v>
      </c>
    </row>
    <row r="7512" spans="27:27">
      <c r="AA7512" t="s">
        <v>2372</v>
      </c>
    </row>
    <row r="7513" spans="27:27">
      <c r="AA7513" t="s">
        <v>2373</v>
      </c>
    </row>
    <row r="7514" spans="27:27">
      <c r="AA7514" t="s">
        <v>2374</v>
      </c>
    </row>
    <row r="7515" spans="27:27">
      <c r="AA7515" t="s">
        <v>2375</v>
      </c>
    </row>
    <row r="7516" spans="27:27">
      <c r="AA7516" t="s">
        <v>9324</v>
      </c>
    </row>
    <row r="7517" spans="27:27">
      <c r="AA7517" t="s">
        <v>9325</v>
      </c>
    </row>
    <row r="7518" spans="27:27">
      <c r="AA7518" t="s">
        <v>9326</v>
      </c>
    </row>
    <row r="7519" spans="27:27">
      <c r="AA7519" t="s">
        <v>9327</v>
      </c>
    </row>
    <row r="7520" spans="27:27">
      <c r="AA7520" t="s">
        <v>9328</v>
      </c>
    </row>
    <row r="7521" spans="27:27">
      <c r="AA7521" t="s">
        <v>9329</v>
      </c>
    </row>
    <row r="7522" spans="27:27">
      <c r="AA7522" t="s">
        <v>2376</v>
      </c>
    </row>
    <row r="7523" spans="27:27">
      <c r="AA7523" t="s">
        <v>9330</v>
      </c>
    </row>
    <row r="7524" spans="27:27">
      <c r="AA7524" t="s">
        <v>9331</v>
      </c>
    </row>
    <row r="7525" spans="27:27">
      <c r="AA7525" t="s">
        <v>9332</v>
      </c>
    </row>
    <row r="7526" spans="27:27">
      <c r="AA7526" t="s">
        <v>9333</v>
      </c>
    </row>
    <row r="7527" spans="27:27">
      <c r="AA7527" t="s">
        <v>2377</v>
      </c>
    </row>
    <row r="7528" spans="27:27">
      <c r="AA7528" t="s">
        <v>9334</v>
      </c>
    </row>
    <row r="7529" spans="27:27">
      <c r="AA7529" t="s">
        <v>9335</v>
      </c>
    </row>
    <row r="7530" spans="27:27">
      <c r="AA7530" t="s">
        <v>9336</v>
      </c>
    </row>
    <row r="7531" spans="27:27">
      <c r="AA7531" t="s">
        <v>9337</v>
      </c>
    </row>
    <row r="7532" spans="27:27">
      <c r="AA7532" t="s">
        <v>2378</v>
      </c>
    </row>
    <row r="7533" spans="27:27">
      <c r="AA7533" t="s">
        <v>9338</v>
      </c>
    </row>
    <row r="7534" spans="27:27">
      <c r="AA7534" t="s">
        <v>2379</v>
      </c>
    </row>
    <row r="7535" spans="27:27">
      <c r="AA7535" t="s">
        <v>9339</v>
      </c>
    </row>
    <row r="7536" spans="27:27">
      <c r="AA7536" t="s">
        <v>9340</v>
      </c>
    </row>
    <row r="7537" spans="27:27">
      <c r="AA7537" t="s">
        <v>9341</v>
      </c>
    </row>
    <row r="7538" spans="27:27">
      <c r="AA7538" t="s">
        <v>9342</v>
      </c>
    </row>
    <row r="7539" spans="27:27">
      <c r="AA7539" t="s">
        <v>9343</v>
      </c>
    </row>
    <row r="7540" spans="27:27">
      <c r="AA7540" t="s">
        <v>9344</v>
      </c>
    </row>
    <row r="7541" spans="27:27">
      <c r="AA7541" t="s">
        <v>9345</v>
      </c>
    </row>
    <row r="7542" spans="27:27">
      <c r="AA7542" t="s">
        <v>9346</v>
      </c>
    </row>
    <row r="7543" spans="27:27">
      <c r="AA7543" t="s">
        <v>2380</v>
      </c>
    </row>
    <row r="7544" spans="27:27">
      <c r="AA7544" t="s">
        <v>9347</v>
      </c>
    </row>
    <row r="7545" spans="27:27">
      <c r="AA7545" t="s">
        <v>9348</v>
      </c>
    </row>
    <row r="7546" spans="27:27">
      <c r="AA7546" t="s">
        <v>9349</v>
      </c>
    </row>
    <row r="7547" spans="27:27">
      <c r="AA7547" t="s">
        <v>9350</v>
      </c>
    </row>
    <row r="7548" spans="27:27">
      <c r="AA7548" t="s">
        <v>9351</v>
      </c>
    </row>
    <row r="7549" spans="27:27">
      <c r="AA7549" t="s">
        <v>9352</v>
      </c>
    </row>
    <row r="7550" spans="27:27">
      <c r="AA7550" t="s">
        <v>9353</v>
      </c>
    </row>
    <row r="7551" spans="27:27">
      <c r="AA7551" t="s">
        <v>9354</v>
      </c>
    </row>
    <row r="7552" spans="27:27">
      <c r="AA7552" t="s">
        <v>9355</v>
      </c>
    </row>
    <row r="7553" spans="27:27">
      <c r="AA7553" t="s">
        <v>9356</v>
      </c>
    </row>
    <row r="7554" spans="27:27">
      <c r="AA7554" t="s">
        <v>2381</v>
      </c>
    </row>
    <row r="7555" spans="27:27">
      <c r="AA7555" t="s">
        <v>9357</v>
      </c>
    </row>
    <row r="7556" spans="27:27">
      <c r="AA7556" t="s">
        <v>9358</v>
      </c>
    </row>
    <row r="7557" spans="27:27">
      <c r="AA7557" t="s">
        <v>9359</v>
      </c>
    </row>
    <row r="7558" spans="27:27">
      <c r="AA7558" t="s">
        <v>9360</v>
      </c>
    </row>
    <row r="7559" spans="27:27">
      <c r="AA7559" t="s">
        <v>9361</v>
      </c>
    </row>
    <row r="7560" spans="27:27">
      <c r="AA7560" t="s">
        <v>9362</v>
      </c>
    </row>
    <row r="7561" spans="27:27">
      <c r="AA7561" t="s">
        <v>9363</v>
      </c>
    </row>
    <row r="7562" spans="27:27">
      <c r="AA7562" t="s">
        <v>9364</v>
      </c>
    </row>
    <row r="7563" spans="27:27">
      <c r="AA7563" t="s">
        <v>9365</v>
      </c>
    </row>
    <row r="7564" spans="27:27">
      <c r="AA7564" t="s">
        <v>9366</v>
      </c>
    </row>
    <row r="7565" spans="27:27">
      <c r="AA7565" t="s">
        <v>2382</v>
      </c>
    </row>
    <row r="7566" spans="27:27">
      <c r="AA7566" t="s">
        <v>9367</v>
      </c>
    </row>
    <row r="7567" spans="27:27">
      <c r="AA7567" t="s">
        <v>2383</v>
      </c>
    </row>
    <row r="7568" spans="27:27">
      <c r="AA7568" t="s">
        <v>9368</v>
      </c>
    </row>
    <row r="7569" spans="27:27">
      <c r="AA7569" t="s">
        <v>2384</v>
      </c>
    </row>
    <row r="7570" spans="27:27">
      <c r="AA7570" t="s">
        <v>9369</v>
      </c>
    </row>
    <row r="7571" spans="27:27">
      <c r="AA7571" t="s">
        <v>2385</v>
      </c>
    </row>
    <row r="7572" spans="27:27">
      <c r="AA7572" t="s">
        <v>9370</v>
      </c>
    </row>
    <row r="7573" spans="27:27">
      <c r="AA7573" t="s">
        <v>9371</v>
      </c>
    </row>
    <row r="7574" spans="27:27">
      <c r="AA7574" t="s">
        <v>2386</v>
      </c>
    </row>
    <row r="7575" spans="27:27">
      <c r="AA7575" t="s">
        <v>2387</v>
      </c>
    </row>
    <row r="7576" spans="27:27">
      <c r="AA7576" t="s">
        <v>9372</v>
      </c>
    </row>
    <row r="7577" spans="27:27">
      <c r="AA7577" t="s">
        <v>2388</v>
      </c>
    </row>
    <row r="7578" spans="27:27">
      <c r="AA7578" t="s">
        <v>3790</v>
      </c>
    </row>
    <row r="7579" spans="27:27">
      <c r="AA7579" t="s">
        <v>9373</v>
      </c>
    </row>
    <row r="7580" spans="27:27">
      <c r="AA7580" t="s">
        <v>9374</v>
      </c>
    </row>
    <row r="7581" spans="27:27">
      <c r="AA7581" t="s">
        <v>9375</v>
      </c>
    </row>
    <row r="7582" spans="27:27">
      <c r="AA7582" t="s">
        <v>9376</v>
      </c>
    </row>
    <row r="7583" spans="27:27">
      <c r="AA7583" t="s">
        <v>9377</v>
      </c>
    </row>
    <row r="7584" spans="27:27">
      <c r="AA7584" t="s">
        <v>9378</v>
      </c>
    </row>
    <row r="7585" spans="27:27">
      <c r="AA7585" t="s">
        <v>9379</v>
      </c>
    </row>
    <row r="7586" spans="27:27">
      <c r="AA7586" t="s">
        <v>9380</v>
      </c>
    </row>
    <row r="7587" spans="27:27">
      <c r="AA7587" t="s">
        <v>9381</v>
      </c>
    </row>
    <row r="7588" spans="27:27">
      <c r="AA7588" t="s">
        <v>9382</v>
      </c>
    </row>
    <row r="7589" spans="27:27">
      <c r="AA7589" t="s">
        <v>9383</v>
      </c>
    </row>
    <row r="7590" spans="27:27">
      <c r="AA7590" t="s">
        <v>2389</v>
      </c>
    </row>
    <row r="7591" spans="27:27">
      <c r="AA7591" t="s">
        <v>2390</v>
      </c>
    </row>
    <row r="7592" spans="27:27">
      <c r="AA7592" t="s">
        <v>2391</v>
      </c>
    </row>
    <row r="7593" spans="27:27">
      <c r="AA7593" t="s">
        <v>3791</v>
      </c>
    </row>
    <row r="7594" spans="27:27">
      <c r="AA7594" t="s">
        <v>9384</v>
      </c>
    </row>
    <row r="7595" spans="27:27">
      <c r="AA7595" t="s">
        <v>9385</v>
      </c>
    </row>
    <row r="7596" spans="27:27">
      <c r="AA7596" t="s">
        <v>9386</v>
      </c>
    </row>
    <row r="7597" spans="27:27">
      <c r="AA7597" t="s">
        <v>2392</v>
      </c>
    </row>
    <row r="7598" spans="27:27">
      <c r="AA7598" t="s">
        <v>3792</v>
      </c>
    </row>
    <row r="7599" spans="27:27">
      <c r="AA7599" t="s">
        <v>9387</v>
      </c>
    </row>
    <row r="7600" spans="27:27">
      <c r="AA7600" t="s">
        <v>9388</v>
      </c>
    </row>
    <row r="7601" spans="27:27">
      <c r="AA7601" t="s">
        <v>9389</v>
      </c>
    </row>
    <row r="7602" spans="27:27">
      <c r="AA7602" t="s">
        <v>9390</v>
      </c>
    </row>
    <row r="7603" spans="27:27">
      <c r="AA7603" t="s">
        <v>806</v>
      </c>
    </row>
    <row r="7604" spans="27:27">
      <c r="AA7604" t="s">
        <v>9391</v>
      </c>
    </row>
    <row r="7605" spans="27:27">
      <c r="AA7605" t="s">
        <v>2393</v>
      </c>
    </row>
    <row r="7606" spans="27:27">
      <c r="AA7606" t="s">
        <v>2394</v>
      </c>
    </row>
    <row r="7607" spans="27:27">
      <c r="AA7607" t="s">
        <v>9392</v>
      </c>
    </row>
    <row r="7608" spans="27:27">
      <c r="AA7608" t="s">
        <v>9393</v>
      </c>
    </row>
    <row r="7609" spans="27:27">
      <c r="AA7609" t="s">
        <v>9394</v>
      </c>
    </row>
    <row r="7610" spans="27:27">
      <c r="AA7610" t="s">
        <v>9395</v>
      </c>
    </row>
    <row r="7611" spans="27:27">
      <c r="AA7611" t="s">
        <v>9396</v>
      </c>
    </row>
    <row r="7612" spans="27:27">
      <c r="AA7612" t="s">
        <v>9397</v>
      </c>
    </row>
    <row r="7613" spans="27:27">
      <c r="AA7613" t="s">
        <v>9398</v>
      </c>
    </row>
    <row r="7614" spans="27:27">
      <c r="AA7614" t="s">
        <v>807</v>
      </c>
    </row>
    <row r="7615" spans="27:27">
      <c r="AA7615" t="s">
        <v>808</v>
      </c>
    </row>
    <row r="7616" spans="27:27">
      <c r="AA7616" t="s">
        <v>809</v>
      </c>
    </row>
    <row r="7617" spans="27:27">
      <c r="AA7617" t="s">
        <v>810</v>
      </c>
    </row>
    <row r="7618" spans="27:27">
      <c r="AA7618" t="s">
        <v>2395</v>
      </c>
    </row>
    <row r="7619" spans="27:27">
      <c r="AA7619" t="s">
        <v>2396</v>
      </c>
    </row>
    <row r="7620" spans="27:27">
      <c r="AA7620" t="s">
        <v>2397</v>
      </c>
    </row>
    <row r="7621" spans="27:27">
      <c r="AA7621" t="s">
        <v>811</v>
      </c>
    </row>
    <row r="7622" spans="27:27">
      <c r="AA7622" t="s">
        <v>812</v>
      </c>
    </row>
    <row r="7623" spans="27:27">
      <c r="AA7623" t="s">
        <v>813</v>
      </c>
    </row>
    <row r="7624" spans="27:27">
      <c r="AA7624" t="s">
        <v>814</v>
      </c>
    </row>
    <row r="7625" spans="27:27">
      <c r="AA7625" t="s">
        <v>9399</v>
      </c>
    </row>
    <row r="7626" spans="27:27">
      <c r="AA7626" t="s">
        <v>815</v>
      </c>
    </row>
    <row r="7627" spans="27:27">
      <c r="AA7627" t="s">
        <v>2398</v>
      </c>
    </row>
    <row r="7628" spans="27:27">
      <c r="AA7628" t="s">
        <v>9400</v>
      </c>
    </row>
    <row r="7629" spans="27:27">
      <c r="AA7629" t="s">
        <v>2399</v>
      </c>
    </row>
    <row r="7630" spans="27:27">
      <c r="AA7630" t="s">
        <v>816</v>
      </c>
    </row>
    <row r="7631" spans="27:27">
      <c r="AA7631" t="s">
        <v>2400</v>
      </c>
    </row>
    <row r="7632" spans="27:27">
      <c r="AA7632" t="s">
        <v>9401</v>
      </c>
    </row>
    <row r="7633" spans="27:27">
      <c r="AA7633" t="s">
        <v>9402</v>
      </c>
    </row>
    <row r="7634" spans="27:27">
      <c r="AA7634" t="s">
        <v>9403</v>
      </c>
    </row>
    <row r="7635" spans="27:27">
      <c r="AA7635" t="s">
        <v>9404</v>
      </c>
    </row>
    <row r="7636" spans="27:27">
      <c r="AA7636" t="s">
        <v>2401</v>
      </c>
    </row>
    <row r="7637" spans="27:27">
      <c r="AA7637" t="s">
        <v>9405</v>
      </c>
    </row>
    <row r="7638" spans="27:27">
      <c r="AA7638" t="s">
        <v>2402</v>
      </c>
    </row>
    <row r="7639" spans="27:27">
      <c r="AA7639" t="s">
        <v>817</v>
      </c>
    </row>
    <row r="7640" spans="27:27">
      <c r="AA7640" t="s">
        <v>9406</v>
      </c>
    </row>
    <row r="7641" spans="27:27">
      <c r="AA7641" t="s">
        <v>2403</v>
      </c>
    </row>
    <row r="7642" spans="27:27">
      <c r="AA7642" t="s">
        <v>9407</v>
      </c>
    </row>
    <row r="7643" spans="27:27">
      <c r="AA7643" t="s">
        <v>2404</v>
      </c>
    </row>
    <row r="7644" spans="27:27">
      <c r="AA7644" t="s">
        <v>9408</v>
      </c>
    </row>
    <row r="7645" spans="27:27">
      <c r="AA7645" t="s">
        <v>9409</v>
      </c>
    </row>
    <row r="7646" spans="27:27">
      <c r="AA7646" t="s">
        <v>9410</v>
      </c>
    </row>
    <row r="7647" spans="27:27">
      <c r="AA7647" t="s">
        <v>9411</v>
      </c>
    </row>
    <row r="7648" spans="27:27">
      <c r="AA7648" t="s">
        <v>2405</v>
      </c>
    </row>
    <row r="7649" spans="27:27">
      <c r="AA7649" t="s">
        <v>9412</v>
      </c>
    </row>
    <row r="7650" spans="27:27">
      <c r="AA7650" t="s">
        <v>9413</v>
      </c>
    </row>
    <row r="7651" spans="27:27">
      <c r="AA7651" t="s">
        <v>9414</v>
      </c>
    </row>
    <row r="7652" spans="27:27">
      <c r="AA7652" t="s">
        <v>2406</v>
      </c>
    </row>
    <row r="7653" spans="27:27">
      <c r="AA7653" t="s">
        <v>9415</v>
      </c>
    </row>
    <row r="7654" spans="27:27">
      <c r="AA7654" t="s">
        <v>9416</v>
      </c>
    </row>
    <row r="7655" spans="27:27">
      <c r="AA7655" t="s">
        <v>9417</v>
      </c>
    </row>
    <row r="7656" spans="27:27">
      <c r="AA7656" t="s">
        <v>9418</v>
      </c>
    </row>
    <row r="7657" spans="27:27">
      <c r="AA7657" t="s">
        <v>2407</v>
      </c>
    </row>
    <row r="7658" spans="27:27">
      <c r="AA7658" t="s">
        <v>9419</v>
      </c>
    </row>
    <row r="7659" spans="27:27">
      <c r="AA7659" t="s">
        <v>9420</v>
      </c>
    </row>
    <row r="7660" spans="27:27">
      <c r="AA7660" t="s">
        <v>2408</v>
      </c>
    </row>
    <row r="7661" spans="27:27">
      <c r="AA7661" t="s">
        <v>9421</v>
      </c>
    </row>
    <row r="7662" spans="27:27">
      <c r="AA7662" t="s">
        <v>9422</v>
      </c>
    </row>
    <row r="7663" spans="27:27">
      <c r="AA7663" t="s">
        <v>9423</v>
      </c>
    </row>
    <row r="7664" spans="27:27">
      <c r="AA7664" t="s">
        <v>9424</v>
      </c>
    </row>
    <row r="7665" spans="27:27">
      <c r="AA7665" t="s">
        <v>9425</v>
      </c>
    </row>
    <row r="7666" spans="27:27">
      <c r="AA7666" t="s">
        <v>2409</v>
      </c>
    </row>
    <row r="7667" spans="27:27">
      <c r="AA7667" t="s">
        <v>9426</v>
      </c>
    </row>
    <row r="7668" spans="27:27">
      <c r="AA7668" t="s">
        <v>9427</v>
      </c>
    </row>
    <row r="7669" spans="27:27">
      <c r="AA7669" t="s">
        <v>2410</v>
      </c>
    </row>
    <row r="7670" spans="27:27">
      <c r="AA7670" t="s">
        <v>2411</v>
      </c>
    </row>
    <row r="7671" spans="27:27">
      <c r="AA7671" t="s">
        <v>2412</v>
      </c>
    </row>
    <row r="7672" spans="27:27">
      <c r="AA7672" t="s">
        <v>2413</v>
      </c>
    </row>
    <row r="7673" spans="27:27">
      <c r="AA7673" t="s">
        <v>9428</v>
      </c>
    </row>
    <row r="7674" spans="27:27">
      <c r="AA7674" t="s">
        <v>9429</v>
      </c>
    </row>
    <row r="7675" spans="27:27">
      <c r="AA7675" t="s">
        <v>9430</v>
      </c>
    </row>
    <row r="7676" spans="27:27">
      <c r="AA7676" t="s">
        <v>2414</v>
      </c>
    </row>
    <row r="7677" spans="27:27">
      <c r="AA7677" t="s">
        <v>9431</v>
      </c>
    </row>
    <row r="7678" spans="27:27">
      <c r="AA7678" t="s">
        <v>9432</v>
      </c>
    </row>
    <row r="7679" spans="27:27">
      <c r="AA7679" t="s">
        <v>9433</v>
      </c>
    </row>
    <row r="7680" spans="27:27">
      <c r="AA7680" t="s">
        <v>2415</v>
      </c>
    </row>
    <row r="7681" spans="27:27">
      <c r="AA7681" t="s">
        <v>9434</v>
      </c>
    </row>
    <row r="7682" spans="27:27">
      <c r="AA7682" t="s">
        <v>9435</v>
      </c>
    </row>
    <row r="7683" spans="27:27">
      <c r="AA7683" t="s">
        <v>9436</v>
      </c>
    </row>
    <row r="7684" spans="27:27">
      <c r="AA7684" t="s">
        <v>2416</v>
      </c>
    </row>
    <row r="7685" spans="27:27">
      <c r="AA7685" t="s">
        <v>9437</v>
      </c>
    </row>
    <row r="7686" spans="27:27">
      <c r="AA7686" t="s">
        <v>9438</v>
      </c>
    </row>
    <row r="7687" spans="27:27">
      <c r="AA7687" t="s">
        <v>9439</v>
      </c>
    </row>
    <row r="7688" spans="27:27">
      <c r="AA7688" t="s">
        <v>2417</v>
      </c>
    </row>
    <row r="7689" spans="27:27">
      <c r="AA7689" t="s">
        <v>9440</v>
      </c>
    </row>
    <row r="7690" spans="27:27">
      <c r="AA7690" t="s">
        <v>9441</v>
      </c>
    </row>
    <row r="7691" spans="27:27">
      <c r="AA7691" t="s">
        <v>2418</v>
      </c>
    </row>
    <row r="7692" spans="27:27">
      <c r="AA7692" t="s">
        <v>9442</v>
      </c>
    </row>
    <row r="7693" spans="27:27">
      <c r="AA7693" t="s">
        <v>9443</v>
      </c>
    </row>
    <row r="7694" spans="27:27">
      <c r="AA7694" t="s">
        <v>9444</v>
      </c>
    </row>
    <row r="7695" spans="27:27">
      <c r="AA7695" t="s">
        <v>9445</v>
      </c>
    </row>
    <row r="7696" spans="27:27">
      <c r="AA7696" t="s">
        <v>9446</v>
      </c>
    </row>
    <row r="7697" spans="27:27">
      <c r="AA7697" t="s">
        <v>2419</v>
      </c>
    </row>
    <row r="7698" spans="27:27">
      <c r="AA7698" t="s">
        <v>9447</v>
      </c>
    </row>
    <row r="7699" spans="27:27">
      <c r="AA7699" t="s">
        <v>9448</v>
      </c>
    </row>
    <row r="7700" spans="27:27">
      <c r="AA7700" t="s">
        <v>9449</v>
      </c>
    </row>
    <row r="7701" spans="27:27">
      <c r="AA7701" t="s">
        <v>9450</v>
      </c>
    </row>
    <row r="7702" spans="27:27">
      <c r="AA7702" t="s">
        <v>2420</v>
      </c>
    </row>
    <row r="7703" spans="27:27">
      <c r="AA7703" t="s">
        <v>9451</v>
      </c>
    </row>
    <row r="7704" spans="27:27">
      <c r="AA7704" t="s">
        <v>9452</v>
      </c>
    </row>
    <row r="7705" spans="27:27">
      <c r="AA7705" t="s">
        <v>2421</v>
      </c>
    </row>
    <row r="7706" spans="27:27">
      <c r="AA7706" t="s">
        <v>9453</v>
      </c>
    </row>
    <row r="7707" spans="27:27">
      <c r="AA7707" t="s">
        <v>9454</v>
      </c>
    </row>
    <row r="7708" spans="27:27">
      <c r="AA7708" t="s">
        <v>9455</v>
      </c>
    </row>
    <row r="7709" spans="27:27">
      <c r="AA7709" t="s">
        <v>9456</v>
      </c>
    </row>
    <row r="7710" spans="27:27">
      <c r="AA7710" t="s">
        <v>9457</v>
      </c>
    </row>
    <row r="7711" spans="27:27">
      <c r="AA7711" t="s">
        <v>9458</v>
      </c>
    </row>
    <row r="7712" spans="27:27">
      <c r="AA7712" t="s">
        <v>9459</v>
      </c>
    </row>
    <row r="7713" spans="27:27">
      <c r="AA7713" t="s">
        <v>9460</v>
      </c>
    </row>
    <row r="7714" spans="27:27">
      <c r="AA7714" t="s">
        <v>2422</v>
      </c>
    </row>
    <row r="7715" spans="27:27">
      <c r="AA7715" t="s">
        <v>9461</v>
      </c>
    </row>
    <row r="7716" spans="27:27">
      <c r="AA7716" t="s">
        <v>2423</v>
      </c>
    </row>
    <row r="7717" spans="27:27">
      <c r="AA7717" t="s">
        <v>9462</v>
      </c>
    </row>
    <row r="7718" spans="27:27">
      <c r="AA7718" t="s">
        <v>9463</v>
      </c>
    </row>
    <row r="7719" spans="27:27">
      <c r="AA7719" t="s">
        <v>9464</v>
      </c>
    </row>
    <row r="7720" spans="27:27">
      <c r="AA7720" t="s">
        <v>9465</v>
      </c>
    </row>
    <row r="7721" spans="27:27">
      <c r="AA7721" t="s">
        <v>9466</v>
      </c>
    </row>
    <row r="7722" spans="27:27">
      <c r="AA7722" t="s">
        <v>9467</v>
      </c>
    </row>
    <row r="7723" spans="27:27">
      <c r="AA7723" t="s">
        <v>9468</v>
      </c>
    </row>
    <row r="7724" spans="27:27">
      <c r="AA7724" t="s">
        <v>9469</v>
      </c>
    </row>
    <row r="7725" spans="27:27">
      <c r="AA7725" t="s">
        <v>9470</v>
      </c>
    </row>
    <row r="7726" spans="27:27">
      <c r="AA7726" t="s">
        <v>2424</v>
      </c>
    </row>
    <row r="7727" spans="27:27">
      <c r="AA7727" t="s">
        <v>2425</v>
      </c>
    </row>
    <row r="7728" spans="27:27">
      <c r="AA7728" t="s">
        <v>9471</v>
      </c>
    </row>
    <row r="7729" spans="27:27">
      <c r="AA7729" t="s">
        <v>9472</v>
      </c>
    </row>
    <row r="7730" spans="27:27">
      <c r="AA7730" t="s">
        <v>9473</v>
      </c>
    </row>
    <row r="7731" spans="27:27">
      <c r="AA7731" t="s">
        <v>9474</v>
      </c>
    </row>
    <row r="7732" spans="27:27">
      <c r="AA7732" t="s">
        <v>2426</v>
      </c>
    </row>
    <row r="7733" spans="27:27">
      <c r="AA7733" t="s">
        <v>9475</v>
      </c>
    </row>
    <row r="7734" spans="27:27">
      <c r="AA7734" t="s">
        <v>9476</v>
      </c>
    </row>
    <row r="7735" spans="27:27">
      <c r="AA7735" t="s">
        <v>9477</v>
      </c>
    </row>
    <row r="7736" spans="27:27">
      <c r="AA7736" t="s">
        <v>2427</v>
      </c>
    </row>
    <row r="7737" spans="27:27">
      <c r="AA7737" t="s">
        <v>9478</v>
      </c>
    </row>
    <row r="7738" spans="27:27">
      <c r="AA7738" t="s">
        <v>9479</v>
      </c>
    </row>
    <row r="7739" spans="27:27">
      <c r="AA7739" t="s">
        <v>9480</v>
      </c>
    </row>
    <row r="7740" spans="27:27">
      <c r="AA7740" t="s">
        <v>9481</v>
      </c>
    </row>
    <row r="7741" spans="27:27">
      <c r="AA7741" t="s">
        <v>2428</v>
      </c>
    </row>
    <row r="7742" spans="27:27">
      <c r="AA7742" t="s">
        <v>9482</v>
      </c>
    </row>
    <row r="7743" spans="27:27">
      <c r="AA7743" t="s">
        <v>9483</v>
      </c>
    </row>
    <row r="7744" spans="27:27">
      <c r="AA7744" t="s">
        <v>9484</v>
      </c>
    </row>
    <row r="7745" spans="27:27">
      <c r="AA7745" t="s">
        <v>2429</v>
      </c>
    </row>
    <row r="7746" spans="27:27">
      <c r="AA7746" t="s">
        <v>9485</v>
      </c>
    </row>
    <row r="7747" spans="27:27">
      <c r="AA7747" t="s">
        <v>9486</v>
      </c>
    </row>
    <row r="7748" spans="27:27">
      <c r="AA7748" t="s">
        <v>9487</v>
      </c>
    </row>
    <row r="7749" spans="27:27">
      <c r="AA7749" t="s">
        <v>2430</v>
      </c>
    </row>
    <row r="7750" spans="27:27">
      <c r="AA7750" t="s">
        <v>9488</v>
      </c>
    </row>
    <row r="7751" spans="27:27">
      <c r="AA7751" t="s">
        <v>9489</v>
      </c>
    </row>
    <row r="7752" spans="27:27">
      <c r="AA7752" t="s">
        <v>9490</v>
      </c>
    </row>
    <row r="7753" spans="27:27">
      <c r="AA7753" t="s">
        <v>2431</v>
      </c>
    </row>
    <row r="7754" spans="27:27">
      <c r="AA7754" t="s">
        <v>2432</v>
      </c>
    </row>
    <row r="7755" spans="27:27">
      <c r="AA7755" t="s">
        <v>9491</v>
      </c>
    </row>
    <row r="7756" spans="27:27">
      <c r="AA7756" t="s">
        <v>9492</v>
      </c>
    </row>
    <row r="7757" spans="27:27">
      <c r="AA7757" t="s">
        <v>9493</v>
      </c>
    </row>
    <row r="7758" spans="27:27">
      <c r="AA7758" t="s">
        <v>2433</v>
      </c>
    </row>
    <row r="7759" spans="27:27">
      <c r="AA7759" t="s">
        <v>9494</v>
      </c>
    </row>
    <row r="7760" spans="27:27">
      <c r="AA7760" t="s">
        <v>9495</v>
      </c>
    </row>
    <row r="7761" spans="27:27">
      <c r="AA7761" t="s">
        <v>9496</v>
      </c>
    </row>
    <row r="7762" spans="27:27">
      <c r="AA7762" t="s">
        <v>2434</v>
      </c>
    </row>
    <row r="7763" spans="27:27">
      <c r="AA7763" t="s">
        <v>9497</v>
      </c>
    </row>
    <row r="7764" spans="27:27">
      <c r="AA7764" t="s">
        <v>9498</v>
      </c>
    </row>
    <row r="7765" spans="27:27">
      <c r="AA7765" t="s">
        <v>9499</v>
      </c>
    </row>
    <row r="7766" spans="27:27">
      <c r="AA7766" t="s">
        <v>2435</v>
      </c>
    </row>
    <row r="7767" spans="27:27">
      <c r="AA7767" t="s">
        <v>9500</v>
      </c>
    </row>
    <row r="7768" spans="27:27">
      <c r="AA7768" t="s">
        <v>2436</v>
      </c>
    </row>
    <row r="7769" spans="27:27">
      <c r="AA7769" t="s">
        <v>2437</v>
      </c>
    </row>
    <row r="7770" spans="27:27">
      <c r="AA7770" t="s">
        <v>9501</v>
      </c>
    </row>
    <row r="7771" spans="27:27">
      <c r="AA7771" t="s">
        <v>2438</v>
      </c>
    </row>
    <row r="7772" spans="27:27">
      <c r="AA7772" t="s">
        <v>9502</v>
      </c>
    </row>
    <row r="7773" spans="27:27">
      <c r="AA7773" t="s">
        <v>9503</v>
      </c>
    </row>
    <row r="7774" spans="27:27">
      <c r="AA7774" t="s">
        <v>9504</v>
      </c>
    </row>
    <row r="7775" spans="27:27">
      <c r="AA7775" t="s">
        <v>9505</v>
      </c>
    </row>
    <row r="7776" spans="27:27">
      <c r="AA7776" t="s">
        <v>9506</v>
      </c>
    </row>
    <row r="7777" spans="27:27">
      <c r="AA7777" t="s">
        <v>2439</v>
      </c>
    </row>
    <row r="7778" spans="27:27">
      <c r="AA7778" t="s">
        <v>9507</v>
      </c>
    </row>
    <row r="7779" spans="27:27">
      <c r="AA7779" t="s">
        <v>9508</v>
      </c>
    </row>
    <row r="7780" spans="27:27">
      <c r="AA7780" t="s">
        <v>9509</v>
      </c>
    </row>
    <row r="7781" spans="27:27">
      <c r="AA7781" t="s">
        <v>2440</v>
      </c>
    </row>
    <row r="7782" spans="27:27">
      <c r="AA7782" t="s">
        <v>9510</v>
      </c>
    </row>
    <row r="7783" spans="27:27">
      <c r="AA7783" t="s">
        <v>9511</v>
      </c>
    </row>
    <row r="7784" spans="27:27">
      <c r="AA7784" t="s">
        <v>9512</v>
      </c>
    </row>
    <row r="7785" spans="27:27">
      <c r="AA7785" t="s">
        <v>9513</v>
      </c>
    </row>
    <row r="7786" spans="27:27">
      <c r="AA7786" t="s">
        <v>9514</v>
      </c>
    </row>
    <row r="7787" spans="27:27">
      <c r="AA7787" t="s">
        <v>2441</v>
      </c>
    </row>
    <row r="7788" spans="27:27">
      <c r="AA7788" t="s">
        <v>9515</v>
      </c>
    </row>
    <row r="7789" spans="27:27">
      <c r="AA7789" t="s">
        <v>9516</v>
      </c>
    </row>
    <row r="7790" spans="27:27">
      <c r="AA7790" t="s">
        <v>9517</v>
      </c>
    </row>
    <row r="7791" spans="27:27">
      <c r="AA7791" t="s">
        <v>2442</v>
      </c>
    </row>
    <row r="7792" spans="27:27">
      <c r="AA7792" t="s">
        <v>9518</v>
      </c>
    </row>
    <row r="7793" spans="27:27">
      <c r="AA7793" t="s">
        <v>9519</v>
      </c>
    </row>
    <row r="7794" spans="27:27">
      <c r="AA7794" t="s">
        <v>9520</v>
      </c>
    </row>
    <row r="7795" spans="27:27">
      <c r="AA7795" t="s">
        <v>2443</v>
      </c>
    </row>
    <row r="7796" spans="27:27">
      <c r="AA7796" t="s">
        <v>9521</v>
      </c>
    </row>
    <row r="7797" spans="27:27">
      <c r="AA7797" t="s">
        <v>9522</v>
      </c>
    </row>
    <row r="7798" spans="27:27">
      <c r="AA7798" t="s">
        <v>9523</v>
      </c>
    </row>
    <row r="7799" spans="27:27">
      <c r="AA7799" t="s">
        <v>9524</v>
      </c>
    </row>
    <row r="7800" spans="27:27">
      <c r="AA7800" t="s">
        <v>2444</v>
      </c>
    </row>
    <row r="7801" spans="27:27">
      <c r="AA7801" t="s">
        <v>2445</v>
      </c>
    </row>
    <row r="7802" spans="27:27">
      <c r="AA7802" t="s">
        <v>9525</v>
      </c>
    </row>
    <row r="7803" spans="27:27">
      <c r="AA7803" t="s">
        <v>9526</v>
      </c>
    </row>
    <row r="7804" spans="27:27">
      <c r="AA7804" t="s">
        <v>9527</v>
      </c>
    </row>
    <row r="7805" spans="27:27">
      <c r="AA7805" t="s">
        <v>2446</v>
      </c>
    </row>
    <row r="7806" spans="27:27">
      <c r="AA7806" t="s">
        <v>9528</v>
      </c>
    </row>
    <row r="7807" spans="27:27">
      <c r="AA7807" t="s">
        <v>9529</v>
      </c>
    </row>
    <row r="7808" spans="27:27">
      <c r="AA7808" t="s">
        <v>9530</v>
      </c>
    </row>
    <row r="7809" spans="27:27">
      <c r="AA7809" t="s">
        <v>2447</v>
      </c>
    </row>
    <row r="7810" spans="27:27">
      <c r="AA7810" t="s">
        <v>9531</v>
      </c>
    </row>
    <row r="7811" spans="27:27">
      <c r="AA7811" t="s">
        <v>9532</v>
      </c>
    </row>
    <row r="7812" spans="27:27">
      <c r="AA7812" t="s">
        <v>9533</v>
      </c>
    </row>
    <row r="7813" spans="27:27">
      <c r="AA7813" t="s">
        <v>9534</v>
      </c>
    </row>
    <row r="7814" spans="27:27">
      <c r="AA7814" t="s">
        <v>9535</v>
      </c>
    </row>
    <row r="7815" spans="27:27">
      <c r="AA7815" t="s">
        <v>9536</v>
      </c>
    </row>
    <row r="7816" spans="27:27">
      <c r="AA7816" t="s">
        <v>9537</v>
      </c>
    </row>
    <row r="7817" spans="27:27">
      <c r="AA7817" t="s">
        <v>2448</v>
      </c>
    </row>
    <row r="7818" spans="27:27">
      <c r="AA7818" t="s">
        <v>9538</v>
      </c>
    </row>
    <row r="7819" spans="27:27">
      <c r="AA7819" t="s">
        <v>9539</v>
      </c>
    </row>
    <row r="7820" spans="27:27">
      <c r="AA7820" t="s">
        <v>9540</v>
      </c>
    </row>
    <row r="7821" spans="27:27">
      <c r="AA7821" t="s">
        <v>9541</v>
      </c>
    </row>
    <row r="7822" spans="27:27">
      <c r="AA7822" t="s">
        <v>9542</v>
      </c>
    </row>
    <row r="7823" spans="27:27">
      <c r="AA7823" t="s">
        <v>9543</v>
      </c>
    </row>
    <row r="7824" spans="27:27">
      <c r="AA7824" t="s">
        <v>9544</v>
      </c>
    </row>
    <row r="7825" spans="27:27">
      <c r="AA7825" t="s">
        <v>9545</v>
      </c>
    </row>
    <row r="7826" spans="27:27">
      <c r="AA7826" t="s">
        <v>9546</v>
      </c>
    </row>
    <row r="7827" spans="27:27">
      <c r="AA7827" t="s">
        <v>9547</v>
      </c>
    </row>
    <row r="7828" spans="27:27">
      <c r="AA7828" t="s">
        <v>2449</v>
      </c>
    </row>
    <row r="7829" spans="27:27">
      <c r="AA7829" t="s">
        <v>9548</v>
      </c>
    </row>
    <row r="7830" spans="27:27">
      <c r="AA7830" t="s">
        <v>9549</v>
      </c>
    </row>
    <row r="7831" spans="27:27">
      <c r="AA7831" t="s">
        <v>9550</v>
      </c>
    </row>
    <row r="7832" spans="27:27">
      <c r="AA7832" t="s">
        <v>9551</v>
      </c>
    </row>
    <row r="7833" spans="27:27">
      <c r="AA7833" t="s">
        <v>9552</v>
      </c>
    </row>
    <row r="7834" spans="27:27">
      <c r="AA7834" t="s">
        <v>9553</v>
      </c>
    </row>
    <row r="7835" spans="27:27">
      <c r="AA7835" t="s">
        <v>9554</v>
      </c>
    </row>
    <row r="7836" spans="27:27">
      <c r="AA7836" t="s">
        <v>9555</v>
      </c>
    </row>
    <row r="7837" spans="27:27">
      <c r="AA7837" t="s">
        <v>9556</v>
      </c>
    </row>
    <row r="7838" spans="27:27">
      <c r="AA7838" t="s">
        <v>9557</v>
      </c>
    </row>
    <row r="7839" spans="27:27">
      <c r="AA7839" t="s">
        <v>2450</v>
      </c>
    </row>
    <row r="7840" spans="27:27">
      <c r="AA7840" t="s">
        <v>9558</v>
      </c>
    </row>
    <row r="7841" spans="27:27">
      <c r="AA7841" t="s">
        <v>9559</v>
      </c>
    </row>
    <row r="7842" spans="27:27">
      <c r="AA7842" t="s">
        <v>9560</v>
      </c>
    </row>
    <row r="7843" spans="27:27">
      <c r="AA7843" t="s">
        <v>9561</v>
      </c>
    </row>
    <row r="7844" spans="27:27">
      <c r="AA7844" t="s">
        <v>9562</v>
      </c>
    </row>
    <row r="7845" spans="27:27">
      <c r="AA7845" t="s">
        <v>9563</v>
      </c>
    </row>
    <row r="7846" spans="27:27">
      <c r="AA7846" t="s">
        <v>9564</v>
      </c>
    </row>
    <row r="7847" spans="27:27">
      <c r="AA7847" t="s">
        <v>9565</v>
      </c>
    </row>
    <row r="7848" spans="27:27">
      <c r="AA7848" t="s">
        <v>9566</v>
      </c>
    </row>
    <row r="7849" spans="27:27">
      <c r="AA7849" t="s">
        <v>9567</v>
      </c>
    </row>
    <row r="7850" spans="27:27">
      <c r="AA7850" t="s">
        <v>9568</v>
      </c>
    </row>
    <row r="7851" spans="27:27">
      <c r="AA7851" t="s">
        <v>2451</v>
      </c>
    </row>
    <row r="7852" spans="27:27">
      <c r="AA7852" t="s">
        <v>2452</v>
      </c>
    </row>
    <row r="7853" spans="27:27">
      <c r="AA7853" t="s">
        <v>2453</v>
      </c>
    </row>
    <row r="7854" spans="27:27">
      <c r="AA7854" t="s">
        <v>9569</v>
      </c>
    </row>
    <row r="7855" spans="27:27">
      <c r="AA7855" t="s">
        <v>9570</v>
      </c>
    </row>
    <row r="7856" spans="27:27">
      <c r="AA7856" t="s">
        <v>9571</v>
      </c>
    </row>
    <row r="7857" spans="27:27">
      <c r="AA7857" t="s">
        <v>2454</v>
      </c>
    </row>
    <row r="7858" spans="27:27">
      <c r="AA7858" t="s">
        <v>9572</v>
      </c>
    </row>
    <row r="7859" spans="27:27">
      <c r="AA7859" t="s">
        <v>9573</v>
      </c>
    </row>
    <row r="7860" spans="27:27">
      <c r="AA7860" t="s">
        <v>9574</v>
      </c>
    </row>
    <row r="7861" spans="27:27">
      <c r="AA7861" t="s">
        <v>2455</v>
      </c>
    </row>
    <row r="7862" spans="27:27">
      <c r="AA7862" t="s">
        <v>9575</v>
      </c>
    </row>
    <row r="7863" spans="27:27">
      <c r="AA7863" t="s">
        <v>9576</v>
      </c>
    </row>
    <row r="7864" spans="27:27">
      <c r="AA7864" t="s">
        <v>9577</v>
      </c>
    </row>
    <row r="7865" spans="27:27">
      <c r="AA7865" t="s">
        <v>9578</v>
      </c>
    </row>
    <row r="7866" spans="27:27">
      <c r="AA7866" t="s">
        <v>2456</v>
      </c>
    </row>
    <row r="7867" spans="27:27">
      <c r="AA7867" t="s">
        <v>9579</v>
      </c>
    </row>
    <row r="7868" spans="27:27">
      <c r="AA7868" t="s">
        <v>9580</v>
      </c>
    </row>
    <row r="7869" spans="27:27">
      <c r="AA7869" t="s">
        <v>9581</v>
      </c>
    </row>
    <row r="7870" spans="27:27">
      <c r="AA7870" t="s">
        <v>9582</v>
      </c>
    </row>
    <row r="7871" spans="27:27">
      <c r="AA7871" t="s">
        <v>2457</v>
      </c>
    </row>
    <row r="7872" spans="27:27">
      <c r="AA7872" t="s">
        <v>2458</v>
      </c>
    </row>
    <row r="7873" spans="27:27">
      <c r="AA7873" t="s">
        <v>9583</v>
      </c>
    </row>
    <row r="7874" spans="27:27">
      <c r="AA7874" t="s">
        <v>9584</v>
      </c>
    </row>
    <row r="7875" spans="27:27">
      <c r="AA7875" t="s">
        <v>9585</v>
      </c>
    </row>
    <row r="7876" spans="27:27">
      <c r="AA7876" t="s">
        <v>9586</v>
      </c>
    </row>
    <row r="7877" spans="27:27">
      <c r="AA7877" t="s">
        <v>9587</v>
      </c>
    </row>
    <row r="7878" spans="27:27">
      <c r="AA7878" t="s">
        <v>2459</v>
      </c>
    </row>
    <row r="7879" spans="27:27">
      <c r="AA7879" t="s">
        <v>9588</v>
      </c>
    </row>
    <row r="7880" spans="27:27">
      <c r="AA7880" t="s">
        <v>9589</v>
      </c>
    </row>
    <row r="7881" spans="27:27">
      <c r="AA7881" t="s">
        <v>9590</v>
      </c>
    </row>
    <row r="7882" spans="27:27">
      <c r="AA7882" t="s">
        <v>9591</v>
      </c>
    </row>
    <row r="7883" spans="27:27">
      <c r="AA7883" t="s">
        <v>2460</v>
      </c>
    </row>
    <row r="7884" spans="27:27">
      <c r="AA7884" t="s">
        <v>9592</v>
      </c>
    </row>
    <row r="7885" spans="27:27">
      <c r="AA7885" t="s">
        <v>2461</v>
      </c>
    </row>
    <row r="7886" spans="27:27">
      <c r="AA7886" t="s">
        <v>9593</v>
      </c>
    </row>
    <row r="7887" spans="27:27">
      <c r="AA7887" t="s">
        <v>2462</v>
      </c>
    </row>
    <row r="7888" spans="27:27">
      <c r="AA7888" t="s">
        <v>9594</v>
      </c>
    </row>
    <row r="7889" spans="27:27">
      <c r="AA7889" t="s">
        <v>9595</v>
      </c>
    </row>
    <row r="7890" spans="27:27">
      <c r="AA7890" t="s">
        <v>9596</v>
      </c>
    </row>
    <row r="7891" spans="27:27">
      <c r="AA7891" t="s">
        <v>2463</v>
      </c>
    </row>
    <row r="7892" spans="27:27">
      <c r="AA7892" t="s">
        <v>9597</v>
      </c>
    </row>
    <row r="7893" spans="27:27">
      <c r="AA7893" t="s">
        <v>2464</v>
      </c>
    </row>
    <row r="7894" spans="27:27">
      <c r="AA7894" t="s">
        <v>2465</v>
      </c>
    </row>
    <row r="7895" spans="27:27">
      <c r="AA7895" t="s">
        <v>9598</v>
      </c>
    </row>
    <row r="7896" spans="27:27">
      <c r="AA7896" t="s">
        <v>2466</v>
      </c>
    </row>
    <row r="7897" spans="27:27">
      <c r="AA7897" t="s">
        <v>9599</v>
      </c>
    </row>
    <row r="7898" spans="27:27">
      <c r="AA7898" t="s">
        <v>2467</v>
      </c>
    </row>
    <row r="7899" spans="27:27">
      <c r="AA7899" t="s">
        <v>9600</v>
      </c>
    </row>
    <row r="7900" spans="27:27">
      <c r="AA7900" t="s">
        <v>9601</v>
      </c>
    </row>
    <row r="7901" spans="27:27">
      <c r="AA7901" t="s">
        <v>9602</v>
      </c>
    </row>
    <row r="7902" spans="27:27">
      <c r="AA7902" t="s">
        <v>9603</v>
      </c>
    </row>
    <row r="7903" spans="27:27">
      <c r="AA7903" t="s">
        <v>9604</v>
      </c>
    </row>
    <row r="7904" spans="27:27">
      <c r="AA7904" t="s">
        <v>9605</v>
      </c>
    </row>
    <row r="7905" spans="27:27">
      <c r="AA7905" t="s">
        <v>9606</v>
      </c>
    </row>
    <row r="7906" spans="27:27">
      <c r="AA7906" t="s">
        <v>9607</v>
      </c>
    </row>
    <row r="7907" spans="27:27">
      <c r="AA7907" t="s">
        <v>2468</v>
      </c>
    </row>
    <row r="7908" spans="27:27">
      <c r="AA7908" t="s">
        <v>818</v>
      </c>
    </row>
    <row r="7909" spans="27:27">
      <c r="AA7909" t="s">
        <v>819</v>
      </c>
    </row>
    <row r="7910" spans="27:27">
      <c r="AA7910" t="s">
        <v>9608</v>
      </c>
    </row>
    <row r="7911" spans="27:27">
      <c r="AA7911" t="s">
        <v>2469</v>
      </c>
    </row>
    <row r="7912" spans="27:27">
      <c r="AA7912" t="s">
        <v>2470</v>
      </c>
    </row>
    <row r="7913" spans="27:27">
      <c r="AA7913" t="s">
        <v>3793</v>
      </c>
    </row>
    <row r="7914" spans="27:27">
      <c r="AA7914" t="s">
        <v>820</v>
      </c>
    </row>
    <row r="7915" spans="27:27">
      <c r="AA7915" t="s">
        <v>821</v>
      </c>
    </row>
    <row r="7916" spans="27:27">
      <c r="AA7916" t="s">
        <v>822</v>
      </c>
    </row>
    <row r="7917" spans="27:27">
      <c r="AA7917" t="s">
        <v>823</v>
      </c>
    </row>
    <row r="7918" spans="27:27">
      <c r="AA7918" t="s">
        <v>3794</v>
      </c>
    </row>
    <row r="7919" spans="27:27">
      <c r="AA7919" t="s">
        <v>9609</v>
      </c>
    </row>
    <row r="7920" spans="27:27">
      <c r="AA7920" t="s">
        <v>9610</v>
      </c>
    </row>
    <row r="7921" spans="27:27">
      <c r="AA7921" t="s">
        <v>9611</v>
      </c>
    </row>
    <row r="7922" spans="27:27">
      <c r="AA7922" t="s">
        <v>9612</v>
      </c>
    </row>
    <row r="7923" spans="27:27">
      <c r="AA7923" t="s">
        <v>9613</v>
      </c>
    </row>
    <row r="7924" spans="27:27">
      <c r="AA7924" t="s">
        <v>9614</v>
      </c>
    </row>
    <row r="7925" spans="27:27">
      <c r="AA7925" t="s">
        <v>9615</v>
      </c>
    </row>
    <row r="7926" spans="27:27">
      <c r="AA7926" t="s">
        <v>824</v>
      </c>
    </row>
    <row r="7927" spans="27:27">
      <c r="AA7927" t="s">
        <v>9616</v>
      </c>
    </row>
    <row r="7928" spans="27:27">
      <c r="AA7928" t="s">
        <v>3795</v>
      </c>
    </row>
    <row r="7929" spans="27:27">
      <c r="AA7929" t="s">
        <v>9617</v>
      </c>
    </row>
    <row r="7930" spans="27:27">
      <c r="AA7930" t="s">
        <v>825</v>
      </c>
    </row>
    <row r="7931" spans="27:27">
      <c r="AA7931" t="s">
        <v>826</v>
      </c>
    </row>
    <row r="7932" spans="27:27">
      <c r="AA7932" t="s">
        <v>9618</v>
      </c>
    </row>
    <row r="7933" spans="27:27">
      <c r="AA7933" t="s">
        <v>9619</v>
      </c>
    </row>
    <row r="7934" spans="27:27">
      <c r="AA7934" t="s">
        <v>9620</v>
      </c>
    </row>
    <row r="7935" spans="27:27">
      <c r="AA7935" t="s">
        <v>3355</v>
      </c>
    </row>
    <row r="7936" spans="27:27">
      <c r="AA7936" t="s">
        <v>9621</v>
      </c>
    </row>
    <row r="7937" spans="27:27">
      <c r="AA7937" t="s">
        <v>9622</v>
      </c>
    </row>
    <row r="7938" spans="27:27">
      <c r="AA7938" t="s">
        <v>9623</v>
      </c>
    </row>
    <row r="7939" spans="27:27">
      <c r="AA7939" t="s">
        <v>9624</v>
      </c>
    </row>
    <row r="7940" spans="27:27">
      <c r="AA7940" t="s">
        <v>9625</v>
      </c>
    </row>
    <row r="7941" spans="27:27">
      <c r="AA7941" t="s">
        <v>9626</v>
      </c>
    </row>
    <row r="7942" spans="27:27">
      <c r="AA7942" t="s">
        <v>9627</v>
      </c>
    </row>
    <row r="7943" spans="27:27">
      <c r="AA7943" t="s">
        <v>9628</v>
      </c>
    </row>
    <row r="7944" spans="27:27">
      <c r="AA7944" t="s">
        <v>9629</v>
      </c>
    </row>
    <row r="7945" spans="27:27">
      <c r="AA7945" t="s">
        <v>9630</v>
      </c>
    </row>
    <row r="7946" spans="27:27">
      <c r="AA7946" t="s">
        <v>2471</v>
      </c>
    </row>
    <row r="7947" spans="27:27">
      <c r="AA7947" t="s">
        <v>2472</v>
      </c>
    </row>
    <row r="7948" spans="27:27">
      <c r="AA7948" t="s">
        <v>2473</v>
      </c>
    </row>
    <row r="7949" spans="27:27">
      <c r="AA7949" t="s">
        <v>9631</v>
      </c>
    </row>
    <row r="7950" spans="27:27">
      <c r="AA7950" t="s">
        <v>9632</v>
      </c>
    </row>
    <row r="7951" spans="27:27">
      <c r="AA7951" t="s">
        <v>9633</v>
      </c>
    </row>
    <row r="7952" spans="27:27">
      <c r="AA7952" t="s">
        <v>9634</v>
      </c>
    </row>
    <row r="7953" spans="27:27">
      <c r="AA7953" t="s">
        <v>2474</v>
      </c>
    </row>
    <row r="7954" spans="27:27">
      <c r="AA7954" t="s">
        <v>9635</v>
      </c>
    </row>
    <row r="7955" spans="27:27">
      <c r="AA7955" t="s">
        <v>9636</v>
      </c>
    </row>
    <row r="7956" spans="27:27">
      <c r="AA7956" t="s">
        <v>9637</v>
      </c>
    </row>
    <row r="7957" spans="27:27">
      <c r="AA7957" t="s">
        <v>2475</v>
      </c>
    </row>
    <row r="7958" spans="27:27">
      <c r="AA7958" t="s">
        <v>9638</v>
      </c>
    </row>
    <row r="7959" spans="27:27">
      <c r="AA7959" t="s">
        <v>9639</v>
      </c>
    </row>
    <row r="7960" spans="27:27">
      <c r="AA7960" t="s">
        <v>9640</v>
      </c>
    </row>
    <row r="7961" spans="27:27">
      <c r="AA7961" t="s">
        <v>9641</v>
      </c>
    </row>
    <row r="7962" spans="27:27">
      <c r="AA7962" t="s">
        <v>9642</v>
      </c>
    </row>
    <row r="7963" spans="27:27">
      <c r="AA7963" t="s">
        <v>9643</v>
      </c>
    </row>
    <row r="7964" spans="27:27">
      <c r="AA7964" t="s">
        <v>9644</v>
      </c>
    </row>
    <row r="7965" spans="27:27">
      <c r="AA7965" t="s">
        <v>9645</v>
      </c>
    </row>
    <row r="7966" spans="27:27">
      <c r="AA7966" t="s">
        <v>9646</v>
      </c>
    </row>
    <row r="7967" spans="27:27">
      <c r="AA7967" t="s">
        <v>9647</v>
      </c>
    </row>
    <row r="7968" spans="27:27">
      <c r="AA7968" t="s">
        <v>3796</v>
      </c>
    </row>
    <row r="7969" spans="27:27">
      <c r="AA7969" t="s">
        <v>9648</v>
      </c>
    </row>
    <row r="7970" spans="27:27">
      <c r="AA7970" t="s">
        <v>9649</v>
      </c>
    </row>
    <row r="7971" spans="27:27">
      <c r="AA7971" t="s">
        <v>9650</v>
      </c>
    </row>
    <row r="7972" spans="27:27">
      <c r="AA7972" t="s">
        <v>9651</v>
      </c>
    </row>
    <row r="7973" spans="27:27">
      <c r="AA7973" t="s">
        <v>2476</v>
      </c>
    </row>
    <row r="7974" spans="27:27">
      <c r="AA7974" t="s">
        <v>9652</v>
      </c>
    </row>
    <row r="7975" spans="27:27">
      <c r="AA7975" t="s">
        <v>9653</v>
      </c>
    </row>
    <row r="7976" spans="27:27">
      <c r="AA7976" t="s">
        <v>9654</v>
      </c>
    </row>
    <row r="7977" spans="27:27">
      <c r="AA7977" t="s">
        <v>2477</v>
      </c>
    </row>
    <row r="7978" spans="27:27">
      <c r="AA7978" t="s">
        <v>9655</v>
      </c>
    </row>
    <row r="7979" spans="27:27">
      <c r="AA7979" t="s">
        <v>9656</v>
      </c>
    </row>
    <row r="7980" spans="27:27">
      <c r="AA7980" t="s">
        <v>9657</v>
      </c>
    </row>
    <row r="7981" spans="27:27">
      <c r="AA7981" t="s">
        <v>2478</v>
      </c>
    </row>
    <row r="7982" spans="27:27">
      <c r="AA7982" t="s">
        <v>9658</v>
      </c>
    </row>
    <row r="7983" spans="27:27">
      <c r="AA7983" t="s">
        <v>9659</v>
      </c>
    </row>
    <row r="7984" spans="27:27">
      <c r="AA7984" t="s">
        <v>9660</v>
      </c>
    </row>
    <row r="7985" spans="27:27">
      <c r="AA7985" t="s">
        <v>2479</v>
      </c>
    </row>
    <row r="7986" spans="27:27">
      <c r="AA7986" t="s">
        <v>827</v>
      </c>
    </row>
    <row r="7987" spans="27:27">
      <c r="AA7987" t="s">
        <v>9661</v>
      </c>
    </row>
    <row r="7988" spans="27:27">
      <c r="AA7988" t="s">
        <v>9662</v>
      </c>
    </row>
    <row r="7989" spans="27:27">
      <c r="AA7989" t="s">
        <v>9663</v>
      </c>
    </row>
    <row r="7990" spans="27:27">
      <c r="AA7990" t="s">
        <v>9664</v>
      </c>
    </row>
    <row r="7991" spans="27:27">
      <c r="AA7991" t="s">
        <v>2480</v>
      </c>
    </row>
    <row r="7992" spans="27:27">
      <c r="AA7992" t="s">
        <v>2481</v>
      </c>
    </row>
    <row r="7993" spans="27:27">
      <c r="AA7993" t="s">
        <v>2482</v>
      </c>
    </row>
    <row r="7994" spans="27:27">
      <c r="AA7994" t="s">
        <v>2483</v>
      </c>
    </row>
    <row r="7995" spans="27:27">
      <c r="AA7995" t="s">
        <v>9665</v>
      </c>
    </row>
    <row r="7996" spans="27:27">
      <c r="AA7996" t="s">
        <v>9666</v>
      </c>
    </row>
    <row r="7997" spans="27:27">
      <c r="AA7997" t="s">
        <v>2484</v>
      </c>
    </row>
    <row r="7998" spans="27:27">
      <c r="AA7998" t="s">
        <v>3797</v>
      </c>
    </row>
    <row r="7999" spans="27:27">
      <c r="AA7999" t="s">
        <v>2485</v>
      </c>
    </row>
    <row r="8000" spans="27:27">
      <c r="AA8000" t="s">
        <v>9667</v>
      </c>
    </row>
    <row r="8001" spans="27:27">
      <c r="AA8001" t="s">
        <v>9668</v>
      </c>
    </row>
    <row r="8002" spans="27:27">
      <c r="AA8002" t="s">
        <v>9669</v>
      </c>
    </row>
    <row r="8003" spans="27:27">
      <c r="AA8003" t="s">
        <v>9670</v>
      </c>
    </row>
    <row r="8004" spans="27:27">
      <c r="AA8004" t="s">
        <v>9671</v>
      </c>
    </row>
    <row r="8005" spans="27:27">
      <c r="AA8005" t="s">
        <v>9672</v>
      </c>
    </row>
    <row r="8006" spans="27:27">
      <c r="AA8006" t="s">
        <v>9673</v>
      </c>
    </row>
    <row r="8007" spans="27:27">
      <c r="AA8007" t="s">
        <v>9674</v>
      </c>
    </row>
    <row r="8008" spans="27:27">
      <c r="AA8008" t="s">
        <v>2486</v>
      </c>
    </row>
    <row r="8009" spans="27:27">
      <c r="AA8009" t="s">
        <v>2487</v>
      </c>
    </row>
    <row r="8010" spans="27:27">
      <c r="AA8010" t="s">
        <v>2488</v>
      </c>
    </row>
    <row r="8011" spans="27:27">
      <c r="AA8011" t="s">
        <v>2489</v>
      </c>
    </row>
    <row r="8012" spans="27:27">
      <c r="AA8012" t="s">
        <v>2490</v>
      </c>
    </row>
    <row r="8013" spans="27:27">
      <c r="AA8013" t="s">
        <v>9675</v>
      </c>
    </row>
    <row r="8014" spans="27:27">
      <c r="AA8014" t="s">
        <v>2491</v>
      </c>
    </row>
    <row r="8015" spans="27:27">
      <c r="AA8015" t="s">
        <v>9676</v>
      </c>
    </row>
    <row r="8016" spans="27:27">
      <c r="AA8016" t="s">
        <v>9677</v>
      </c>
    </row>
    <row r="8017" spans="27:27">
      <c r="AA8017" t="s">
        <v>9678</v>
      </c>
    </row>
    <row r="8018" spans="27:27">
      <c r="AA8018" t="s">
        <v>9679</v>
      </c>
    </row>
    <row r="8019" spans="27:27">
      <c r="AA8019" t="s">
        <v>9680</v>
      </c>
    </row>
    <row r="8020" spans="27:27">
      <c r="AA8020" t="s">
        <v>9681</v>
      </c>
    </row>
    <row r="8021" spans="27:27">
      <c r="AA8021" t="s">
        <v>9682</v>
      </c>
    </row>
    <row r="8022" spans="27:27">
      <c r="AA8022" t="s">
        <v>9683</v>
      </c>
    </row>
    <row r="8023" spans="27:27">
      <c r="AA8023" t="s">
        <v>9684</v>
      </c>
    </row>
    <row r="8024" spans="27:27">
      <c r="AA8024" t="s">
        <v>9685</v>
      </c>
    </row>
    <row r="8025" spans="27:27">
      <c r="AA8025" t="s">
        <v>9686</v>
      </c>
    </row>
    <row r="8026" spans="27:27">
      <c r="AA8026" t="s">
        <v>2492</v>
      </c>
    </row>
    <row r="8027" spans="27:27">
      <c r="AA8027" t="s">
        <v>9687</v>
      </c>
    </row>
    <row r="8028" spans="27:27">
      <c r="AA8028" t="s">
        <v>9688</v>
      </c>
    </row>
    <row r="8029" spans="27:27">
      <c r="AA8029" t="s">
        <v>9689</v>
      </c>
    </row>
    <row r="8030" spans="27:27">
      <c r="AA8030" t="s">
        <v>9690</v>
      </c>
    </row>
    <row r="8031" spans="27:27">
      <c r="AA8031" t="s">
        <v>9691</v>
      </c>
    </row>
    <row r="8032" spans="27:27">
      <c r="AA8032" t="s">
        <v>2493</v>
      </c>
    </row>
    <row r="8033" spans="27:27">
      <c r="AA8033" t="s">
        <v>2494</v>
      </c>
    </row>
    <row r="8034" spans="27:27">
      <c r="AA8034" t="s">
        <v>2495</v>
      </c>
    </row>
    <row r="8035" spans="27:27">
      <c r="AA8035" t="s">
        <v>9692</v>
      </c>
    </row>
    <row r="8036" spans="27:27">
      <c r="AA8036" t="s">
        <v>9693</v>
      </c>
    </row>
    <row r="8037" spans="27:27">
      <c r="AA8037" t="s">
        <v>2496</v>
      </c>
    </row>
    <row r="8038" spans="27:27">
      <c r="AA8038" t="s">
        <v>2497</v>
      </c>
    </row>
    <row r="8039" spans="27:27">
      <c r="AA8039" t="s">
        <v>9694</v>
      </c>
    </row>
    <row r="8040" spans="27:27">
      <c r="AA8040" t="s">
        <v>2498</v>
      </c>
    </row>
    <row r="8041" spans="27:27">
      <c r="AA8041" t="s">
        <v>9695</v>
      </c>
    </row>
    <row r="8042" spans="27:27">
      <c r="AA8042" t="s">
        <v>9696</v>
      </c>
    </row>
    <row r="8043" spans="27:27">
      <c r="AA8043" t="s">
        <v>9697</v>
      </c>
    </row>
    <row r="8044" spans="27:27">
      <c r="AA8044" t="s">
        <v>9698</v>
      </c>
    </row>
    <row r="8045" spans="27:27">
      <c r="AA8045" t="s">
        <v>9699</v>
      </c>
    </row>
    <row r="8046" spans="27:27">
      <c r="AA8046" t="s">
        <v>2499</v>
      </c>
    </row>
    <row r="8047" spans="27:27">
      <c r="AA8047" t="s">
        <v>9700</v>
      </c>
    </row>
    <row r="8048" spans="27:27">
      <c r="AA8048" t="s">
        <v>9701</v>
      </c>
    </row>
    <row r="8049" spans="27:27">
      <c r="AA8049" t="s">
        <v>9702</v>
      </c>
    </row>
    <row r="8050" spans="27:27">
      <c r="AA8050" t="s">
        <v>9703</v>
      </c>
    </row>
    <row r="8051" spans="27:27">
      <c r="AA8051" t="s">
        <v>9704</v>
      </c>
    </row>
    <row r="8052" spans="27:27">
      <c r="AA8052" t="s">
        <v>9705</v>
      </c>
    </row>
    <row r="8053" spans="27:27">
      <c r="AA8053" t="s">
        <v>9706</v>
      </c>
    </row>
    <row r="8054" spans="27:27">
      <c r="AA8054" t="s">
        <v>828</v>
      </c>
    </row>
    <row r="8055" spans="27:27">
      <c r="AA8055" t="s">
        <v>2500</v>
      </c>
    </row>
    <row r="8056" spans="27:27">
      <c r="AA8056" t="s">
        <v>9707</v>
      </c>
    </row>
    <row r="8057" spans="27:27">
      <c r="AA8057" t="s">
        <v>9708</v>
      </c>
    </row>
    <row r="8058" spans="27:27">
      <c r="AA8058" t="s">
        <v>9709</v>
      </c>
    </row>
    <row r="8059" spans="27:27">
      <c r="AA8059" t="s">
        <v>829</v>
      </c>
    </row>
    <row r="8060" spans="27:27">
      <c r="AA8060" t="s">
        <v>830</v>
      </c>
    </row>
    <row r="8061" spans="27:27">
      <c r="AA8061" t="s">
        <v>9710</v>
      </c>
    </row>
    <row r="8062" spans="27:27">
      <c r="AA8062" t="s">
        <v>9711</v>
      </c>
    </row>
    <row r="8063" spans="27:27">
      <c r="AA8063" t="s">
        <v>831</v>
      </c>
    </row>
    <row r="8064" spans="27:27">
      <c r="AA8064" t="s">
        <v>832</v>
      </c>
    </row>
    <row r="8065" spans="27:27">
      <c r="AA8065" t="s">
        <v>9712</v>
      </c>
    </row>
    <row r="8066" spans="27:27">
      <c r="AA8066" t="s">
        <v>2501</v>
      </c>
    </row>
    <row r="8067" spans="27:27">
      <c r="AA8067" t="s">
        <v>833</v>
      </c>
    </row>
    <row r="8068" spans="27:27">
      <c r="AA8068" t="s">
        <v>9713</v>
      </c>
    </row>
    <row r="8069" spans="27:27">
      <c r="AA8069" t="s">
        <v>9714</v>
      </c>
    </row>
    <row r="8070" spans="27:27">
      <c r="AA8070" t="s">
        <v>9715</v>
      </c>
    </row>
    <row r="8071" spans="27:27">
      <c r="AA8071" t="s">
        <v>9716</v>
      </c>
    </row>
    <row r="8072" spans="27:27">
      <c r="AA8072" t="s">
        <v>9717</v>
      </c>
    </row>
    <row r="8073" spans="27:27">
      <c r="AA8073" t="s">
        <v>9718</v>
      </c>
    </row>
    <row r="8074" spans="27:27">
      <c r="AA8074" t="s">
        <v>9719</v>
      </c>
    </row>
    <row r="8075" spans="27:27">
      <c r="AA8075" t="s">
        <v>2502</v>
      </c>
    </row>
    <row r="8076" spans="27:27">
      <c r="AA8076" t="s">
        <v>9720</v>
      </c>
    </row>
    <row r="8077" spans="27:27">
      <c r="AA8077" t="s">
        <v>9721</v>
      </c>
    </row>
    <row r="8078" spans="27:27">
      <c r="AA8078" t="s">
        <v>9722</v>
      </c>
    </row>
    <row r="8079" spans="27:27">
      <c r="AA8079" t="s">
        <v>9723</v>
      </c>
    </row>
    <row r="8080" spans="27:27">
      <c r="AA8080" t="s">
        <v>9724</v>
      </c>
    </row>
    <row r="8081" spans="27:27">
      <c r="AA8081" t="s">
        <v>9725</v>
      </c>
    </row>
    <row r="8082" spans="27:27">
      <c r="AA8082" t="s">
        <v>2503</v>
      </c>
    </row>
    <row r="8083" spans="27:27">
      <c r="AA8083" t="s">
        <v>2504</v>
      </c>
    </row>
    <row r="8084" spans="27:27">
      <c r="AA8084" t="s">
        <v>2505</v>
      </c>
    </row>
    <row r="8085" spans="27:27">
      <c r="AA8085" t="s">
        <v>9726</v>
      </c>
    </row>
    <row r="8086" spans="27:27">
      <c r="AA8086" t="s">
        <v>9727</v>
      </c>
    </row>
    <row r="8087" spans="27:27">
      <c r="AA8087" t="s">
        <v>9728</v>
      </c>
    </row>
    <row r="8088" spans="27:27">
      <c r="AA8088" t="s">
        <v>9729</v>
      </c>
    </row>
    <row r="8089" spans="27:27">
      <c r="AA8089" t="s">
        <v>9730</v>
      </c>
    </row>
    <row r="8090" spans="27:27">
      <c r="AA8090" t="s">
        <v>9731</v>
      </c>
    </row>
    <row r="8091" spans="27:27">
      <c r="AA8091" t="s">
        <v>9732</v>
      </c>
    </row>
    <row r="8092" spans="27:27">
      <c r="AA8092" t="s">
        <v>9733</v>
      </c>
    </row>
    <row r="8093" spans="27:27">
      <c r="AA8093" t="s">
        <v>9734</v>
      </c>
    </row>
    <row r="8094" spans="27:27">
      <c r="AA8094" t="s">
        <v>2506</v>
      </c>
    </row>
    <row r="8095" spans="27:27">
      <c r="AA8095" t="s">
        <v>2507</v>
      </c>
    </row>
    <row r="8096" spans="27:27">
      <c r="AA8096" t="s">
        <v>9735</v>
      </c>
    </row>
    <row r="8097" spans="27:27">
      <c r="AA8097" t="s">
        <v>9736</v>
      </c>
    </row>
    <row r="8098" spans="27:27">
      <c r="AA8098" t="s">
        <v>9737</v>
      </c>
    </row>
    <row r="8099" spans="27:27">
      <c r="AA8099" t="s">
        <v>9738</v>
      </c>
    </row>
    <row r="8100" spans="27:27">
      <c r="AA8100" t="s">
        <v>9739</v>
      </c>
    </row>
    <row r="8101" spans="27:27">
      <c r="AA8101" t="s">
        <v>9740</v>
      </c>
    </row>
    <row r="8102" spans="27:27">
      <c r="AA8102" t="s">
        <v>9741</v>
      </c>
    </row>
    <row r="8103" spans="27:27">
      <c r="AA8103" t="s">
        <v>9742</v>
      </c>
    </row>
    <row r="8104" spans="27:27">
      <c r="AA8104" t="s">
        <v>9743</v>
      </c>
    </row>
    <row r="8105" spans="27:27">
      <c r="AA8105" t="s">
        <v>9744</v>
      </c>
    </row>
    <row r="8106" spans="27:27">
      <c r="AA8106" t="s">
        <v>9745</v>
      </c>
    </row>
    <row r="8107" spans="27:27">
      <c r="AA8107" t="s">
        <v>9746</v>
      </c>
    </row>
    <row r="8108" spans="27:27">
      <c r="AA8108" t="s">
        <v>9747</v>
      </c>
    </row>
    <row r="8109" spans="27:27">
      <c r="AA8109" t="s">
        <v>9748</v>
      </c>
    </row>
    <row r="8110" spans="27:27">
      <c r="AA8110" t="s">
        <v>9749</v>
      </c>
    </row>
    <row r="8111" spans="27:27">
      <c r="AA8111" t="s">
        <v>9750</v>
      </c>
    </row>
    <row r="8112" spans="27:27">
      <c r="AA8112" t="s">
        <v>2508</v>
      </c>
    </row>
    <row r="8113" spans="27:27">
      <c r="AA8113" t="s">
        <v>9751</v>
      </c>
    </row>
    <row r="8114" spans="27:27">
      <c r="AA8114" t="s">
        <v>9752</v>
      </c>
    </row>
    <row r="8115" spans="27:27">
      <c r="AA8115" t="s">
        <v>9753</v>
      </c>
    </row>
    <row r="8116" spans="27:27">
      <c r="AA8116" t="s">
        <v>9754</v>
      </c>
    </row>
    <row r="8117" spans="27:27">
      <c r="AA8117" t="s">
        <v>9755</v>
      </c>
    </row>
    <row r="8118" spans="27:27">
      <c r="AA8118" t="s">
        <v>9756</v>
      </c>
    </row>
    <row r="8119" spans="27:27">
      <c r="AA8119" t="s">
        <v>9757</v>
      </c>
    </row>
    <row r="8120" spans="27:27">
      <c r="AA8120" t="s">
        <v>9758</v>
      </c>
    </row>
    <row r="8121" spans="27:27">
      <c r="AA8121" t="s">
        <v>2509</v>
      </c>
    </row>
    <row r="8122" spans="27:27">
      <c r="AA8122" t="s">
        <v>9759</v>
      </c>
    </row>
    <row r="8123" spans="27:27">
      <c r="AA8123" t="s">
        <v>9760</v>
      </c>
    </row>
    <row r="8124" spans="27:27">
      <c r="AA8124" t="s">
        <v>9761</v>
      </c>
    </row>
    <row r="8125" spans="27:27">
      <c r="AA8125" t="s">
        <v>9762</v>
      </c>
    </row>
    <row r="8126" spans="27:27">
      <c r="AA8126" t="s">
        <v>9763</v>
      </c>
    </row>
    <row r="8127" spans="27:27">
      <c r="AA8127" t="s">
        <v>9764</v>
      </c>
    </row>
    <row r="8128" spans="27:27">
      <c r="AA8128" t="s">
        <v>9765</v>
      </c>
    </row>
    <row r="8129" spans="27:27">
      <c r="AA8129" t="s">
        <v>2510</v>
      </c>
    </row>
    <row r="8130" spans="27:27">
      <c r="AA8130" t="s">
        <v>9766</v>
      </c>
    </row>
    <row r="8131" spans="27:27">
      <c r="AA8131" t="s">
        <v>2511</v>
      </c>
    </row>
    <row r="8132" spans="27:27">
      <c r="AA8132" t="s">
        <v>9767</v>
      </c>
    </row>
    <row r="8133" spans="27:27">
      <c r="AA8133" t="s">
        <v>9768</v>
      </c>
    </row>
    <row r="8134" spans="27:27">
      <c r="AA8134" t="s">
        <v>9769</v>
      </c>
    </row>
    <row r="8135" spans="27:27">
      <c r="AA8135" t="s">
        <v>9770</v>
      </c>
    </row>
    <row r="8136" spans="27:27">
      <c r="AA8136" t="s">
        <v>9771</v>
      </c>
    </row>
    <row r="8137" spans="27:27">
      <c r="AA8137" t="s">
        <v>2512</v>
      </c>
    </row>
    <row r="8138" spans="27:27">
      <c r="AA8138" t="s">
        <v>9772</v>
      </c>
    </row>
    <row r="8139" spans="27:27">
      <c r="AA8139" t="s">
        <v>9773</v>
      </c>
    </row>
    <row r="8140" spans="27:27">
      <c r="AA8140" t="s">
        <v>9774</v>
      </c>
    </row>
    <row r="8141" spans="27:27">
      <c r="AA8141" t="s">
        <v>9775</v>
      </c>
    </row>
    <row r="8142" spans="27:27">
      <c r="AA8142" t="s">
        <v>9776</v>
      </c>
    </row>
    <row r="8143" spans="27:27">
      <c r="AA8143" t="s">
        <v>2513</v>
      </c>
    </row>
    <row r="8144" spans="27:27">
      <c r="AA8144" t="s">
        <v>9777</v>
      </c>
    </row>
    <row r="8145" spans="27:27">
      <c r="AA8145" t="s">
        <v>9778</v>
      </c>
    </row>
    <row r="8146" spans="27:27">
      <c r="AA8146" t="s">
        <v>9779</v>
      </c>
    </row>
    <row r="8147" spans="27:27">
      <c r="AA8147" t="s">
        <v>9780</v>
      </c>
    </row>
    <row r="8148" spans="27:27">
      <c r="AA8148" t="s">
        <v>9781</v>
      </c>
    </row>
    <row r="8149" spans="27:27">
      <c r="AA8149" t="s">
        <v>9782</v>
      </c>
    </row>
    <row r="8150" spans="27:27">
      <c r="AA8150" t="s">
        <v>9783</v>
      </c>
    </row>
    <row r="8151" spans="27:27">
      <c r="AA8151" t="s">
        <v>9784</v>
      </c>
    </row>
    <row r="8152" spans="27:27">
      <c r="AA8152" t="s">
        <v>9785</v>
      </c>
    </row>
    <row r="8153" spans="27:27">
      <c r="AA8153" t="s">
        <v>9786</v>
      </c>
    </row>
    <row r="8154" spans="27:27">
      <c r="AA8154" t="s">
        <v>9787</v>
      </c>
    </row>
    <row r="8155" spans="27:27">
      <c r="AA8155" t="s">
        <v>9788</v>
      </c>
    </row>
    <row r="8156" spans="27:27">
      <c r="AA8156" t="s">
        <v>9789</v>
      </c>
    </row>
    <row r="8157" spans="27:27">
      <c r="AA8157" t="s">
        <v>9790</v>
      </c>
    </row>
    <row r="8158" spans="27:27">
      <c r="AA8158" t="s">
        <v>2514</v>
      </c>
    </row>
    <row r="8159" spans="27:27">
      <c r="AA8159" t="s">
        <v>9791</v>
      </c>
    </row>
    <row r="8160" spans="27:27">
      <c r="AA8160" t="s">
        <v>9792</v>
      </c>
    </row>
    <row r="8161" spans="27:27">
      <c r="AA8161" t="s">
        <v>9793</v>
      </c>
    </row>
    <row r="8162" spans="27:27">
      <c r="AA8162" t="s">
        <v>9794</v>
      </c>
    </row>
    <row r="8163" spans="27:27">
      <c r="AA8163" t="s">
        <v>9795</v>
      </c>
    </row>
    <row r="8164" spans="27:27">
      <c r="AA8164" t="s">
        <v>2515</v>
      </c>
    </row>
    <row r="8165" spans="27:27">
      <c r="AA8165" t="s">
        <v>9796</v>
      </c>
    </row>
    <row r="8166" spans="27:27">
      <c r="AA8166" t="s">
        <v>9797</v>
      </c>
    </row>
    <row r="8167" spans="27:27">
      <c r="AA8167" t="s">
        <v>9798</v>
      </c>
    </row>
    <row r="8168" spans="27:27">
      <c r="AA8168" t="s">
        <v>9799</v>
      </c>
    </row>
    <row r="8169" spans="27:27">
      <c r="AA8169" t="s">
        <v>9800</v>
      </c>
    </row>
    <row r="8170" spans="27:27">
      <c r="AA8170" t="s">
        <v>9801</v>
      </c>
    </row>
    <row r="8171" spans="27:27">
      <c r="AA8171" t="s">
        <v>9802</v>
      </c>
    </row>
    <row r="8172" spans="27:27">
      <c r="AA8172" t="s">
        <v>9803</v>
      </c>
    </row>
    <row r="8173" spans="27:27">
      <c r="AA8173" t="s">
        <v>9804</v>
      </c>
    </row>
    <row r="8174" spans="27:27">
      <c r="AA8174" t="s">
        <v>9805</v>
      </c>
    </row>
    <row r="8175" spans="27:27">
      <c r="AA8175" t="s">
        <v>9806</v>
      </c>
    </row>
    <row r="8176" spans="27:27">
      <c r="AA8176" t="s">
        <v>9807</v>
      </c>
    </row>
    <row r="8177" spans="27:27">
      <c r="AA8177" t="s">
        <v>9808</v>
      </c>
    </row>
    <row r="8178" spans="27:27">
      <c r="AA8178" t="s">
        <v>9809</v>
      </c>
    </row>
    <row r="8179" spans="27:27">
      <c r="AA8179" t="s">
        <v>9810</v>
      </c>
    </row>
    <row r="8180" spans="27:27">
      <c r="AA8180" t="s">
        <v>9811</v>
      </c>
    </row>
    <row r="8181" spans="27:27">
      <c r="AA8181" t="s">
        <v>9812</v>
      </c>
    </row>
    <row r="8182" spans="27:27">
      <c r="AA8182" t="s">
        <v>9813</v>
      </c>
    </row>
    <row r="8183" spans="27:27">
      <c r="AA8183" t="s">
        <v>9814</v>
      </c>
    </row>
    <row r="8184" spans="27:27">
      <c r="AA8184" t="s">
        <v>9815</v>
      </c>
    </row>
    <row r="8185" spans="27:27">
      <c r="AA8185" t="s">
        <v>9816</v>
      </c>
    </row>
    <row r="8186" spans="27:27">
      <c r="AA8186" t="s">
        <v>9817</v>
      </c>
    </row>
    <row r="8187" spans="27:27">
      <c r="AA8187" t="s">
        <v>2516</v>
      </c>
    </row>
    <row r="8188" spans="27:27">
      <c r="AA8188" t="s">
        <v>9818</v>
      </c>
    </row>
    <row r="8189" spans="27:27">
      <c r="AA8189" t="s">
        <v>9819</v>
      </c>
    </row>
    <row r="8190" spans="27:27">
      <c r="AA8190" t="s">
        <v>9820</v>
      </c>
    </row>
    <row r="8191" spans="27:27">
      <c r="AA8191" t="s">
        <v>9821</v>
      </c>
    </row>
    <row r="8192" spans="27:27">
      <c r="AA8192" t="s">
        <v>9822</v>
      </c>
    </row>
    <row r="8193" spans="27:27">
      <c r="AA8193" t="s">
        <v>2517</v>
      </c>
    </row>
    <row r="8194" spans="27:27">
      <c r="AA8194" t="s">
        <v>9823</v>
      </c>
    </row>
    <row r="8195" spans="27:27">
      <c r="AA8195" t="s">
        <v>9824</v>
      </c>
    </row>
    <row r="8196" spans="27:27">
      <c r="AA8196" t="s">
        <v>9825</v>
      </c>
    </row>
    <row r="8197" spans="27:27">
      <c r="AA8197" t="s">
        <v>9826</v>
      </c>
    </row>
    <row r="8198" spans="27:27">
      <c r="AA8198" t="s">
        <v>9827</v>
      </c>
    </row>
    <row r="8199" spans="27:27">
      <c r="AA8199" t="s">
        <v>2518</v>
      </c>
    </row>
    <row r="8200" spans="27:27">
      <c r="AA8200" t="s">
        <v>9828</v>
      </c>
    </row>
    <row r="8201" spans="27:27">
      <c r="AA8201" t="s">
        <v>9829</v>
      </c>
    </row>
    <row r="8202" spans="27:27">
      <c r="AA8202" t="s">
        <v>9830</v>
      </c>
    </row>
    <row r="8203" spans="27:27">
      <c r="AA8203" t="s">
        <v>9831</v>
      </c>
    </row>
    <row r="8204" spans="27:27">
      <c r="AA8204" t="s">
        <v>9832</v>
      </c>
    </row>
    <row r="8205" spans="27:27">
      <c r="AA8205" t="s">
        <v>9833</v>
      </c>
    </row>
    <row r="8206" spans="27:27">
      <c r="AA8206" t="s">
        <v>9834</v>
      </c>
    </row>
    <row r="8207" spans="27:27">
      <c r="AA8207" t="s">
        <v>2519</v>
      </c>
    </row>
    <row r="8208" spans="27:27">
      <c r="AA8208" t="s">
        <v>9835</v>
      </c>
    </row>
    <row r="8209" spans="27:27">
      <c r="AA8209" t="s">
        <v>9836</v>
      </c>
    </row>
    <row r="8210" spans="27:27">
      <c r="AA8210" t="s">
        <v>9837</v>
      </c>
    </row>
    <row r="8211" spans="27:27">
      <c r="AA8211" t="s">
        <v>9838</v>
      </c>
    </row>
    <row r="8212" spans="27:27">
      <c r="AA8212" t="s">
        <v>9839</v>
      </c>
    </row>
    <row r="8213" spans="27:27">
      <c r="AA8213" t="s">
        <v>2520</v>
      </c>
    </row>
    <row r="8214" spans="27:27">
      <c r="AA8214" t="s">
        <v>9840</v>
      </c>
    </row>
    <row r="8215" spans="27:27">
      <c r="AA8215" t="s">
        <v>9841</v>
      </c>
    </row>
    <row r="8216" spans="27:27">
      <c r="AA8216" t="s">
        <v>9842</v>
      </c>
    </row>
    <row r="8217" spans="27:27">
      <c r="AA8217" t="s">
        <v>9843</v>
      </c>
    </row>
    <row r="8218" spans="27:27">
      <c r="AA8218" t="s">
        <v>9844</v>
      </c>
    </row>
    <row r="8219" spans="27:27">
      <c r="AA8219" t="s">
        <v>9845</v>
      </c>
    </row>
    <row r="8220" spans="27:27">
      <c r="AA8220" t="s">
        <v>9846</v>
      </c>
    </row>
    <row r="8221" spans="27:27">
      <c r="AA8221" t="s">
        <v>9847</v>
      </c>
    </row>
    <row r="8222" spans="27:27">
      <c r="AA8222" t="s">
        <v>9848</v>
      </c>
    </row>
    <row r="8223" spans="27:27">
      <c r="AA8223" t="s">
        <v>2521</v>
      </c>
    </row>
    <row r="8224" spans="27:27">
      <c r="AA8224" t="s">
        <v>9849</v>
      </c>
    </row>
    <row r="8225" spans="27:27">
      <c r="AA8225" t="s">
        <v>9850</v>
      </c>
    </row>
    <row r="8226" spans="27:27">
      <c r="AA8226" t="s">
        <v>9851</v>
      </c>
    </row>
    <row r="8227" spans="27:27">
      <c r="AA8227" t="s">
        <v>9852</v>
      </c>
    </row>
    <row r="8228" spans="27:27">
      <c r="AA8228" t="s">
        <v>9853</v>
      </c>
    </row>
    <row r="8229" spans="27:27">
      <c r="AA8229" t="s">
        <v>2522</v>
      </c>
    </row>
    <row r="8230" spans="27:27">
      <c r="AA8230" t="s">
        <v>9854</v>
      </c>
    </row>
    <row r="8231" spans="27:27">
      <c r="AA8231" t="s">
        <v>9855</v>
      </c>
    </row>
    <row r="8232" spans="27:27">
      <c r="AA8232" t="s">
        <v>9856</v>
      </c>
    </row>
    <row r="8233" spans="27:27">
      <c r="AA8233" t="s">
        <v>9857</v>
      </c>
    </row>
    <row r="8234" spans="27:27">
      <c r="AA8234" t="s">
        <v>9858</v>
      </c>
    </row>
    <row r="8235" spans="27:27">
      <c r="AA8235" t="s">
        <v>9859</v>
      </c>
    </row>
    <row r="8236" spans="27:27">
      <c r="AA8236" t="s">
        <v>9860</v>
      </c>
    </row>
    <row r="8237" spans="27:27">
      <c r="AA8237" t="s">
        <v>9861</v>
      </c>
    </row>
    <row r="8238" spans="27:27">
      <c r="AA8238" t="s">
        <v>9862</v>
      </c>
    </row>
    <row r="8239" spans="27:27">
      <c r="AA8239" t="s">
        <v>9863</v>
      </c>
    </row>
    <row r="8240" spans="27:27">
      <c r="AA8240" t="s">
        <v>2523</v>
      </c>
    </row>
    <row r="8241" spans="27:27">
      <c r="AA8241" t="s">
        <v>9864</v>
      </c>
    </row>
    <row r="8242" spans="27:27">
      <c r="AA8242" t="s">
        <v>9865</v>
      </c>
    </row>
    <row r="8243" spans="27:27">
      <c r="AA8243" t="s">
        <v>9866</v>
      </c>
    </row>
    <row r="8244" spans="27:27">
      <c r="AA8244" t="s">
        <v>9867</v>
      </c>
    </row>
    <row r="8245" spans="27:27">
      <c r="AA8245" t="s">
        <v>9868</v>
      </c>
    </row>
    <row r="8246" spans="27:27">
      <c r="AA8246" t="s">
        <v>2524</v>
      </c>
    </row>
    <row r="8247" spans="27:27">
      <c r="AA8247" t="s">
        <v>9869</v>
      </c>
    </row>
    <row r="8248" spans="27:27">
      <c r="AA8248" t="s">
        <v>9870</v>
      </c>
    </row>
    <row r="8249" spans="27:27">
      <c r="AA8249" t="s">
        <v>9871</v>
      </c>
    </row>
    <row r="8250" spans="27:27">
      <c r="AA8250" t="s">
        <v>9872</v>
      </c>
    </row>
    <row r="8251" spans="27:27">
      <c r="AA8251" t="s">
        <v>2525</v>
      </c>
    </row>
    <row r="8252" spans="27:27">
      <c r="AA8252" t="s">
        <v>9873</v>
      </c>
    </row>
    <row r="8253" spans="27:27">
      <c r="AA8253" t="s">
        <v>9874</v>
      </c>
    </row>
    <row r="8254" spans="27:27">
      <c r="AA8254" t="s">
        <v>9875</v>
      </c>
    </row>
    <row r="8255" spans="27:27">
      <c r="AA8255" t="s">
        <v>9876</v>
      </c>
    </row>
    <row r="8256" spans="27:27">
      <c r="AA8256" t="s">
        <v>9877</v>
      </c>
    </row>
    <row r="8257" spans="27:27">
      <c r="AA8257" t="s">
        <v>9878</v>
      </c>
    </row>
    <row r="8258" spans="27:27">
      <c r="AA8258" t="s">
        <v>2526</v>
      </c>
    </row>
    <row r="8259" spans="27:27">
      <c r="AA8259" t="s">
        <v>2527</v>
      </c>
    </row>
    <row r="8260" spans="27:27">
      <c r="AA8260" t="s">
        <v>9879</v>
      </c>
    </row>
    <row r="8261" spans="27:27">
      <c r="AA8261" t="s">
        <v>2528</v>
      </c>
    </row>
    <row r="8262" spans="27:27">
      <c r="AA8262" t="s">
        <v>9880</v>
      </c>
    </row>
    <row r="8263" spans="27:27">
      <c r="AA8263" t="s">
        <v>9881</v>
      </c>
    </row>
    <row r="8264" spans="27:27">
      <c r="AA8264" t="s">
        <v>9882</v>
      </c>
    </row>
    <row r="8265" spans="27:27">
      <c r="AA8265" t="s">
        <v>9883</v>
      </c>
    </row>
    <row r="8266" spans="27:27">
      <c r="AA8266" t="s">
        <v>2529</v>
      </c>
    </row>
    <row r="8267" spans="27:27">
      <c r="AA8267" t="s">
        <v>2530</v>
      </c>
    </row>
    <row r="8268" spans="27:27">
      <c r="AA8268" t="s">
        <v>2531</v>
      </c>
    </row>
    <row r="8269" spans="27:27">
      <c r="AA8269" t="s">
        <v>9884</v>
      </c>
    </row>
    <row r="8270" spans="27:27">
      <c r="AA8270" t="s">
        <v>9885</v>
      </c>
    </row>
    <row r="8271" spans="27:27">
      <c r="AA8271" t="s">
        <v>2532</v>
      </c>
    </row>
    <row r="8272" spans="27:27">
      <c r="AA8272" t="s">
        <v>9886</v>
      </c>
    </row>
    <row r="8273" spans="27:27">
      <c r="AA8273" t="s">
        <v>9887</v>
      </c>
    </row>
    <row r="8274" spans="27:27">
      <c r="AA8274" t="s">
        <v>9888</v>
      </c>
    </row>
    <row r="8275" spans="27:27">
      <c r="AA8275" t="s">
        <v>9889</v>
      </c>
    </row>
    <row r="8276" spans="27:27">
      <c r="AA8276" t="s">
        <v>9890</v>
      </c>
    </row>
    <row r="8277" spans="27:27">
      <c r="AA8277" t="s">
        <v>9891</v>
      </c>
    </row>
    <row r="8278" spans="27:27">
      <c r="AA8278" t="s">
        <v>2533</v>
      </c>
    </row>
    <row r="8279" spans="27:27">
      <c r="AA8279" t="s">
        <v>9892</v>
      </c>
    </row>
    <row r="8280" spans="27:27">
      <c r="AA8280" t="s">
        <v>9893</v>
      </c>
    </row>
    <row r="8281" spans="27:27">
      <c r="AA8281" t="s">
        <v>9894</v>
      </c>
    </row>
    <row r="8282" spans="27:27">
      <c r="AA8282" t="s">
        <v>9895</v>
      </c>
    </row>
    <row r="8283" spans="27:27">
      <c r="AA8283" t="s">
        <v>9896</v>
      </c>
    </row>
    <row r="8284" spans="27:27">
      <c r="AA8284" t="s">
        <v>9897</v>
      </c>
    </row>
    <row r="8285" spans="27:27">
      <c r="AA8285" t="s">
        <v>9898</v>
      </c>
    </row>
    <row r="8286" spans="27:27">
      <c r="AA8286" t="s">
        <v>2534</v>
      </c>
    </row>
    <row r="8287" spans="27:27">
      <c r="AA8287" t="s">
        <v>2535</v>
      </c>
    </row>
    <row r="8288" spans="27:27">
      <c r="AA8288" t="s">
        <v>2536</v>
      </c>
    </row>
    <row r="8289" spans="27:27">
      <c r="AA8289" t="s">
        <v>9899</v>
      </c>
    </row>
    <row r="8290" spans="27:27">
      <c r="AA8290" t="s">
        <v>9900</v>
      </c>
    </row>
    <row r="8291" spans="27:27">
      <c r="AA8291" t="s">
        <v>9901</v>
      </c>
    </row>
    <row r="8292" spans="27:27">
      <c r="AA8292" t="s">
        <v>9902</v>
      </c>
    </row>
    <row r="8293" spans="27:27">
      <c r="AA8293" t="s">
        <v>9903</v>
      </c>
    </row>
    <row r="8294" spans="27:27">
      <c r="AA8294" t="s">
        <v>9904</v>
      </c>
    </row>
    <row r="8295" spans="27:27">
      <c r="AA8295" t="s">
        <v>2537</v>
      </c>
    </row>
    <row r="8296" spans="27:27">
      <c r="AA8296" t="s">
        <v>9905</v>
      </c>
    </row>
    <row r="8297" spans="27:27">
      <c r="AA8297" t="s">
        <v>9906</v>
      </c>
    </row>
    <row r="8298" spans="27:27">
      <c r="AA8298" t="s">
        <v>9907</v>
      </c>
    </row>
    <row r="8299" spans="27:27">
      <c r="AA8299" t="s">
        <v>9908</v>
      </c>
    </row>
    <row r="8300" spans="27:27">
      <c r="AA8300" t="s">
        <v>9909</v>
      </c>
    </row>
    <row r="8301" spans="27:27">
      <c r="AA8301" t="s">
        <v>9910</v>
      </c>
    </row>
    <row r="8302" spans="27:27">
      <c r="AA8302" t="s">
        <v>2538</v>
      </c>
    </row>
    <row r="8303" spans="27:27">
      <c r="AA8303" t="s">
        <v>9911</v>
      </c>
    </row>
    <row r="8304" spans="27:27">
      <c r="AA8304" t="s">
        <v>9912</v>
      </c>
    </row>
    <row r="8305" spans="27:27">
      <c r="AA8305" t="s">
        <v>9913</v>
      </c>
    </row>
    <row r="8306" spans="27:27">
      <c r="AA8306" t="s">
        <v>9914</v>
      </c>
    </row>
    <row r="8307" spans="27:27">
      <c r="AA8307" t="s">
        <v>9915</v>
      </c>
    </row>
    <row r="8308" spans="27:27">
      <c r="AA8308" t="s">
        <v>9916</v>
      </c>
    </row>
    <row r="8309" spans="27:27">
      <c r="AA8309" t="s">
        <v>9917</v>
      </c>
    </row>
    <row r="8310" spans="27:27">
      <c r="AA8310" t="s">
        <v>9918</v>
      </c>
    </row>
    <row r="8311" spans="27:27">
      <c r="AA8311" t="s">
        <v>9919</v>
      </c>
    </row>
    <row r="8312" spans="27:27">
      <c r="AA8312" t="s">
        <v>9920</v>
      </c>
    </row>
    <row r="8313" spans="27:27">
      <c r="AA8313" t="s">
        <v>2539</v>
      </c>
    </row>
    <row r="8314" spans="27:27">
      <c r="AA8314" t="s">
        <v>2540</v>
      </c>
    </row>
    <row r="8315" spans="27:27">
      <c r="AA8315" t="s">
        <v>9921</v>
      </c>
    </row>
    <row r="8316" spans="27:27">
      <c r="AA8316" t="s">
        <v>9922</v>
      </c>
    </row>
    <row r="8317" spans="27:27">
      <c r="AA8317" t="s">
        <v>9923</v>
      </c>
    </row>
    <row r="8318" spans="27:27">
      <c r="AA8318" t="s">
        <v>9924</v>
      </c>
    </row>
    <row r="8319" spans="27:27">
      <c r="AA8319" t="s">
        <v>9925</v>
      </c>
    </row>
    <row r="8320" spans="27:27">
      <c r="AA8320" t="s">
        <v>9926</v>
      </c>
    </row>
    <row r="8321" spans="27:27">
      <c r="AA8321" t="s">
        <v>9927</v>
      </c>
    </row>
    <row r="8322" spans="27:27">
      <c r="AA8322" t="s">
        <v>9928</v>
      </c>
    </row>
    <row r="8323" spans="27:27">
      <c r="AA8323" t="s">
        <v>9929</v>
      </c>
    </row>
    <row r="8324" spans="27:27">
      <c r="AA8324" t="s">
        <v>9930</v>
      </c>
    </row>
    <row r="8325" spans="27:27">
      <c r="AA8325" t="s">
        <v>9931</v>
      </c>
    </row>
    <row r="8326" spans="27:27">
      <c r="AA8326" t="s">
        <v>9932</v>
      </c>
    </row>
    <row r="8327" spans="27:27">
      <c r="AA8327" t="s">
        <v>9933</v>
      </c>
    </row>
    <row r="8328" spans="27:27">
      <c r="AA8328" t="s">
        <v>9934</v>
      </c>
    </row>
    <row r="8329" spans="27:27">
      <c r="AA8329" t="s">
        <v>9935</v>
      </c>
    </row>
    <row r="8330" spans="27:27">
      <c r="AA8330" t="s">
        <v>9936</v>
      </c>
    </row>
    <row r="8331" spans="27:27">
      <c r="AA8331" t="s">
        <v>2541</v>
      </c>
    </row>
    <row r="8332" spans="27:27">
      <c r="AA8332" t="s">
        <v>9937</v>
      </c>
    </row>
    <row r="8333" spans="27:27">
      <c r="AA8333" t="s">
        <v>9938</v>
      </c>
    </row>
    <row r="8334" spans="27:27">
      <c r="AA8334" t="s">
        <v>9939</v>
      </c>
    </row>
    <row r="8335" spans="27:27">
      <c r="AA8335" t="s">
        <v>9940</v>
      </c>
    </row>
    <row r="8336" spans="27:27">
      <c r="AA8336" t="s">
        <v>9941</v>
      </c>
    </row>
    <row r="8337" spans="27:27">
      <c r="AA8337" t="s">
        <v>9942</v>
      </c>
    </row>
    <row r="8338" spans="27:27">
      <c r="AA8338" t="s">
        <v>9943</v>
      </c>
    </row>
    <row r="8339" spans="27:27">
      <c r="AA8339" t="s">
        <v>9944</v>
      </c>
    </row>
    <row r="8340" spans="27:27">
      <c r="AA8340" t="s">
        <v>2542</v>
      </c>
    </row>
    <row r="8341" spans="27:27">
      <c r="AA8341" t="s">
        <v>9945</v>
      </c>
    </row>
    <row r="8342" spans="27:27">
      <c r="AA8342" t="s">
        <v>9946</v>
      </c>
    </row>
    <row r="8343" spans="27:27">
      <c r="AA8343" t="s">
        <v>9947</v>
      </c>
    </row>
    <row r="8344" spans="27:27">
      <c r="AA8344" t="s">
        <v>9948</v>
      </c>
    </row>
    <row r="8345" spans="27:27">
      <c r="AA8345" t="s">
        <v>9949</v>
      </c>
    </row>
    <row r="8346" spans="27:27">
      <c r="AA8346" t="s">
        <v>9950</v>
      </c>
    </row>
    <row r="8347" spans="27:27">
      <c r="AA8347" t="s">
        <v>9951</v>
      </c>
    </row>
    <row r="8348" spans="27:27">
      <c r="AA8348" t="s">
        <v>9952</v>
      </c>
    </row>
    <row r="8349" spans="27:27">
      <c r="AA8349" t="s">
        <v>2543</v>
      </c>
    </row>
    <row r="8350" spans="27:27">
      <c r="AA8350" t="s">
        <v>9953</v>
      </c>
    </row>
    <row r="8351" spans="27:27">
      <c r="AA8351" t="s">
        <v>9954</v>
      </c>
    </row>
    <row r="8352" spans="27:27">
      <c r="AA8352" t="s">
        <v>9955</v>
      </c>
    </row>
    <row r="8353" spans="27:27">
      <c r="AA8353" t="s">
        <v>9956</v>
      </c>
    </row>
    <row r="8354" spans="27:27">
      <c r="AA8354" t="s">
        <v>9957</v>
      </c>
    </row>
    <row r="8355" spans="27:27">
      <c r="AA8355" t="s">
        <v>2544</v>
      </c>
    </row>
    <row r="8356" spans="27:27">
      <c r="AA8356" t="s">
        <v>9958</v>
      </c>
    </row>
    <row r="8357" spans="27:27">
      <c r="AA8357" t="s">
        <v>9959</v>
      </c>
    </row>
    <row r="8358" spans="27:27">
      <c r="AA8358" t="s">
        <v>9960</v>
      </c>
    </row>
    <row r="8359" spans="27:27">
      <c r="AA8359" t="s">
        <v>9961</v>
      </c>
    </row>
    <row r="8360" spans="27:27">
      <c r="AA8360" t="s">
        <v>9962</v>
      </c>
    </row>
    <row r="8361" spans="27:27">
      <c r="AA8361" t="s">
        <v>2545</v>
      </c>
    </row>
    <row r="8362" spans="27:27">
      <c r="AA8362" t="s">
        <v>9963</v>
      </c>
    </row>
    <row r="8363" spans="27:27">
      <c r="AA8363" t="s">
        <v>9964</v>
      </c>
    </row>
    <row r="8364" spans="27:27">
      <c r="AA8364" t="s">
        <v>9965</v>
      </c>
    </row>
    <row r="8365" spans="27:27">
      <c r="AA8365" t="s">
        <v>9966</v>
      </c>
    </row>
    <row r="8366" spans="27:27">
      <c r="AA8366" t="s">
        <v>9967</v>
      </c>
    </row>
    <row r="8367" spans="27:27">
      <c r="AA8367" t="s">
        <v>9968</v>
      </c>
    </row>
    <row r="8368" spans="27:27">
      <c r="AA8368" t="s">
        <v>9969</v>
      </c>
    </row>
    <row r="8369" spans="27:27">
      <c r="AA8369" t="s">
        <v>9970</v>
      </c>
    </row>
    <row r="8370" spans="27:27">
      <c r="AA8370" t="s">
        <v>9971</v>
      </c>
    </row>
    <row r="8371" spans="27:27">
      <c r="AA8371" t="s">
        <v>9972</v>
      </c>
    </row>
    <row r="8372" spans="27:27">
      <c r="AA8372" t="s">
        <v>9973</v>
      </c>
    </row>
    <row r="8373" spans="27:27">
      <c r="AA8373" t="s">
        <v>9974</v>
      </c>
    </row>
    <row r="8374" spans="27:27">
      <c r="AA8374" t="s">
        <v>9975</v>
      </c>
    </row>
    <row r="8375" spans="27:27">
      <c r="AA8375" t="s">
        <v>9976</v>
      </c>
    </row>
    <row r="8376" spans="27:27">
      <c r="AA8376" t="s">
        <v>2546</v>
      </c>
    </row>
    <row r="8377" spans="27:27">
      <c r="AA8377" t="s">
        <v>9977</v>
      </c>
    </row>
    <row r="8378" spans="27:27">
      <c r="AA8378" t="s">
        <v>9978</v>
      </c>
    </row>
    <row r="8379" spans="27:27">
      <c r="AA8379" t="s">
        <v>9979</v>
      </c>
    </row>
    <row r="8380" spans="27:27">
      <c r="AA8380" t="s">
        <v>9980</v>
      </c>
    </row>
    <row r="8381" spans="27:27">
      <c r="AA8381" t="s">
        <v>9981</v>
      </c>
    </row>
    <row r="8382" spans="27:27">
      <c r="AA8382" t="s">
        <v>2547</v>
      </c>
    </row>
    <row r="8383" spans="27:27">
      <c r="AA8383" t="s">
        <v>9982</v>
      </c>
    </row>
    <row r="8384" spans="27:27">
      <c r="AA8384" t="s">
        <v>9983</v>
      </c>
    </row>
    <row r="8385" spans="27:27">
      <c r="AA8385" t="s">
        <v>9984</v>
      </c>
    </row>
    <row r="8386" spans="27:27">
      <c r="AA8386" t="s">
        <v>9985</v>
      </c>
    </row>
    <row r="8387" spans="27:27">
      <c r="AA8387" t="s">
        <v>9986</v>
      </c>
    </row>
    <row r="8388" spans="27:27">
      <c r="AA8388" t="s">
        <v>9987</v>
      </c>
    </row>
    <row r="8389" spans="27:27">
      <c r="AA8389" t="s">
        <v>9988</v>
      </c>
    </row>
    <row r="8390" spans="27:27">
      <c r="AA8390" t="s">
        <v>9989</v>
      </c>
    </row>
    <row r="8391" spans="27:27">
      <c r="AA8391" t="s">
        <v>9990</v>
      </c>
    </row>
    <row r="8392" spans="27:27">
      <c r="AA8392" t="s">
        <v>9991</v>
      </c>
    </row>
    <row r="8393" spans="27:27">
      <c r="AA8393" t="s">
        <v>9992</v>
      </c>
    </row>
    <row r="8394" spans="27:27">
      <c r="AA8394" t="s">
        <v>9993</v>
      </c>
    </row>
    <row r="8395" spans="27:27">
      <c r="AA8395" t="s">
        <v>9994</v>
      </c>
    </row>
    <row r="8396" spans="27:27">
      <c r="AA8396" t="s">
        <v>9995</v>
      </c>
    </row>
    <row r="8397" spans="27:27">
      <c r="AA8397" t="s">
        <v>9996</v>
      </c>
    </row>
    <row r="8398" spans="27:27">
      <c r="AA8398" t="s">
        <v>9997</v>
      </c>
    </row>
    <row r="8399" spans="27:27">
      <c r="AA8399" t="s">
        <v>9998</v>
      </c>
    </row>
    <row r="8400" spans="27:27">
      <c r="AA8400" t="s">
        <v>9999</v>
      </c>
    </row>
    <row r="8401" spans="27:27">
      <c r="AA8401" t="s">
        <v>10000</v>
      </c>
    </row>
    <row r="8402" spans="27:27">
      <c r="AA8402" t="s">
        <v>10001</v>
      </c>
    </row>
    <row r="8403" spans="27:27">
      <c r="AA8403" t="s">
        <v>10002</v>
      </c>
    </row>
    <row r="8404" spans="27:27">
      <c r="AA8404" t="s">
        <v>10003</v>
      </c>
    </row>
    <row r="8405" spans="27:27">
      <c r="AA8405" t="s">
        <v>2548</v>
      </c>
    </row>
    <row r="8406" spans="27:27">
      <c r="AA8406" t="s">
        <v>10004</v>
      </c>
    </row>
    <row r="8407" spans="27:27">
      <c r="AA8407" t="s">
        <v>10005</v>
      </c>
    </row>
    <row r="8408" spans="27:27">
      <c r="AA8408" t="s">
        <v>10006</v>
      </c>
    </row>
    <row r="8409" spans="27:27">
      <c r="AA8409" t="s">
        <v>10007</v>
      </c>
    </row>
    <row r="8410" spans="27:27">
      <c r="AA8410" t="s">
        <v>10008</v>
      </c>
    </row>
    <row r="8411" spans="27:27">
      <c r="AA8411" t="s">
        <v>2549</v>
      </c>
    </row>
    <row r="8412" spans="27:27">
      <c r="AA8412" t="s">
        <v>10009</v>
      </c>
    </row>
    <row r="8413" spans="27:27">
      <c r="AA8413" t="s">
        <v>10010</v>
      </c>
    </row>
    <row r="8414" spans="27:27">
      <c r="AA8414" t="s">
        <v>10011</v>
      </c>
    </row>
    <row r="8415" spans="27:27">
      <c r="AA8415" t="s">
        <v>10012</v>
      </c>
    </row>
    <row r="8416" spans="27:27">
      <c r="AA8416" t="s">
        <v>10013</v>
      </c>
    </row>
    <row r="8417" spans="27:27">
      <c r="AA8417" t="s">
        <v>2550</v>
      </c>
    </row>
    <row r="8418" spans="27:27">
      <c r="AA8418" t="s">
        <v>10014</v>
      </c>
    </row>
    <row r="8419" spans="27:27">
      <c r="AA8419" t="s">
        <v>10015</v>
      </c>
    </row>
    <row r="8420" spans="27:27">
      <c r="AA8420" t="s">
        <v>10016</v>
      </c>
    </row>
    <row r="8421" spans="27:27">
      <c r="AA8421" t="s">
        <v>10017</v>
      </c>
    </row>
    <row r="8422" spans="27:27">
      <c r="AA8422" t="s">
        <v>10018</v>
      </c>
    </row>
    <row r="8423" spans="27:27">
      <c r="AA8423" t="s">
        <v>10019</v>
      </c>
    </row>
    <row r="8424" spans="27:27">
      <c r="AA8424" t="s">
        <v>10020</v>
      </c>
    </row>
    <row r="8425" spans="27:27">
      <c r="AA8425" t="s">
        <v>2551</v>
      </c>
    </row>
    <row r="8426" spans="27:27">
      <c r="AA8426" t="s">
        <v>10021</v>
      </c>
    </row>
    <row r="8427" spans="27:27">
      <c r="AA8427" t="s">
        <v>10022</v>
      </c>
    </row>
    <row r="8428" spans="27:27">
      <c r="AA8428" t="s">
        <v>10023</v>
      </c>
    </row>
    <row r="8429" spans="27:27">
      <c r="AA8429" t="s">
        <v>10024</v>
      </c>
    </row>
    <row r="8430" spans="27:27">
      <c r="AA8430" t="s">
        <v>10025</v>
      </c>
    </row>
    <row r="8431" spans="27:27">
      <c r="AA8431" t="s">
        <v>2552</v>
      </c>
    </row>
    <row r="8432" spans="27:27">
      <c r="AA8432" t="s">
        <v>10026</v>
      </c>
    </row>
    <row r="8433" spans="27:27">
      <c r="AA8433" t="s">
        <v>10027</v>
      </c>
    </row>
    <row r="8434" spans="27:27">
      <c r="AA8434" t="s">
        <v>10028</v>
      </c>
    </row>
    <row r="8435" spans="27:27">
      <c r="AA8435" t="s">
        <v>10029</v>
      </c>
    </row>
    <row r="8436" spans="27:27">
      <c r="AA8436" t="s">
        <v>10030</v>
      </c>
    </row>
    <row r="8437" spans="27:27">
      <c r="AA8437" t="s">
        <v>10031</v>
      </c>
    </row>
    <row r="8438" spans="27:27">
      <c r="AA8438" t="s">
        <v>10032</v>
      </c>
    </row>
    <row r="8439" spans="27:27">
      <c r="AA8439" t="s">
        <v>10033</v>
      </c>
    </row>
    <row r="8440" spans="27:27">
      <c r="AA8440" t="s">
        <v>10034</v>
      </c>
    </row>
    <row r="8441" spans="27:27">
      <c r="AA8441" t="s">
        <v>2553</v>
      </c>
    </row>
    <row r="8442" spans="27:27">
      <c r="AA8442" t="s">
        <v>10035</v>
      </c>
    </row>
    <row r="8443" spans="27:27">
      <c r="AA8443" t="s">
        <v>10036</v>
      </c>
    </row>
    <row r="8444" spans="27:27">
      <c r="AA8444" t="s">
        <v>10037</v>
      </c>
    </row>
    <row r="8445" spans="27:27">
      <c r="AA8445" t="s">
        <v>10038</v>
      </c>
    </row>
    <row r="8446" spans="27:27">
      <c r="AA8446" t="s">
        <v>10039</v>
      </c>
    </row>
    <row r="8447" spans="27:27">
      <c r="AA8447" t="s">
        <v>2554</v>
      </c>
    </row>
    <row r="8448" spans="27:27">
      <c r="AA8448" t="s">
        <v>10040</v>
      </c>
    </row>
    <row r="8449" spans="27:27">
      <c r="AA8449" t="s">
        <v>10041</v>
      </c>
    </row>
    <row r="8450" spans="27:27">
      <c r="AA8450" t="s">
        <v>10042</v>
      </c>
    </row>
    <row r="8451" spans="27:27">
      <c r="AA8451" t="s">
        <v>10043</v>
      </c>
    </row>
    <row r="8452" spans="27:27">
      <c r="AA8452" t="s">
        <v>10044</v>
      </c>
    </row>
    <row r="8453" spans="27:27">
      <c r="AA8453" t="s">
        <v>10045</v>
      </c>
    </row>
    <row r="8454" spans="27:27">
      <c r="AA8454" t="s">
        <v>10046</v>
      </c>
    </row>
    <row r="8455" spans="27:27">
      <c r="AA8455" t="s">
        <v>10047</v>
      </c>
    </row>
    <row r="8456" spans="27:27">
      <c r="AA8456" t="s">
        <v>10048</v>
      </c>
    </row>
    <row r="8457" spans="27:27">
      <c r="AA8457" t="s">
        <v>10049</v>
      </c>
    </row>
    <row r="8458" spans="27:27">
      <c r="AA8458" t="s">
        <v>2555</v>
      </c>
    </row>
    <row r="8459" spans="27:27">
      <c r="AA8459" t="s">
        <v>10050</v>
      </c>
    </row>
    <row r="8460" spans="27:27">
      <c r="AA8460" t="s">
        <v>10051</v>
      </c>
    </row>
    <row r="8461" spans="27:27">
      <c r="AA8461" t="s">
        <v>10052</v>
      </c>
    </row>
    <row r="8462" spans="27:27">
      <c r="AA8462" t="s">
        <v>10053</v>
      </c>
    </row>
    <row r="8463" spans="27:27">
      <c r="AA8463" t="s">
        <v>10054</v>
      </c>
    </row>
    <row r="8464" spans="27:27">
      <c r="AA8464" t="s">
        <v>2556</v>
      </c>
    </row>
    <row r="8465" spans="27:27">
      <c r="AA8465" t="s">
        <v>10055</v>
      </c>
    </row>
    <row r="8466" spans="27:27">
      <c r="AA8466" t="s">
        <v>10056</v>
      </c>
    </row>
    <row r="8467" spans="27:27">
      <c r="AA8467" t="s">
        <v>10057</v>
      </c>
    </row>
    <row r="8468" spans="27:27">
      <c r="AA8468" t="s">
        <v>10058</v>
      </c>
    </row>
    <row r="8469" spans="27:27">
      <c r="AA8469" t="s">
        <v>10059</v>
      </c>
    </row>
    <row r="8470" spans="27:27">
      <c r="AA8470" t="s">
        <v>2557</v>
      </c>
    </row>
    <row r="8471" spans="27:27">
      <c r="AA8471" t="s">
        <v>10060</v>
      </c>
    </row>
    <row r="8472" spans="27:27">
      <c r="AA8472" t="s">
        <v>10061</v>
      </c>
    </row>
    <row r="8473" spans="27:27">
      <c r="AA8473" t="s">
        <v>10062</v>
      </c>
    </row>
    <row r="8474" spans="27:27">
      <c r="AA8474" t="s">
        <v>10063</v>
      </c>
    </row>
    <row r="8475" spans="27:27">
      <c r="AA8475" t="s">
        <v>10064</v>
      </c>
    </row>
    <row r="8476" spans="27:27">
      <c r="AA8476" t="s">
        <v>2558</v>
      </c>
    </row>
    <row r="8477" spans="27:27">
      <c r="AA8477" t="s">
        <v>10065</v>
      </c>
    </row>
    <row r="8478" spans="27:27">
      <c r="AA8478" t="s">
        <v>2559</v>
      </c>
    </row>
    <row r="8479" spans="27:27">
      <c r="AA8479" t="s">
        <v>2560</v>
      </c>
    </row>
    <row r="8480" spans="27:27">
      <c r="AA8480" t="s">
        <v>2561</v>
      </c>
    </row>
    <row r="8481" spans="27:27">
      <c r="AA8481" t="s">
        <v>10066</v>
      </c>
    </row>
    <row r="8482" spans="27:27">
      <c r="AA8482" t="s">
        <v>2562</v>
      </c>
    </row>
    <row r="8483" spans="27:27">
      <c r="AA8483" t="s">
        <v>2563</v>
      </c>
    </row>
    <row r="8484" spans="27:27">
      <c r="AA8484" t="s">
        <v>10067</v>
      </c>
    </row>
    <row r="8485" spans="27:27">
      <c r="AA8485" t="s">
        <v>2564</v>
      </c>
    </row>
    <row r="8486" spans="27:27">
      <c r="AA8486" t="s">
        <v>10068</v>
      </c>
    </row>
    <row r="8487" spans="27:27">
      <c r="AA8487" t="s">
        <v>10069</v>
      </c>
    </row>
    <row r="8488" spans="27:27">
      <c r="AA8488" t="s">
        <v>10070</v>
      </c>
    </row>
    <row r="8489" spans="27:27">
      <c r="AA8489" t="s">
        <v>10071</v>
      </c>
    </row>
    <row r="8490" spans="27:27">
      <c r="AA8490" t="s">
        <v>2565</v>
      </c>
    </row>
    <row r="8491" spans="27:27">
      <c r="AA8491" t="s">
        <v>2566</v>
      </c>
    </row>
    <row r="8492" spans="27:27">
      <c r="AA8492" t="s">
        <v>2567</v>
      </c>
    </row>
    <row r="8493" spans="27:27">
      <c r="AA8493" t="s">
        <v>10072</v>
      </c>
    </row>
    <row r="8494" spans="27:27">
      <c r="AA8494" t="s">
        <v>10073</v>
      </c>
    </row>
    <row r="8495" spans="27:27">
      <c r="AA8495" t="s">
        <v>2568</v>
      </c>
    </row>
    <row r="8496" spans="27:27">
      <c r="AA8496" t="s">
        <v>10074</v>
      </c>
    </row>
    <row r="8497" spans="27:27">
      <c r="AA8497" t="s">
        <v>10075</v>
      </c>
    </row>
    <row r="8498" spans="27:27">
      <c r="AA8498" t="s">
        <v>10076</v>
      </c>
    </row>
    <row r="8499" spans="27:27">
      <c r="AA8499" t="s">
        <v>10077</v>
      </c>
    </row>
    <row r="8500" spans="27:27">
      <c r="AA8500" t="s">
        <v>10078</v>
      </c>
    </row>
    <row r="8501" spans="27:27">
      <c r="AA8501" t="s">
        <v>10079</v>
      </c>
    </row>
    <row r="8502" spans="27:27">
      <c r="AA8502" t="s">
        <v>2569</v>
      </c>
    </row>
    <row r="8503" spans="27:27">
      <c r="AA8503" t="s">
        <v>10080</v>
      </c>
    </row>
    <row r="8504" spans="27:27">
      <c r="AA8504" t="s">
        <v>10081</v>
      </c>
    </row>
    <row r="8505" spans="27:27">
      <c r="AA8505" t="s">
        <v>10082</v>
      </c>
    </row>
    <row r="8506" spans="27:27">
      <c r="AA8506" t="s">
        <v>10083</v>
      </c>
    </row>
    <row r="8507" spans="27:27">
      <c r="AA8507" t="s">
        <v>10084</v>
      </c>
    </row>
    <row r="8508" spans="27:27">
      <c r="AA8508" t="s">
        <v>10085</v>
      </c>
    </row>
    <row r="8509" spans="27:27">
      <c r="AA8509" t="s">
        <v>10086</v>
      </c>
    </row>
    <row r="8510" spans="27:27">
      <c r="AA8510" t="s">
        <v>2570</v>
      </c>
    </row>
    <row r="8511" spans="27:27">
      <c r="AA8511" t="s">
        <v>2571</v>
      </c>
    </row>
    <row r="8512" spans="27:27">
      <c r="AA8512" t="s">
        <v>2572</v>
      </c>
    </row>
    <row r="8513" spans="27:27">
      <c r="AA8513" t="s">
        <v>10087</v>
      </c>
    </row>
    <row r="8514" spans="27:27">
      <c r="AA8514" t="s">
        <v>10088</v>
      </c>
    </row>
    <row r="8515" spans="27:27">
      <c r="AA8515" t="s">
        <v>10089</v>
      </c>
    </row>
    <row r="8516" spans="27:27">
      <c r="AA8516" t="s">
        <v>10090</v>
      </c>
    </row>
    <row r="8517" spans="27:27">
      <c r="AA8517" t="s">
        <v>10091</v>
      </c>
    </row>
    <row r="8518" spans="27:27">
      <c r="AA8518" t="s">
        <v>10092</v>
      </c>
    </row>
    <row r="8519" spans="27:27">
      <c r="AA8519" t="s">
        <v>2573</v>
      </c>
    </row>
    <row r="8520" spans="27:27">
      <c r="AA8520" t="s">
        <v>10093</v>
      </c>
    </row>
    <row r="8521" spans="27:27">
      <c r="AA8521" t="s">
        <v>10094</v>
      </c>
    </row>
    <row r="8522" spans="27:27">
      <c r="AA8522" t="s">
        <v>10095</v>
      </c>
    </row>
    <row r="8523" spans="27:27">
      <c r="AA8523" t="s">
        <v>10096</v>
      </c>
    </row>
    <row r="8524" spans="27:27">
      <c r="AA8524" t="s">
        <v>10097</v>
      </c>
    </row>
    <row r="8525" spans="27:27">
      <c r="AA8525" t="s">
        <v>10098</v>
      </c>
    </row>
    <row r="8526" spans="27:27">
      <c r="AA8526" t="s">
        <v>2574</v>
      </c>
    </row>
    <row r="8527" spans="27:27">
      <c r="AA8527" t="s">
        <v>10099</v>
      </c>
    </row>
    <row r="8528" spans="27:27">
      <c r="AA8528" t="s">
        <v>10100</v>
      </c>
    </row>
    <row r="8529" spans="27:27">
      <c r="AA8529" t="s">
        <v>10101</v>
      </c>
    </row>
    <row r="8530" spans="27:27">
      <c r="AA8530" t="s">
        <v>10102</v>
      </c>
    </row>
    <row r="8531" spans="27:27">
      <c r="AA8531" t="s">
        <v>10103</v>
      </c>
    </row>
    <row r="8532" spans="27:27">
      <c r="AA8532" t="s">
        <v>10104</v>
      </c>
    </row>
    <row r="8533" spans="27:27">
      <c r="AA8533" t="s">
        <v>10105</v>
      </c>
    </row>
    <row r="8534" spans="27:27">
      <c r="AA8534" t="s">
        <v>10106</v>
      </c>
    </row>
    <row r="8535" spans="27:27">
      <c r="AA8535" t="s">
        <v>10107</v>
      </c>
    </row>
    <row r="8536" spans="27:27">
      <c r="AA8536" t="s">
        <v>10108</v>
      </c>
    </row>
    <row r="8537" spans="27:27">
      <c r="AA8537" t="s">
        <v>2575</v>
      </c>
    </row>
    <row r="8538" spans="27:27">
      <c r="AA8538" t="s">
        <v>2576</v>
      </c>
    </row>
    <row r="8539" spans="27:27">
      <c r="AA8539" t="s">
        <v>10109</v>
      </c>
    </row>
    <row r="8540" spans="27:27">
      <c r="AA8540" t="s">
        <v>10110</v>
      </c>
    </row>
    <row r="8541" spans="27:27">
      <c r="AA8541" t="s">
        <v>10111</v>
      </c>
    </row>
    <row r="8542" spans="27:27">
      <c r="AA8542" t="s">
        <v>10112</v>
      </c>
    </row>
    <row r="8543" spans="27:27">
      <c r="AA8543" t="s">
        <v>10113</v>
      </c>
    </row>
    <row r="8544" spans="27:27">
      <c r="AA8544" t="s">
        <v>10114</v>
      </c>
    </row>
    <row r="8545" spans="27:27">
      <c r="AA8545" t="s">
        <v>10115</v>
      </c>
    </row>
    <row r="8546" spans="27:27">
      <c r="AA8546" t="s">
        <v>10116</v>
      </c>
    </row>
    <row r="8547" spans="27:27">
      <c r="AA8547" t="s">
        <v>10117</v>
      </c>
    </row>
    <row r="8548" spans="27:27">
      <c r="AA8548" t="s">
        <v>10118</v>
      </c>
    </row>
    <row r="8549" spans="27:27">
      <c r="AA8549" t="s">
        <v>10119</v>
      </c>
    </row>
    <row r="8550" spans="27:27">
      <c r="AA8550" t="s">
        <v>10120</v>
      </c>
    </row>
    <row r="8551" spans="27:27">
      <c r="AA8551" t="s">
        <v>10121</v>
      </c>
    </row>
    <row r="8552" spans="27:27">
      <c r="AA8552" t="s">
        <v>10122</v>
      </c>
    </row>
    <row r="8553" spans="27:27">
      <c r="AA8553" t="s">
        <v>10123</v>
      </c>
    </row>
    <row r="8554" spans="27:27">
      <c r="AA8554" t="s">
        <v>10124</v>
      </c>
    </row>
    <row r="8555" spans="27:27">
      <c r="AA8555" t="s">
        <v>2577</v>
      </c>
    </row>
    <row r="8556" spans="27:27">
      <c r="AA8556" t="s">
        <v>10125</v>
      </c>
    </row>
    <row r="8557" spans="27:27">
      <c r="AA8557" t="s">
        <v>10126</v>
      </c>
    </row>
    <row r="8558" spans="27:27">
      <c r="AA8558" t="s">
        <v>10127</v>
      </c>
    </row>
    <row r="8559" spans="27:27">
      <c r="AA8559" t="s">
        <v>10128</v>
      </c>
    </row>
    <row r="8560" spans="27:27">
      <c r="AA8560" t="s">
        <v>10129</v>
      </c>
    </row>
    <row r="8561" spans="27:27">
      <c r="AA8561" t="s">
        <v>10130</v>
      </c>
    </row>
    <row r="8562" spans="27:27">
      <c r="AA8562" t="s">
        <v>10131</v>
      </c>
    </row>
    <row r="8563" spans="27:27">
      <c r="AA8563" t="s">
        <v>10132</v>
      </c>
    </row>
    <row r="8564" spans="27:27">
      <c r="AA8564" t="s">
        <v>2578</v>
      </c>
    </row>
    <row r="8565" spans="27:27">
      <c r="AA8565" t="s">
        <v>10133</v>
      </c>
    </row>
    <row r="8566" spans="27:27">
      <c r="AA8566" t="s">
        <v>10134</v>
      </c>
    </row>
    <row r="8567" spans="27:27">
      <c r="AA8567" t="s">
        <v>10135</v>
      </c>
    </row>
    <row r="8568" spans="27:27">
      <c r="AA8568" t="s">
        <v>10136</v>
      </c>
    </row>
    <row r="8569" spans="27:27">
      <c r="AA8569" t="s">
        <v>10137</v>
      </c>
    </row>
    <row r="8570" spans="27:27">
      <c r="AA8570" t="s">
        <v>10138</v>
      </c>
    </row>
    <row r="8571" spans="27:27">
      <c r="AA8571" t="s">
        <v>10139</v>
      </c>
    </row>
    <row r="8572" spans="27:27">
      <c r="AA8572" t="s">
        <v>10140</v>
      </c>
    </row>
    <row r="8573" spans="27:27">
      <c r="AA8573" t="s">
        <v>2579</v>
      </c>
    </row>
    <row r="8574" spans="27:27">
      <c r="AA8574" t="s">
        <v>10141</v>
      </c>
    </row>
    <row r="8575" spans="27:27">
      <c r="AA8575" t="s">
        <v>10142</v>
      </c>
    </row>
    <row r="8576" spans="27:27">
      <c r="AA8576" t="s">
        <v>10143</v>
      </c>
    </row>
    <row r="8577" spans="27:27">
      <c r="AA8577" t="s">
        <v>10144</v>
      </c>
    </row>
    <row r="8578" spans="27:27">
      <c r="AA8578" t="s">
        <v>10145</v>
      </c>
    </row>
    <row r="8579" spans="27:27">
      <c r="AA8579" t="s">
        <v>2580</v>
      </c>
    </row>
    <row r="8580" spans="27:27">
      <c r="AA8580" t="s">
        <v>10146</v>
      </c>
    </row>
    <row r="8581" spans="27:27">
      <c r="AA8581" t="s">
        <v>10147</v>
      </c>
    </row>
    <row r="8582" spans="27:27">
      <c r="AA8582" t="s">
        <v>10148</v>
      </c>
    </row>
    <row r="8583" spans="27:27">
      <c r="AA8583" t="s">
        <v>10149</v>
      </c>
    </row>
    <row r="8584" spans="27:27">
      <c r="AA8584" t="s">
        <v>10150</v>
      </c>
    </row>
    <row r="8585" spans="27:27">
      <c r="AA8585" t="s">
        <v>2581</v>
      </c>
    </row>
    <row r="8586" spans="27:27">
      <c r="AA8586" t="s">
        <v>10151</v>
      </c>
    </row>
    <row r="8587" spans="27:27">
      <c r="AA8587" t="s">
        <v>10152</v>
      </c>
    </row>
    <row r="8588" spans="27:27">
      <c r="AA8588" t="s">
        <v>10153</v>
      </c>
    </row>
    <row r="8589" spans="27:27">
      <c r="AA8589" t="s">
        <v>10154</v>
      </c>
    </row>
    <row r="8590" spans="27:27">
      <c r="AA8590" t="s">
        <v>10155</v>
      </c>
    </row>
    <row r="8591" spans="27:27">
      <c r="AA8591" t="s">
        <v>10156</v>
      </c>
    </row>
    <row r="8592" spans="27:27">
      <c r="AA8592" t="s">
        <v>10157</v>
      </c>
    </row>
    <row r="8593" spans="27:27">
      <c r="AA8593" t="s">
        <v>10158</v>
      </c>
    </row>
    <row r="8594" spans="27:27">
      <c r="AA8594" t="s">
        <v>10159</v>
      </c>
    </row>
    <row r="8595" spans="27:27">
      <c r="AA8595" t="s">
        <v>10160</v>
      </c>
    </row>
    <row r="8596" spans="27:27">
      <c r="AA8596" t="s">
        <v>10161</v>
      </c>
    </row>
    <row r="8597" spans="27:27">
      <c r="AA8597" t="s">
        <v>10162</v>
      </c>
    </row>
    <row r="8598" spans="27:27">
      <c r="AA8598" t="s">
        <v>10163</v>
      </c>
    </row>
    <row r="8599" spans="27:27">
      <c r="AA8599" t="s">
        <v>10164</v>
      </c>
    </row>
    <row r="8600" spans="27:27">
      <c r="AA8600" t="s">
        <v>2582</v>
      </c>
    </row>
    <row r="8601" spans="27:27">
      <c r="AA8601" t="s">
        <v>10165</v>
      </c>
    </row>
    <row r="8602" spans="27:27">
      <c r="AA8602" t="s">
        <v>10166</v>
      </c>
    </row>
    <row r="8603" spans="27:27">
      <c r="AA8603" t="s">
        <v>10167</v>
      </c>
    </row>
    <row r="8604" spans="27:27">
      <c r="AA8604" t="s">
        <v>10168</v>
      </c>
    </row>
    <row r="8605" spans="27:27">
      <c r="AA8605" t="s">
        <v>10169</v>
      </c>
    </row>
    <row r="8606" spans="27:27">
      <c r="AA8606" t="s">
        <v>2583</v>
      </c>
    </row>
    <row r="8607" spans="27:27">
      <c r="AA8607" t="s">
        <v>10170</v>
      </c>
    </row>
    <row r="8608" spans="27:27">
      <c r="AA8608" t="s">
        <v>10171</v>
      </c>
    </row>
    <row r="8609" spans="27:27">
      <c r="AA8609" t="s">
        <v>10172</v>
      </c>
    </row>
    <row r="8610" spans="27:27">
      <c r="AA8610" t="s">
        <v>10173</v>
      </c>
    </row>
    <row r="8611" spans="27:27">
      <c r="AA8611" t="s">
        <v>10174</v>
      </c>
    </row>
    <row r="8612" spans="27:27">
      <c r="AA8612" t="s">
        <v>10175</v>
      </c>
    </row>
    <row r="8613" spans="27:27">
      <c r="AA8613" t="s">
        <v>10176</v>
      </c>
    </row>
    <row r="8614" spans="27:27">
      <c r="AA8614" t="s">
        <v>10177</v>
      </c>
    </row>
    <row r="8615" spans="27:27">
      <c r="AA8615" t="s">
        <v>10178</v>
      </c>
    </row>
    <row r="8616" spans="27:27">
      <c r="AA8616" t="s">
        <v>10179</v>
      </c>
    </row>
    <row r="8617" spans="27:27">
      <c r="AA8617" t="s">
        <v>10180</v>
      </c>
    </row>
    <row r="8618" spans="27:27">
      <c r="AA8618" t="s">
        <v>10181</v>
      </c>
    </row>
    <row r="8619" spans="27:27">
      <c r="AA8619" t="s">
        <v>10182</v>
      </c>
    </row>
    <row r="8620" spans="27:27">
      <c r="AA8620" t="s">
        <v>10183</v>
      </c>
    </row>
    <row r="8621" spans="27:27">
      <c r="AA8621" t="s">
        <v>10184</v>
      </c>
    </row>
    <row r="8622" spans="27:27">
      <c r="AA8622" t="s">
        <v>10185</v>
      </c>
    </row>
    <row r="8623" spans="27:27">
      <c r="AA8623" t="s">
        <v>10186</v>
      </c>
    </row>
    <row r="8624" spans="27:27">
      <c r="AA8624" t="s">
        <v>10187</v>
      </c>
    </row>
    <row r="8625" spans="27:27">
      <c r="AA8625" t="s">
        <v>10188</v>
      </c>
    </row>
    <row r="8626" spans="27:27">
      <c r="AA8626" t="s">
        <v>10189</v>
      </c>
    </row>
    <row r="8627" spans="27:27">
      <c r="AA8627" t="s">
        <v>10190</v>
      </c>
    </row>
    <row r="8628" spans="27:27">
      <c r="AA8628" t="s">
        <v>10191</v>
      </c>
    </row>
    <row r="8629" spans="27:27">
      <c r="AA8629" t="s">
        <v>2584</v>
      </c>
    </row>
    <row r="8630" spans="27:27">
      <c r="AA8630" t="s">
        <v>10192</v>
      </c>
    </row>
    <row r="8631" spans="27:27">
      <c r="AA8631" t="s">
        <v>10193</v>
      </c>
    </row>
    <row r="8632" spans="27:27">
      <c r="AA8632" t="s">
        <v>10194</v>
      </c>
    </row>
    <row r="8633" spans="27:27">
      <c r="AA8633" t="s">
        <v>10195</v>
      </c>
    </row>
    <row r="8634" spans="27:27">
      <c r="AA8634" t="s">
        <v>10196</v>
      </c>
    </row>
    <row r="8635" spans="27:27">
      <c r="AA8635" t="s">
        <v>2585</v>
      </c>
    </row>
    <row r="8636" spans="27:27">
      <c r="AA8636" t="s">
        <v>10197</v>
      </c>
    </row>
    <row r="8637" spans="27:27">
      <c r="AA8637" t="s">
        <v>10198</v>
      </c>
    </row>
    <row r="8638" spans="27:27">
      <c r="AA8638" t="s">
        <v>10199</v>
      </c>
    </row>
    <row r="8639" spans="27:27">
      <c r="AA8639" t="s">
        <v>10200</v>
      </c>
    </row>
    <row r="8640" spans="27:27">
      <c r="AA8640" t="s">
        <v>10201</v>
      </c>
    </row>
    <row r="8641" spans="27:27">
      <c r="AA8641" t="s">
        <v>2586</v>
      </c>
    </row>
    <row r="8642" spans="27:27">
      <c r="AA8642" t="s">
        <v>10202</v>
      </c>
    </row>
    <row r="8643" spans="27:27">
      <c r="AA8643" t="s">
        <v>10203</v>
      </c>
    </row>
    <row r="8644" spans="27:27">
      <c r="AA8644" t="s">
        <v>10204</v>
      </c>
    </row>
    <row r="8645" spans="27:27">
      <c r="AA8645" t="s">
        <v>10205</v>
      </c>
    </row>
    <row r="8646" spans="27:27">
      <c r="AA8646" t="s">
        <v>10206</v>
      </c>
    </row>
    <row r="8647" spans="27:27">
      <c r="AA8647" t="s">
        <v>10207</v>
      </c>
    </row>
    <row r="8648" spans="27:27">
      <c r="AA8648" t="s">
        <v>10208</v>
      </c>
    </row>
    <row r="8649" spans="27:27">
      <c r="AA8649" t="s">
        <v>2587</v>
      </c>
    </row>
    <row r="8650" spans="27:27">
      <c r="AA8650" t="s">
        <v>10209</v>
      </c>
    </row>
    <row r="8651" spans="27:27">
      <c r="AA8651" t="s">
        <v>10210</v>
      </c>
    </row>
    <row r="8652" spans="27:27">
      <c r="AA8652" t="s">
        <v>10211</v>
      </c>
    </row>
    <row r="8653" spans="27:27">
      <c r="AA8653" t="s">
        <v>10212</v>
      </c>
    </row>
    <row r="8654" spans="27:27">
      <c r="AA8654" t="s">
        <v>10213</v>
      </c>
    </row>
    <row r="8655" spans="27:27">
      <c r="AA8655" t="s">
        <v>2588</v>
      </c>
    </row>
    <row r="8656" spans="27:27">
      <c r="AA8656" t="s">
        <v>10214</v>
      </c>
    </row>
    <row r="8657" spans="27:27">
      <c r="AA8657" t="s">
        <v>10215</v>
      </c>
    </row>
    <row r="8658" spans="27:27">
      <c r="AA8658" t="s">
        <v>10216</v>
      </c>
    </row>
    <row r="8659" spans="27:27">
      <c r="AA8659" t="s">
        <v>10217</v>
      </c>
    </row>
    <row r="8660" spans="27:27">
      <c r="AA8660" t="s">
        <v>10218</v>
      </c>
    </row>
    <row r="8661" spans="27:27">
      <c r="AA8661" t="s">
        <v>10219</v>
      </c>
    </row>
    <row r="8662" spans="27:27">
      <c r="AA8662" t="s">
        <v>10220</v>
      </c>
    </row>
    <row r="8663" spans="27:27">
      <c r="AA8663" t="s">
        <v>10221</v>
      </c>
    </row>
    <row r="8664" spans="27:27">
      <c r="AA8664" t="s">
        <v>10222</v>
      </c>
    </row>
    <row r="8665" spans="27:27">
      <c r="AA8665" t="s">
        <v>2589</v>
      </c>
    </row>
    <row r="8666" spans="27:27">
      <c r="AA8666" t="s">
        <v>10223</v>
      </c>
    </row>
    <row r="8667" spans="27:27">
      <c r="AA8667" t="s">
        <v>10224</v>
      </c>
    </row>
    <row r="8668" spans="27:27">
      <c r="AA8668" t="s">
        <v>10225</v>
      </c>
    </row>
    <row r="8669" spans="27:27">
      <c r="AA8669" t="s">
        <v>10226</v>
      </c>
    </row>
    <row r="8670" spans="27:27">
      <c r="AA8670" t="s">
        <v>10227</v>
      </c>
    </row>
    <row r="8671" spans="27:27">
      <c r="AA8671" t="s">
        <v>2590</v>
      </c>
    </row>
    <row r="8672" spans="27:27">
      <c r="AA8672" t="s">
        <v>10228</v>
      </c>
    </row>
    <row r="8673" spans="27:27">
      <c r="AA8673" t="s">
        <v>10229</v>
      </c>
    </row>
    <row r="8674" spans="27:27">
      <c r="AA8674" t="s">
        <v>10230</v>
      </c>
    </row>
    <row r="8675" spans="27:27">
      <c r="AA8675" t="s">
        <v>10231</v>
      </c>
    </row>
    <row r="8676" spans="27:27">
      <c r="AA8676" t="s">
        <v>10232</v>
      </c>
    </row>
    <row r="8677" spans="27:27">
      <c r="AA8677" t="s">
        <v>10233</v>
      </c>
    </row>
    <row r="8678" spans="27:27">
      <c r="AA8678" t="s">
        <v>10234</v>
      </c>
    </row>
    <row r="8679" spans="27:27">
      <c r="AA8679" t="s">
        <v>10235</v>
      </c>
    </row>
    <row r="8680" spans="27:27">
      <c r="AA8680" t="s">
        <v>10236</v>
      </c>
    </row>
    <row r="8681" spans="27:27">
      <c r="AA8681" t="s">
        <v>10237</v>
      </c>
    </row>
    <row r="8682" spans="27:27">
      <c r="AA8682" t="s">
        <v>2591</v>
      </c>
    </row>
    <row r="8683" spans="27:27">
      <c r="AA8683" t="s">
        <v>10238</v>
      </c>
    </row>
    <row r="8684" spans="27:27">
      <c r="AA8684" t="s">
        <v>10239</v>
      </c>
    </row>
    <row r="8685" spans="27:27">
      <c r="AA8685" t="s">
        <v>10240</v>
      </c>
    </row>
    <row r="8686" spans="27:27">
      <c r="AA8686" t="s">
        <v>10241</v>
      </c>
    </row>
    <row r="8687" spans="27:27">
      <c r="AA8687" t="s">
        <v>10242</v>
      </c>
    </row>
    <row r="8688" spans="27:27">
      <c r="AA8688" t="s">
        <v>2592</v>
      </c>
    </row>
    <row r="8689" spans="27:27">
      <c r="AA8689" t="s">
        <v>10243</v>
      </c>
    </row>
    <row r="8690" spans="27:27">
      <c r="AA8690" t="s">
        <v>10244</v>
      </c>
    </row>
    <row r="8691" spans="27:27">
      <c r="AA8691" t="s">
        <v>10245</v>
      </c>
    </row>
    <row r="8692" spans="27:27">
      <c r="AA8692" t="s">
        <v>10246</v>
      </c>
    </row>
    <row r="8693" spans="27:27">
      <c r="AA8693" t="s">
        <v>10247</v>
      </c>
    </row>
    <row r="8694" spans="27:27">
      <c r="AA8694" t="s">
        <v>2593</v>
      </c>
    </row>
    <row r="8695" spans="27:27">
      <c r="AA8695" t="s">
        <v>10248</v>
      </c>
    </row>
    <row r="8696" spans="27:27">
      <c r="AA8696" t="s">
        <v>10249</v>
      </c>
    </row>
    <row r="8697" spans="27:27">
      <c r="AA8697" t="s">
        <v>10250</v>
      </c>
    </row>
    <row r="8698" spans="27:27">
      <c r="AA8698" t="s">
        <v>10251</v>
      </c>
    </row>
    <row r="8699" spans="27:27">
      <c r="AA8699" t="s">
        <v>10252</v>
      </c>
    </row>
    <row r="8700" spans="27:27">
      <c r="AA8700" t="s">
        <v>10253</v>
      </c>
    </row>
    <row r="8701" spans="27:27">
      <c r="AA8701" t="s">
        <v>2594</v>
      </c>
    </row>
    <row r="8702" spans="27:27">
      <c r="AA8702" t="s">
        <v>10254</v>
      </c>
    </row>
    <row r="8703" spans="27:27">
      <c r="AA8703" t="s">
        <v>10255</v>
      </c>
    </row>
    <row r="8704" spans="27:27">
      <c r="AA8704" t="s">
        <v>10256</v>
      </c>
    </row>
    <row r="8705" spans="27:27">
      <c r="AA8705" t="s">
        <v>10257</v>
      </c>
    </row>
    <row r="8706" spans="27:27">
      <c r="AA8706" t="s">
        <v>10258</v>
      </c>
    </row>
    <row r="8707" spans="27:27">
      <c r="AA8707" t="s">
        <v>2595</v>
      </c>
    </row>
    <row r="8708" spans="27:27">
      <c r="AA8708" t="s">
        <v>2596</v>
      </c>
    </row>
    <row r="8709" spans="27:27">
      <c r="AA8709" t="s">
        <v>2597</v>
      </c>
    </row>
    <row r="8710" spans="27:27">
      <c r="AA8710" t="s">
        <v>10259</v>
      </c>
    </row>
    <row r="8711" spans="27:27">
      <c r="AA8711" t="s">
        <v>10260</v>
      </c>
    </row>
    <row r="8712" spans="27:27">
      <c r="AA8712" t="s">
        <v>2598</v>
      </c>
    </row>
    <row r="8713" spans="27:27">
      <c r="AA8713" t="s">
        <v>2599</v>
      </c>
    </row>
    <row r="8714" spans="27:27">
      <c r="AA8714" t="s">
        <v>10261</v>
      </c>
    </row>
    <row r="8715" spans="27:27">
      <c r="AA8715" t="s">
        <v>2600</v>
      </c>
    </row>
    <row r="8716" spans="27:27">
      <c r="AA8716" t="s">
        <v>10262</v>
      </c>
    </row>
    <row r="8717" spans="27:27">
      <c r="AA8717" t="s">
        <v>10263</v>
      </c>
    </row>
    <row r="8718" spans="27:27">
      <c r="AA8718" t="s">
        <v>10264</v>
      </c>
    </row>
    <row r="8719" spans="27:27">
      <c r="AA8719" t="s">
        <v>10265</v>
      </c>
    </row>
    <row r="8720" spans="27:27">
      <c r="AA8720" t="s">
        <v>10266</v>
      </c>
    </row>
    <row r="8721" spans="27:27">
      <c r="AA8721" t="s">
        <v>2601</v>
      </c>
    </row>
    <row r="8722" spans="27:27">
      <c r="AA8722" t="s">
        <v>10267</v>
      </c>
    </row>
    <row r="8723" spans="27:27">
      <c r="AA8723" t="s">
        <v>10268</v>
      </c>
    </row>
    <row r="8724" spans="27:27">
      <c r="AA8724" t="s">
        <v>10269</v>
      </c>
    </row>
    <row r="8725" spans="27:27">
      <c r="AA8725" t="s">
        <v>10270</v>
      </c>
    </row>
    <row r="8726" spans="27:27">
      <c r="AA8726" t="s">
        <v>10271</v>
      </c>
    </row>
    <row r="8727" spans="27:27">
      <c r="AA8727" t="s">
        <v>10272</v>
      </c>
    </row>
    <row r="8728" spans="27:27">
      <c r="AA8728" t="s">
        <v>10273</v>
      </c>
    </row>
    <row r="8729" spans="27:27">
      <c r="AA8729" t="s">
        <v>2602</v>
      </c>
    </row>
    <row r="8730" spans="27:27">
      <c r="AA8730" t="s">
        <v>10274</v>
      </c>
    </row>
    <row r="8731" spans="27:27">
      <c r="AA8731" t="s">
        <v>10275</v>
      </c>
    </row>
    <row r="8732" spans="27:27">
      <c r="AA8732" t="s">
        <v>10276</v>
      </c>
    </row>
    <row r="8733" spans="27:27">
      <c r="AA8733" t="s">
        <v>10277</v>
      </c>
    </row>
    <row r="8734" spans="27:27">
      <c r="AA8734" t="s">
        <v>10278</v>
      </c>
    </row>
    <row r="8735" spans="27:27">
      <c r="AA8735" t="s">
        <v>10279</v>
      </c>
    </row>
    <row r="8736" spans="27:27">
      <c r="AA8736" t="s">
        <v>10280</v>
      </c>
    </row>
    <row r="8737" spans="27:27">
      <c r="AA8737" t="s">
        <v>10281</v>
      </c>
    </row>
    <row r="8738" spans="27:27">
      <c r="AA8738" t="s">
        <v>2603</v>
      </c>
    </row>
    <row r="8739" spans="27:27">
      <c r="AA8739" t="s">
        <v>10282</v>
      </c>
    </row>
    <row r="8740" spans="27:27">
      <c r="AA8740" t="s">
        <v>10283</v>
      </c>
    </row>
    <row r="8741" spans="27:27">
      <c r="AA8741" t="s">
        <v>10284</v>
      </c>
    </row>
    <row r="8742" spans="27:27">
      <c r="AA8742" t="s">
        <v>10285</v>
      </c>
    </row>
    <row r="8743" spans="27:27">
      <c r="AA8743" t="s">
        <v>10286</v>
      </c>
    </row>
    <row r="8744" spans="27:27">
      <c r="AA8744" t="s">
        <v>10287</v>
      </c>
    </row>
    <row r="8745" spans="27:27">
      <c r="AA8745" t="s">
        <v>2604</v>
      </c>
    </row>
    <row r="8746" spans="27:27">
      <c r="AA8746" t="s">
        <v>2605</v>
      </c>
    </row>
    <row r="8747" spans="27:27">
      <c r="AA8747" t="s">
        <v>2606</v>
      </c>
    </row>
    <row r="8748" spans="27:27">
      <c r="AA8748" t="s">
        <v>10288</v>
      </c>
    </row>
    <row r="8749" spans="27:27">
      <c r="AA8749" t="s">
        <v>10289</v>
      </c>
    </row>
    <row r="8750" spans="27:27">
      <c r="AA8750" t="s">
        <v>10290</v>
      </c>
    </row>
    <row r="8751" spans="27:27">
      <c r="AA8751" t="s">
        <v>10291</v>
      </c>
    </row>
    <row r="8752" spans="27:27">
      <c r="AA8752" t="s">
        <v>10292</v>
      </c>
    </row>
    <row r="8753" spans="27:27">
      <c r="AA8753" t="s">
        <v>10293</v>
      </c>
    </row>
    <row r="8754" spans="27:27">
      <c r="AA8754" t="s">
        <v>10294</v>
      </c>
    </row>
    <row r="8755" spans="27:27">
      <c r="AA8755" t="s">
        <v>10295</v>
      </c>
    </row>
    <row r="8756" spans="27:27">
      <c r="AA8756" t="s">
        <v>10296</v>
      </c>
    </row>
    <row r="8757" spans="27:27">
      <c r="AA8757" t="s">
        <v>2607</v>
      </c>
    </row>
    <row r="8758" spans="27:27">
      <c r="AA8758" t="s">
        <v>2608</v>
      </c>
    </row>
    <row r="8759" spans="27:27">
      <c r="AA8759" t="s">
        <v>10297</v>
      </c>
    </row>
    <row r="8760" spans="27:27">
      <c r="AA8760" t="s">
        <v>10298</v>
      </c>
    </row>
    <row r="8761" spans="27:27">
      <c r="AA8761" t="s">
        <v>10299</v>
      </c>
    </row>
    <row r="8762" spans="27:27">
      <c r="AA8762" t="s">
        <v>10300</v>
      </c>
    </row>
    <row r="8763" spans="27:27">
      <c r="AA8763" t="s">
        <v>10301</v>
      </c>
    </row>
    <row r="8764" spans="27:27">
      <c r="AA8764" t="s">
        <v>10302</v>
      </c>
    </row>
    <row r="8765" spans="27:27">
      <c r="AA8765" t="s">
        <v>10303</v>
      </c>
    </row>
    <row r="8766" spans="27:27">
      <c r="AA8766" t="s">
        <v>10304</v>
      </c>
    </row>
    <row r="8767" spans="27:27">
      <c r="AA8767" t="s">
        <v>10305</v>
      </c>
    </row>
    <row r="8768" spans="27:27">
      <c r="AA8768" t="s">
        <v>10306</v>
      </c>
    </row>
    <row r="8769" spans="27:27">
      <c r="AA8769" t="s">
        <v>10307</v>
      </c>
    </row>
    <row r="8770" spans="27:27">
      <c r="AA8770" t="s">
        <v>10308</v>
      </c>
    </row>
    <row r="8771" spans="27:27">
      <c r="AA8771" t="s">
        <v>10309</v>
      </c>
    </row>
    <row r="8772" spans="27:27">
      <c r="AA8772" t="s">
        <v>10310</v>
      </c>
    </row>
    <row r="8773" spans="27:27">
      <c r="AA8773" t="s">
        <v>10311</v>
      </c>
    </row>
    <row r="8774" spans="27:27">
      <c r="AA8774" t="s">
        <v>10312</v>
      </c>
    </row>
    <row r="8775" spans="27:27">
      <c r="AA8775" t="s">
        <v>2609</v>
      </c>
    </row>
    <row r="8776" spans="27:27">
      <c r="AA8776" t="s">
        <v>10313</v>
      </c>
    </row>
    <row r="8777" spans="27:27">
      <c r="AA8777" t="s">
        <v>10314</v>
      </c>
    </row>
    <row r="8778" spans="27:27">
      <c r="AA8778" t="s">
        <v>10315</v>
      </c>
    </row>
    <row r="8779" spans="27:27">
      <c r="AA8779" t="s">
        <v>10316</v>
      </c>
    </row>
    <row r="8780" spans="27:27">
      <c r="AA8780" t="s">
        <v>10317</v>
      </c>
    </row>
    <row r="8781" spans="27:27">
      <c r="AA8781" t="s">
        <v>10318</v>
      </c>
    </row>
    <row r="8782" spans="27:27">
      <c r="AA8782" t="s">
        <v>10319</v>
      </c>
    </row>
    <row r="8783" spans="27:27">
      <c r="AA8783" t="s">
        <v>10320</v>
      </c>
    </row>
    <row r="8784" spans="27:27">
      <c r="AA8784" t="s">
        <v>2610</v>
      </c>
    </row>
    <row r="8785" spans="27:27">
      <c r="AA8785" t="s">
        <v>10321</v>
      </c>
    </row>
    <row r="8786" spans="27:27">
      <c r="AA8786" t="s">
        <v>10322</v>
      </c>
    </row>
    <row r="8787" spans="27:27">
      <c r="AA8787" t="s">
        <v>10323</v>
      </c>
    </row>
    <row r="8788" spans="27:27">
      <c r="AA8788" t="s">
        <v>10324</v>
      </c>
    </row>
    <row r="8789" spans="27:27">
      <c r="AA8789" t="s">
        <v>10325</v>
      </c>
    </row>
    <row r="8790" spans="27:27">
      <c r="AA8790" t="s">
        <v>10326</v>
      </c>
    </row>
    <row r="8791" spans="27:27">
      <c r="AA8791" t="s">
        <v>10327</v>
      </c>
    </row>
    <row r="8792" spans="27:27">
      <c r="AA8792" t="s">
        <v>2611</v>
      </c>
    </row>
    <row r="8793" spans="27:27">
      <c r="AA8793" t="s">
        <v>10328</v>
      </c>
    </row>
    <row r="8794" spans="27:27">
      <c r="AA8794" t="s">
        <v>2612</v>
      </c>
    </row>
    <row r="8795" spans="27:27">
      <c r="AA8795" t="s">
        <v>10329</v>
      </c>
    </row>
    <row r="8796" spans="27:27">
      <c r="AA8796" t="s">
        <v>10330</v>
      </c>
    </row>
    <row r="8797" spans="27:27">
      <c r="AA8797" t="s">
        <v>10331</v>
      </c>
    </row>
    <row r="8798" spans="27:27">
      <c r="AA8798" t="s">
        <v>10332</v>
      </c>
    </row>
    <row r="8799" spans="27:27">
      <c r="AA8799" t="s">
        <v>10333</v>
      </c>
    </row>
    <row r="8800" spans="27:27">
      <c r="AA8800" t="s">
        <v>2613</v>
      </c>
    </row>
    <row r="8801" spans="27:27">
      <c r="AA8801" t="s">
        <v>10334</v>
      </c>
    </row>
    <row r="8802" spans="27:27">
      <c r="AA8802" t="s">
        <v>10335</v>
      </c>
    </row>
    <row r="8803" spans="27:27">
      <c r="AA8803" t="s">
        <v>10336</v>
      </c>
    </row>
    <row r="8804" spans="27:27">
      <c r="AA8804" t="s">
        <v>10337</v>
      </c>
    </row>
    <row r="8805" spans="27:27">
      <c r="AA8805" t="s">
        <v>10338</v>
      </c>
    </row>
    <row r="8806" spans="27:27">
      <c r="AA8806" t="s">
        <v>2614</v>
      </c>
    </row>
    <row r="8807" spans="27:27">
      <c r="AA8807" t="s">
        <v>10339</v>
      </c>
    </row>
    <row r="8808" spans="27:27">
      <c r="AA8808" t="s">
        <v>10340</v>
      </c>
    </row>
    <row r="8809" spans="27:27">
      <c r="AA8809" t="s">
        <v>10341</v>
      </c>
    </row>
    <row r="8810" spans="27:27">
      <c r="AA8810" t="s">
        <v>10342</v>
      </c>
    </row>
    <row r="8811" spans="27:27">
      <c r="AA8811" t="s">
        <v>10343</v>
      </c>
    </row>
    <row r="8812" spans="27:27">
      <c r="AA8812" t="s">
        <v>10344</v>
      </c>
    </row>
    <row r="8813" spans="27:27">
      <c r="AA8813" t="s">
        <v>10345</v>
      </c>
    </row>
    <row r="8814" spans="27:27">
      <c r="AA8814" t="s">
        <v>10346</v>
      </c>
    </row>
    <row r="8815" spans="27:27">
      <c r="AA8815" t="s">
        <v>10347</v>
      </c>
    </row>
    <row r="8816" spans="27:27">
      <c r="AA8816" t="s">
        <v>10348</v>
      </c>
    </row>
    <row r="8817" spans="27:27">
      <c r="AA8817" t="s">
        <v>10349</v>
      </c>
    </row>
    <row r="8818" spans="27:27">
      <c r="AA8818" t="s">
        <v>10350</v>
      </c>
    </row>
    <row r="8819" spans="27:27">
      <c r="AA8819" t="s">
        <v>10351</v>
      </c>
    </row>
    <row r="8820" spans="27:27">
      <c r="AA8820" t="s">
        <v>10352</v>
      </c>
    </row>
    <row r="8821" spans="27:27">
      <c r="AA8821" t="s">
        <v>2615</v>
      </c>
    </row>
    <row r="8822" spans="27:27">
      <c r="AA8822" t="s">
        <v>10353</v>
      </c>
    </row>
    <row r="8823" spans="27:27">
      <c r="AA8823" t="s">
        <v>10354</v>
      </c>
    </row>
    <row r="8824" spans="27:27">
      <c r="AA8824" t="s">
        <v>10355</v>
      </c>
    </row>
    <row r="8825" spans="27:27">
      <c r="AA8825" t="s">
        <v>10356</v>
      </c>
    </row>
    <row r="8826" spans="27:27">
      <c r="AA8826" t="s">
        <v>10357</v>
      </c>
    </row>
    <row r="8827" spans="27:27">
      <c r="AA8827" t="s">
        <v>2616</v>
      </c>
    </row>
    <row r="8828" spans="27:27">
      <c r="AA8828" t="s">
        <v>10358</v>
      </c>
    </row>
    <row r="8829" spans="27:27">
      <c r="AA8829" t="s">
        <v>10359</v>
      </c>
    </row>
    <row r="8830" spans="27:27">
      <c r="AA8830" t="s">
        <v>10360</v>
      </c>
    </row>
    <row r="8831" spans="27:27">
      <c r="AA8831" t="s">
        <v>10361</v>
      </c>
    </row>
    <row r="8832" spans="27:27">
      <c r="AA8832" t="s">
        <v>10362</v>
      </c>
    </row>
    <row r="8833" spans="27:27">
      <c r="AA8833" t="s">
        <v>10363</v>
      </c>
    </row>
    <row r="8834" spans="27:27">
      <c r="AA8834" t="s">
        <v>10364</v>
      </c>
    </row>
    <row r="8835" spans="27:27">
      <c r="AA8835" t="s">
        <v>10365</v>
      </c>
    </row>
    <row r="8836" spans="27:27">
      <c r="AA8836" t="s">
        <v>10366</v>
      </c>
    </row>
    <row r="8837" spans="27:27">
      <c r="AA8837" t="s">
        <v>10367</v>
      </c>
    </row>
    <row r="8838" spans="27:27">
      <c r="AA8838" t="s">
        <v>10368</v>
      </c>
    </row>
    <row r="8839" spans="27:27">
      <c r="AA8839" t="s">
        <v>10369</v>
      </c>
    </row>
    <row r="8840" spans="27:27">
      <c r="AA8840" t="s">
        <v>10370</v>
      </c>
    </row>
    <row r="8841" spans="27:27">
      <c r="AA8841" t="s">
        <v>10371</v>
      </c>
    </row>
    <row r="8842" spans="27:27">
      <c r="AA8842" t="s">
        <v>10372</v>
      </c>
    </row>
    <row r="8843" spans="27:27">
      <c r="AA8843" t="s">
        <v>10373</v>
      </c>
    </row>
    <row r="8844" spans="27:27">
      <c r="AA8844" t="s">
        <v>10374</v>
      </c>
    </row>
    <row r="8845" spans="27:27">
      <c r="AA8845" t="s">
        <v>10375</v>
      </c>
    </row>
    <row r="8846" spans="27:27">
      <c r="AA8846" t="s">
        <v>10376</v>
      </c>
    </row>
    <row r="8847" spans="27:27">
      <c r="AA8847" t="s">
        <v>10377</v>
      </c>
    </row>
    <row r="8848" spans="27:27">
      <c r="AA8848" t="s">
        <v>10378</v>
      </c>
    </row>
    <row r="8849" spans="27:27">
      <c r="AA8849" t="s">
        <v>10379</v>
      </c>
    </row>
    <row r="8850" spans="27:27">
      <c r="AA8850" t="s">
        <v>2617</v>
      </c>
    </row>
    <row r="8851" spans="27:27">
      <c r="AA8851" t="s">
        <v>10380</v>
      </c>
    </row>
    <row r="8852" spans="27:27">
      <c r="AA8852" t="s">
        <v>10381</v>
      </c>
    </row>
    <row r="8853" spans="27:27">
      <c r="AA8853" t="s">
        <v>10382</v>
      </c>
    </row>
    <row r="8854" spans="27:27">
      <c r="AA8854" t="s">
        <v>10383</v>
      </c>
    </row>
    <row r="8855" spans="27:27">
      <c r="AA8855" t="s">
        <v>10384</v>
      </c>
    </row>
    <row r="8856" spans="27:27">
      <c r="AA8856" t="s">
        <v>2618</v>
      </c>
    </row>
    <row r="8857" spans="27:27">
      <c r="AA8857" t="s">
        <v>10385</v>
      </c>
    </row>
    <row r="8858" spans="27:27">
      <c r="AA8858" t="s">
        <v>10386</v>
      </c>
    </row>
    <row r="8859" spans="27:27">
      <c r="AA8859" t="s">
        <v>10387</v>
      </c>
    </row>
    <row r="8860" spans="27:27">
      <c r="AA8860" t="s">
        <v>10388</v>
      </c>
    </row>
    <row r="8861" spans="27:27">
      <c r="AA8861" t="s">
        <v>10389</v>
      </c>
    </row>
    <row r="8862" spans="27:27">
      <c r="AA8862" t="s">
        <v>2619</v>
      </c>
    </row>
    <row r="8863" spans="27:27">
      <c r="AA8863" t="s">
        <v>10390</v>
      </c>
    </row>
    <row r="8864" spans="27:27">
      <c r="AA8864" t="s">
        <v>10391</v>
      </c>
    </row>
    <row r="8865" spans="27:27">
      <c r="AA8865" t="s">
        <v>10392</v>
      </c>
    </row>
    <row r="8866" spans="27:27">
      <c r="AA8866" t="s">
        <v>10393</v>
      </c>
    </row>
    <row r="8867" spans="27:27">
      <c r="AA8867" t="s">
        <v>10394</v>
      </c>
    </row>
    <row r="8868" spans="27:27">
      <c r="AA8868" t="s">
        <v>10395</v>
      </c>
    </row>
    <row r="8869" spans="27:27">
      <c r="AA8869" t="s">
        <v>10396</v>
      </c>
    </row>
    <row r="8870" spans="27:27">
      <c r="AA8870" t="s">
        <v>2620</v>
      </c>
    </row>
    <row r="8871" spans="27:27">
      <c r="AA8871" t="s">
        <v>10397</v>
      </c>
    </row>
    <row r="8872" spans="27:27">
      <c r="AA8872" t="s">
        <v>10398</v>
      </c>
    </row>
    <row r="8873" spans="27:27">
      <c r="AA8873" t="s">
        <v>10399</v>
      </c>
    </row>
    <row r="8874" spans="27:27">
      <c r="AA8874" t="s">
        <v>10400</v>
      </c>
    </row>
    <row r="8875" spans="27:27">
      <c r="AA8875" t="s">
        <v>10401</v>
      </c>
    </row>
    <row r="8876" spans="27:27">
      <c r="AA8876" t="s">
        <v>2621</v>
      </c>
    </row>
    <row r="8877" spans="27:27">
      <c r="AA8877" t="s">
        <v>10402</v>
      </c>
    </row>
    <row r="8878" spans="27:27">
      <c r="AA8878" t="s">
        <v>10403</v>
      </c>
    </row>
    <row r="8879" spans="27:27">
      <c r="AA8879" t="s">
        <v>10404</v>
      </c>
    </row>
    <row r="8880" spans="27:27">
      <c r="AA8880" t="s">
        <v>10405</v>
      </c>
    </row>
    <row r="8881" spans="27:27">
      <c r="AA8881" t="s">
        <v>10406</v>
      </c>
    </row>
    <row r="8882" spans="27:27">
      <c r="AA8882" t="s">
        <v>10407</v>
      </c>
    </row>
    <row r="8883" spans="27:27">
      <c r="AA8883" t="s">
        <v>10408</v>
      </c>
    </row>
    <row r="8884" spans="27:27">
      <c r="AA8884" t="s">
        <v>10409</v>
      </c>
    </row>
    <row r="8885" spans="27:27">
      <c r="AA8885" t="s">
        <v>10410</v>
      </c>
    </row>
    <row r="8886" spans="27:27">
      <c r="AA8886" t="s">
        <v>2622</v>
      </c>
    </row>
    <row r="8887" spans="27:27">
      <c r="AA8887" t="s">
        <v>10411</v>
      </c>
    </row>
    <row r="8888" spans="27:27">
      <c r="AA8888" t="s">
        <v>10412</v>
      </c>
    </row>
    <row r="8889" spans="27:27">
      <c r="AA8889" t="s">
        <v>10413</v>
      </c>
    </row>
    <row r="8890" spans="27:27">
      <c r="AA8890" t="s">
        <v>10414</v>
      </c>
    </row>
    <row r="8891" spans="27:27">
      <c r="AA8891" t="s">
        <v>10415</v>
      </c>
    </row>
    <row r="8892" spans="27:27">
      <c r="AA8892" t="s">
        <v>2623</v>
      </c>
    </row>
    <row r="8893" spans="27:27">
      <c r="AA8893" t="s">
        <v>10416</v>
      </c>
    </row>
    <row r="8894" spans="27:27">
      <c r="AA8894" t="s">
        <v>10417</v>
      </c>
    </row>
    <row r="8895" spans="27:27">
      <c r="AA8895" t="s">
        <v>10418</v>
      </c>
    </row>
    <row r="8896" spans="27:27">
      <c r="AA8896" t="s">
        <v>10419</v>
      </c>
    </row>
    <row r="8897" spans="27:27">
      <c r="AA8897" t="s">
        <v>10420</v>
      </c>
    </row>
    <row r="8898" spans="27:27">
      <c r="AA8898" t="s">
        <v>10421</v>
      </c>
    </row>
    <row r="8899" spans="27:27">
      <c r="AA8899" t="s">
        <v>10422</v>
      </c>
    </row>
    <row r="8900" spans="27:27">
      <c r="AA8900" t="s">
        <v>10423</v>
      </c>
    </row>
    <row r="8901" spans="27:27">
      <c r="AA8901" t="s">
        <v>10424</v>
      </c>
    </row>
    <row r="8902" spans="27:27">
      <c r="AA8902" t="s">
        <v>10425</v>
      </c>
    </row>
    <row r="8903" spans="27:27">
      <c r="AA8903" t="s">
        <v>2624</v>
      </c>
    </row>
    <row r="8904" spans="27:27">
      <c r="AA8904" t="s">
        <v>10426</v>
      </c>
    </row>
    <row r="8905" spans="27:27">
      <c r="AA8905" t="s">
        <v>10427</v>
      </c>
    </row>
    <row r="8906" spans="27:27">
      <c r="AA8906" t="s">
        <v>10428</v>
      </c>
    </row>
    <row r="8907" spans="27:27">
      <c r="AA8907" t="s">
        <v>10429</v>
      </c>
    </row>
    <row r="8908" spans="27:27">
      <c r="AA8908" t="s">
        <v>10430</v>
      </c>
    </row>
    <row r="8909" spans="27:27">
      <c r="AA8909" t="s">
        <v>2625</v>
      </c>
    </row>
    <row r="8910" spans="27:27">
      <c r="AA8910" t="s">
        <v>10431</v>
      </c>
    </row>
    <row r="8911" spans="27:27">
      <c r="AA8911" t="s">
        <v>10432</v>
      </c>
    </row>
    <row r="8912" spans="27:27">
      <c r="AA8912" t="s">
        <v>10433</v>
      </c>
    </row>
    <row r="8913" spans="27:27">
      <c r="AA8913" t="s">
        <v>10434</v>
      </c>
    </row>
    <row r="8914" spans="27:27">
      <c r="AA8914" t="s">
        <v>2626</v>
      </c>
    </row>
    <row r="8915" spans="27:27">
      <c r="AA8915" t="s">
        <v>10435</v>
      </c>
    </row>
    <row r="8916" spans="27:27">
      <c r="AA8916" t="s">
        <v>10436</v>
      </c>
    </row>
    <row r="8917" spans="27:27">
      <c r="AA8917" t="s">
        <v>10437</v>
      </c>
    </row>
    <row r="8918" spans="27:27">
      <c r="AA8918" t="s">
        <v>10438</v>
      </c>
    </row>
    <row r="8919" spans="27:27">
      <c r="AA8919" t="s">
        <v>10439</v>
      </c>
    </row>
    <row r="8920" spans="27:27">
      <c r="AA8920" t="s">
        <v>2627</v>
      </c>
    </row>
    <row r="8921" spans="27:27">
      <c r="AA8921" t="s">
        <v>2628</v>
      </c>
    </row>
    <row r="8922" spans="27:27">
      <c r="AA8922" t="s">
        <v>10440</v>
      </c>
    </row>
    <row r="8923" spans="27:27">
      <c r="AA8923" t="s">
        <v>2629</v>
      </c>
    </row>
    <row r="8924" spans="27:27">
      <c r="AA8924" t="s">
        <v>2630</v>
      </c>
    </row>
    <row r="8925" spans="27:27">
      <c r="AA8925" t="s">
        <v>10441</v>
      </c>
    </row>
    <row r="8926" spans="27:27">
      <c r="AA8926" t="s">
        <v>3798</v>
      </c>
    </row>
    <row r="8927" spans="27:27">
      <c r="AA8927" t="s">
        <v>10442</v>
      </c>
    </row>
    <row r="8928" spans="27:27">
      <c r="AA8928" t="s">
        <v>10443</v>
      </c>
    </row>
    <row r="8929" spans="27:27">
      <c r="AA8929" t="s">
        <v>10444</v>
      </c>
    </row>
    <row r="8930" spans="27:27">
      <c r="AA8930" t="s">
        <v>10445</v>
      </c>
    </row>
    <row r="8931" spans="27:27">
      <c r="AA8931" t="s">
        <v>10446</v>
      </c>
    </row>
    <row r="8932" spans="27:27">
      <c r="AA8932" t="s">
        <v>3799</v>
      </c>
    </row>
    <row r="8933" spans="27:27">
      <c r="AA8933" t="s">
        <v>10447</v>
      </c>
    </row>
    <row r="8934" spans="27:27">
      <c r="AA8934" t="s">
        <v>10448</v>
      </c>
    </row>
    <row r="8935" spans="27:27">
      <c r="AA8935" t="s">
        <v>2631</v>
      </c>
    </row>
    <row r="8936" spans="27:27">
      <c r="AA8936" t="s">
        <v>2632</v>
      </c>
    </row>
    <row r="8937" spans="27:27">
      <c r="AA8937" t="s">
        <v>3800</v>
      </c>
    </row>
    <row r="8938" spans="27:27">
      <c r="AA8938" t="s">
        <v>10449</v>
      </c>
    </row>
    <row r="8939" spans="27:27">
      <c r="AA8939" t="s">
        <v>834</v>
      </c>
    </row>
    <row r="8940" spans="27:27">
      <c r="AA8940" t="s">
        <v>10450</v>
      </c>
    </row>
    <row r="8941" spans="27:27">
      <c r="AA8941" t="s">
        <v>2633</v>
      </c>
    </row>
    <row r="8942" spans="27:27">
      <c r="AA8942" t="s">
        <v>10451</v>
      </c>
    </row>
    <row r="8943" spans="27:27">
      <c r="AA8943" t="s">
        <v>2634</v>
      </c>
    </row>
    <row r="8944" spans="27:27">
      <c r="AA8944" t="s">
        <v>10452</v>
      </c>
    </row>
    <row r="8945" spans="27:27">
      <c r="AA8945" t="s">
        <v>835</v>
      </c>
    </row>
    <row r="8946" spans="27:27">
      <c r="AA8946" t="s">
        <v>10453</v>
      </c>
    </row>
    <row r="8947" spans="27:27">
      <c r="AA8947" t="s">
        <v>10454</v>
      </c>
    </row>
    <row r="8948" spans="27:27">
      <c r="AA8948" t="s">
        <v>10455</v>
      </c>
    </row>
    <row r="8949" spans="27:27">
      <c r="AA8949" t="s">
        <v>10456</v>
      </c>
    </row>
    <row r="8950" spans="27:27">
      <c r="AA8950" t="s">
        <v>10457</v>
      </c>
    </row>
    <row r="8951" spans="27:27">
      <c r="AA8951" t="s">
        <v>10458</v>
      </c>
    </row>
    <row r="8952" spans="27:27">
      <c r="AA8952" t="s">
        <v>10459</v>
      </c>
    </row>
    <row r="8953" spans="27:27">
      <c r="AA8953" t="s">
        <v>10460</v>
      </c>
    </row>
    <row r="8954" spans="27:27">
      <c r="AA8954" t="s">
        <v>10461</v>
      </c>
    </row>
    <row r="8955" spans="27:27">
      <c r="AA8955" t="s">
        <v>10462</v>
      </c>
    </row>
    <row r="8956" spans="27:27">
      <c r="AA8956" t="s">
        <v>10463</v>
      </c>
    </row>
    <row r="8957" spans="27:27">
      <c r="AA8957" t="s">
        <v>10464</v>
      </c>
    </row>
    <row r="8958" spans="27:27">
      <c r="AA8958" t="s">
        <v>10465</v>
      </c>
    </row>
    <row r="8959" spans="27:27">
      <c r="AA8959" t="s">
        <v>10466</v>
      </c>
    </row>
    <row r="8960" spans="27:27">
      <c r="AA8960" t="s">
        <v>10467</v>
      </c>
    </row>
    <row r="8961" spans="27:27">
      <c r="AA8961" t="s">
        <v>836</v>
      </c>
    </row>
    <row r="8962" spans="27:27">
      <c r="AA8962" t="s">
        <v>10468</v>
      </c>
    </row>
    <row r="8963" spans="27:27">
      <c r="AA8963" t="s">
        <v>10469</v>
      </c>
    </row>
    <row r="8964" spans="27:27">
      <c r="AA8964" t="s">
        <v>10470</v>
      </c>
    </row>
    <row r="8965" spans="27:27">
      <c r="AA8965" t="s">
        <v>10471</v>
      </c>
    </row>
    <row r="8966" spans="27:27">
      <c r="AA8966" t="s">
        <v>10472</v>
      </c>
    </row>
    <row r="8967" spans="27:27">
      <c r="AA8967" t="s">
        <v>3801</v>
      </c>
    </row>
    <row r="8968" spans="27:27">
      <c r="AA8968" t="s">
        <v>10473</v>
      </c>
    </row>
    <row r="8969" spans="27:27">
      <c r="AA8969" t="s">
        <v>837</v>
      </c>
    </row>
    <row r="8970" spans="27:27">
      <c r="AA8970" t="s">
        <v>10474</v>
      </c>
    </row>
    <row r="8971" spans="27:27">
      <c r="AA8971" t="s">
        <v>10475</v>
      </c>
    </row>
    <row r="8972" spans="27:27">
      <c r="AA8972" t="s">
        <v>3802</v>
      </c>
    </row>
    <row r="8973" spans="27:27">
      <c r="AA8973" t="s">
        <v>2635</v>
      </c>
    </row>
    <row r="8974" spans="27:27">
      <c r="AA8974" t="s">
        <v>838</v>
      </c>
    </row>
    <row r="8975" spans="27:27">
      <c r="AA8975" t="s">
        <v>2636</v>
      </c>
    </row>
    <row r="8976" spans="27:27">
      <c r="AA8976" t="s">
        <v>839</v>
      </c>
    </row>
    <row r="8977" spans="27:27">
      <c r="AA8977" t="s">
        <v>840</v>
      </c>
    </row>
    <row r="8978" spans="27:27">
      <c r="AA8978" t="s">
        <v>841</v>
      </c>
    </row>
    <row r="8979" spans="27:27">
      <c r="AA8979" t="s">
        <v>842</v>
      </c>
    </row>
    <row r="8980" spans="27:27">
      <c r="AA8980" t="s">
        <v>2637</v>
      </c>
    </row>
    <row r="8981" spans="27:27">
      <c r="AA8981" t="s">
        <v>843</v>
      </c>
    </row>
    <row r="8982" spans="27:27">
      <c r="AA8982" t="s">
        <v>2638</v>
      </c>
    </row>
    <row r="8983" spans="27:27">
      <c r="AA8983" t="s">
        <v>844</v>
      </c>
    </row>
    <row r="8984" spans="27:27">
      <c r="AA8984" t="s">
        <v>845</v>
      </c>
    </row>
    <row r="8985" spans="27:27">
      <c r="AA8985" t="s">
        <v>2639</v>
      </c>
    </row>
    <row r="8986" spans="27:27">
      <c r="AA8986" t="s">
        <v>846</v>
      </c>
    </row>
    <row r="8987" spans="27:27">
      <c r="AA8987" t="s">
        <v>847</v>
      </c>
    </row>
    <row r="8988" spans="27:27">
      <c r="AA8988" t="s">
        <v>848</v>
      </c>
    </row>
    <row r="8989" spans="27:27">
      <c r="AA8989" t="s">
        <v>849</v>
      </c>
    </row>
    <row r="8990" spans="27:27">
      <c r="AA8990" t="s">
        <v>2640</v>
      </c>
    </row>
    <row r="8991" spans="27:27">
      <c r="AA8991" t="s">
        <v>3803</v>
      </c>
    </row>
    <row r="8992" spans="27:27">
      <c r="AA8992" t="s">
        <v>2641</v>
      </c>
    </row>
    <row r="8993" spans="27:27">
      <c r="AA8993" t="s">
        <v>3804</v>
      </c>
    </row>
    <row r="8994" spans="27:27">
      <c r="AA8994" t="s">
        <v>2642</v>
      </c>
    </row>
    <row r="8995" spans="27:27">
      <c r="AA8995" t="s">
        <v>3805</v>
      </c>
    </row>
    <row r="8996" spans="27:27">
      <c r="AA8996" t="s">
        <v>10476</v>
      </c>
    </row>
    <row r="8997" spans="27:27">
      <c r="AA8997" t="s">
        <v>2643</v>
      </c>
    </row>
    <row r="8998" spans="27:27">
      <c r="AA8998" t="s">
        <v>10477</v>
      </c>
    </row>
    <row r="8999" spans="27:27">
      <c r="AA8999" t="s">
        <v>10478</v>
      </c>
    </row>
    <row r="9000" spans="27:27">
      <c r="AA9000" t="s">
        <v>10479</v>
      </c>
    </row>
    <row r="9001" spans="27:27">
      <c r="AA9001" t="s">
        <v>10480</v>
      </c>
    </row>
    <row r="9002" spans="27:27">
      <c r="AA9002" t="s">
        <v>10481</v>
      </c>
    </row>
    <row r="9003" spans="27:27">
      <c r="AA9003" t="s">
        <v>10482</v>
      </c>
    </row>
    <row r="9004" spans="27:27">
      <c r="AA9004" t="s">
        <v>10483</v>
      </c>
    </row>
    <row r="9005" spans="27:27">
      <c r="AA9005" t="s">
        <v>10484</v>
      </c>
    </row>
    <row r="9006" spans="27:27">
      <c r="AA9006" t="s">
        <v>10485</v>
      </c>
    </row>
    <row r="9007" spans="27:27">
      <c r="AA9007" t="s">
        <v>850</v>
      </c>
    </row>
    <row r="9008" spans="27:27">
      <c r="AA9008" t="s">
        <v>10486</v>
      </c>
    </row>
    <row r="9009" spans="27:27">
      <c r="AA9009" t="s">
        <v>2644</v>
      </c>
    </row>
    <row r="9010" spans="27:27">
      <c r="AA9010" t="s">
        <v>3806</v>
      </c>
    </row>
    <row r="9011" spans="27:27">
      <c r="AA9011" t="s">
        <v>2645</v>
      </c>
    </row>
    <row r="9012" spans="27:27">
      <c r="AA9012" t="s">
        <v>3807</v>
      </c>
    </row>
    <row r="9013" spans="27:27">
      <c r="AA9013" t="s">
        <v>10487</v>
      </c>
    </row>
    <row r="9014" spans="27:27">
      <c r="AA9014" t="s">
        <v>10488</v>
      </c>
    </row>
    <row r="9015" spans="27:27">
      <c r="AA9015" t="s">
        <v>10489</v>
      </c>
    </row>
    <row r="9016" spans="27:27">
      <c r="AA9016" t="s">
        <v>10490</v>
      </c>
    </row>
    <row r="9017" spans="27:27">
      <c r="AA9017" t="s">
        <v>10491</v>
      </c>
    </row>
    <row r="9018" spans="27:27">
      <c r="AA9018" t="s">
        <v>10492</v>
      </c>
    </row>
    <row r="9019" spans="27:27">
      <c r="AA9019" t="s">
        <v>10493</v>
      </c>
    </row>
    <row r="9020" spans="27:27">
      <c r="AA9020" t="s">
        <v>10494</v>
      </c>
    </row>
    <row r="9021" spans="27:27">
      <c r="AA9021" t="s">
        <v>10495</v>
      </c>
    </row>
    <row r="9022" spans="27:27">
      <c r="AA9022" t="s">
        <v>3808</v>
      </c>
    </row>
    <row r="9023" spans="27:27">
      <c r="AA9023" t="s">
        <v>10496</v>
      </c>
    </row>
    <row r="9024" spans="27:27">
      <c r="AA9024" t="s">
        <v>10497</v>
      </c>
    </row>
    <row r="9025" spans="27:27">
      <c r="AA9025" t="s">
        <v>10498</v>
      </c>
    </row>
    <row r="9026" spans="27:27">
      <c r="AA9026" t="s">
        <v>10499</v>
      </c>
    </row>
    <row r="9027" spans="27:27">
      <c r="AA9027" t="s">
        <v>10500</v>
      </c>
    </row>
    <row r="9028" spans="27:27">
      <c r="AA9028" t="s">
        <v>10501</v>
      </c>
    </row>
    <row r="9029" spans="27:27">
      <c r="AA9029" t="s">
        <v>10502</v>
      </c>
    </row>
    <row r="9030" spans="27:27">
      <c r="AA9030" t="s">
        <v>10503</v>
      </c>
    </row>
    <row r="9031" spans="27:27">
      <c r="AA9031" t="s">
        <v>10504</v>
      </c>
    </row>
    <row r="9032" spans="27:27">
      <c r="AA9032" t="s">
        <v>3809</v>
      </c>
    </row>
    <row r="9033" spans="27:27">
      <c r="AA9033" t="s">
        <v>10505</v>
      </c>
    </row>
    <row r="9034" spans="27:27">
      <c r="AA9034" t="s">
        <v>10506</v>
      </c>
    </row>
    <row r="9035" spans="27:27">
      <c r="AA9035" t="s">
        <v>10507</v>
      </c>
    </row>
    <row r="9036" spans="27:27">
      <c r="AA9036" t="s">
        <v>10508</v>
      </c>
    </row>
    <row r="9037" spans="27:27">
      <c r="AA9037" t="s">
        <v>10509</v>
      </c>
    </row>
    <row r="9038" spans="27:27">
      <c r="AA9038" t="s">
        <v>10510</v>
      </c>
    </row>
    <row r="9039" spans="27:27">
      <c r="AA9039" t="s">
        <v>10511</v>
      </c>
    </row>
    <row r="9040" spans="27:27">
      <c r="AA9040" t="s">
        <v>10512</v>
      </c>
    </row>
    <row r="9041" spans="27:27">
      <c r="AA9041" t="s">
        <v>10513</v>
      </c>
    </row>
    <row r="9042" spans="27:27">
      <c r="AA9042" t="s">
        <v>3810</v>
      </c>
    </row>
    <row r="9043" spans="27:27">
      <c r="AA9043" t="s">
        <v>10514</v>
      </c>
    </row>
    <row r="9044" spans="27:27">
      <c r="AA9044" t="s">
        <v>10515</v>
      </c>
    </row>
    <row r="9045" spans="27:27">
      <c r="AA9045" t="s">
        <v>10516</v>
      </c>
    </row>
    <row r="9046" spans="27:27">
      <c r="AA9046" t="s">
        <v>10517</v>
      </c>
    </row>
    <row r="9047" spans="27:27">
      <c r="AA9047" t="s">
        <v>10518</v>
      </c>
    </row>
    <row r="9048" spans="27:27">
      <c r="AA9048" t="s">
        <v>10519</v>
      </c>
    </row>
    <row r="9049" spans="27:27">
      <c r="AA9049" t="s">
        <v>10520</v>
      </c>
    </row>
    <row r="9050" spans="27:27">
      <c r="AA9050" t="s">
        <v>10521</v>
      </c>
    </row>
    <row r="9051" spans="27:27">
      <c r="AA9051" t="s">
        <v>10522</v>
      </c>
    </row>
    <row r="9052" spans="27:27">
      <c r="AA9052" t="s">
        <v>3811</v>
      </c>
    </row>
    <row r="9053" spans="27:27">
      <c r="AA9053" t="s">
        <v>10523</v>
      </c>
    </row>
    <row r="9054" spans="27:27">
      <c r="AA9054" t="s">
        <v>10524</v>
      </c>
    </row>
    <row r="9055" spans="27:27">
      <c r="AA9055" t="s">
        <v>10525</v>
      </c>
    </row>
    <row r="9056" spans="27:27">
      <c r="AA9056" t="s">
        <v>10526</v>
      </c>
    </row>
    <row r="9057" spans="27:27">
      <c r="AA9057" t="s">
        <v>10527</v>
      </c>
    </row>
    <row r="9058" spans="27:27">
      <c r="AA9058" t="s">
        <v>10528</v>
      </c>
    </row>
    <row r="9059" spans="27:27">
      <c r="AA9059" t="s">
        <v>10529</v>
      </c>
    </row>
    <row r="9060" spans="27:27">
      <c r="AA9060" t="s">
        <v>10530</v>
      </c>
    </row>
    <row r="9061" spans="27:27">
      <c r="AA9061" t="s">
        <v>10531</v>
      </c>
    </row>
    <row r="9062" spans="27:27">
      <c r="AA9062" t="s">
        <v>3812</v>
      </c>
    </row>
    <row r="9063" spans="27:27">
      <c r="AA9063" t="s">
        <v>10532</v>
      </c>
    </row>
    <row r="9064" spans="27:27">
      <c r="AA9064" t="s">
        <v>10533</v>
      </c>
    </row>
    <row r="9065" spans="27:27">
      <c r="AA9065" t="s">
        <v>10534</v>
      </c>
    </row>
    <row r="9066" spans="27:27">
      <c r="AA9066" t="s">
        <v>10535</v>
      </c>
    </row>
    <row r="9067" spans="27:27">
      <c r="AA9067" t="s">
        <v>10536</v>
      </c>
    </row>
    <row r="9068" spans="27:27">
      <c r="AA9068" t="s">
        <v>10537</v>
      </c>
    </row>
    <row r="9069" spans="27:27">
      <c r="AA9069" t="s">
        <v>10538</v>
      </c>
    </row>
    <row r="9070" spans="27:27">
      <c r="AA9070" t="s">
        <v>10539</v>
      </c>
    </row>
    <row r="9071" spans="27:27">
      <c r="AA9071" t="s">
        <v>10540</v>
      </c>
    </row>
    <row r="9072" spans="27:27">
      <c r="AA9072" t="s">
        <v>3813</v>
      </c>
    </row>
    <row r="9073" spans="27:27">
      <c r="AA9073" t="s">
        <v>10541</v>
      </c>
    </row>
    <row r="9074" spans="27:27">
      <c r="AA9074" t="s">
        <v>10542</v>
      </c>
    </row>
    <row r="9075" spans="27:27">
      <c r="AA9075" t="s">
        <v>10543</v>
      </c>
    </row>
    <row r="9076" spans="27:27">
      <c r="AA9076" t="s">
        <v>10544</v>
      </c>
    </row>
    <row r="9077" spans="27:27">
      <c r="AA9077" t="s">
        <v>10545</v>
      </c>
    </row>
    <row r="9078" spans="27:27">
      <c r="AA9078" t="s">
        <v>10546</v>
      </c>
    </row>
    <row r="9079" spans="27:27">
      <c r="AA9079" t="s">
        <v>10547</v>
      </c>
    </row>
    <row r="9080" spans="27:27">
      <c r="AA9080" t="s">
        <v>10548</v>
      </c>
    </row>
    <row r="9081" spans="27:27">
      <c r="AA9081" t="s">
        <v>10549</v>
      </c>
    </row>
    <row r="9082" spans="27:27">
      <c r="AA9082" t="s">
        <v>10550</v>
      </c>
    </row>
    <row r="9083" spans="27:27">
      <c r="AA9083" t="s">
        <v>2646</v>
      </c>
    </row>
    <row r="9084" spans="27:27">
      <c r="AA9084" t="s">
        <v>3814</v>
      </c>
    </row>
    <row r="9085" spans="27:27">
      <c r="AA9085" t="s">
        <v>10551</v>
      </c>
    </row>
    <row r="9086" spans="27:27">
      <c r="AA9086" t="s">
        <v>10552</v>
      </c>
    </row>
    <row r="9087" spans="27:27">
      <c r="AA9087" t="s">
        <v>10553</v>
      </c>
    </row>
    <row r="9088" spans="27:27">
      <c r="AA9088" t="s">
        <v>10554</v>
      </c>
    </row>
    <row r="9089" spans="27:27">
      <c r="AA9089" t="s">
        <v>10555</v>
      </c>
    </row>
    <row r="9090" spans="27:27">
      <c r="AA9090" t="s">
        <v>10556</v>
      </c>
    </row>
    <row r="9091" spans="27:27">
      <c r="AA9091" t="s">
        <v>10557</v>
      </c>
    </row>
    <row r="9092" spans="27:27">
      <c r="AA9092" t="s">
        <v>10558</v>
      </c>
    </row>
    <row r="9093" spans="27:27">
      <c r="AA9093" t="s">
        <v>10559</v>
      </c>
    </row>
    <row r="9094" spans="27:27">
      <c r="AA9094" t="s">
        <v>2647</v>
      </c>
    </row>
    <row r="9095" spans="27:27">
      <c r="AA9095" t="s">
        <v>3815</v>
      </c>
    </row>
    <row r="9096" spans="27:27">
      <c r="AA9096" t="s">
        <v>10560</v>
      </c>
    </row>
    <row r="9097" spans="27:27">
      <c r="AA9097" t="s">
        <v>10561</v>
      </c>
    </row>
    <row r="9098" spans="27:27">
      <c r="AA9098" t="s">
        <v>10562</v>
      </c>
    </row>
    <row r="9099" spans="27:27">
      <c r="AA9099" t="s">
        <v>2648</v>
      </c>
    </row>
    <row r="9100" spans="27:27">
      <c r="AA9100" t="s">
        <v>3816</v>
      </c>
    </row>
    <row r="9101" spans="27:27">
      <c r="AA9101" t="s">
        <v>10563</v>
      </c>
    </row>
    <row r="9102" spans="27:27">
      <c r="AA9102" t="s">
        <v>10564</v>
      </c>
    </row>
    <row r="9103" spans="27:27">
      <c r="AA9103" t="s">
        <v>10565</v>
      </c>
    </row>
    <row r="9104" spans="27:27">
      <c r="AA9104" t="s">
        <v>3817</v>
      </c>
    </row>
    <row r="9105" spans="27:27">
      <c r="AA9105" t="s">
        <v>851</v>
      </c>
    </row>
    <row r="9106" spans="27:27">
      <c r="AA9106" t="s">
        <v>3818</v>
      </c>
    </row>
    <row r="9107" spans="27:27">
      <c r="AA9107" t="s">
        <v>852</v>
      </c>
    </row>
    <row r="9108" spans="27:27">
      <c r="AA9108" t="s">
        <v>10566</v>
      </c>
    </row>
    <row r="9109" spans="27:27">
      <c r="AA9109" t="s">
        <v>2649</v>
      </c>
    </row>
    <row r="9110" spans="27:27">
      <c r="AA9110" t="s">
        <v>2650</v>
      </c>
    </row>
    <row r="9111" spans="27:27">
      <c r="AA9111" t="s">
        <v>10567</v>
      </c>
    </row>
    <row r="9112" spans="27:27">
      <c r="AA9112" t="s">
        <v>2651</v>
      </c>
    </row>
    <row r="9113" spans="27:27">
      <c r="AA9113" t="s">
        <v>10568</v>
      </c>
    </row>
    <row r="9114" spans="27:27">
      <c r="AA9114" t="s">
        <v>10569</v>
      </c>
    </row>
    <row r="9115" spans="27:27">
      <c r="AA9115" t="s">
        <v>10570</v>
      </c>
    </row>
    <row r="9116" spans="27:27">
      <c r="AA9116" t="s">
        <v>10571</v>
      </c>
    </row>
    <row r="9117" spans="27:27">
      <c r="AA9117" t="s">
        <v>10572</v>
      </c>
    </row>
    <row r="9118" spans="27:27">
      <c r="AA9118" t="s">
        <v>10573</v>
      </c>
    </row>
    <row r="9119" spans="27:27">
      <c r="AA9119" t="s">
        <v>10574</v>
      </c>
    </row>
    <row r="9120" spans="27:27">
      <c r="AA9120" t="s">
        <v>2652</v>
      </c>
    </row>
    <row r="9121" spans="27:27">
      <c r="AA9121" t="s">
        <v>3819</v>
      </c>
    </row>
    <row r="9122" spans="27:27">
      <c r="AA9122" t="s">
        <v>2653</v>
      </c>
    </row>
    <row r="9123" spans="27:27">
      <c r="AA9123" t="s">
        <v>3820</v>
      </c>
    </row>
    <row r="9124" spans="27:27">
      <c r="AA9124" t="s">
        <v>10575</v>
      </c>
    </row>
    <row r="9125" spans="27:27">
      <c r="AA9125" t="s">
        <v>3821</v>
      </c>
    </row>
    <row r="9126" spans="27:27">
      <c r="AA9126" t="s">
        <v>10576</v>
      </c>
    </row>
    <row r="9127" spans="27:27">
      <c r="AA9127" t="s">
        <v>10577</v>
      </c>
    </row>
    <row r="9128" spans="27:27">
      <c r="AA9128" t="s">
        <v>3822</v>
      </c>
    </row>
    <row r="9129" spans="27:27">
      <c r="AA9129" t="s">
        <v>10578</v>
      </c>
    </row>
    <row r="9130" spans="27:27">
      <c r="AA9130" t="s">
        <v>10579</v>
      </c>
    </row>
    <row r="9131" spans="27:27">
      <c r="AA9131" t="s">
        <v>10580</v>
      </c>
    </row>
    <row r="9132" spans="27:27">
      <c r="AA9132" t="s">
        <v>10581</v>
      </c>
    </row>
    <row r="9133" spans="27:27">
      <c r="AA9133" t="s">
        <v>10582</v>
      </c>
    </row>
    <row r="9134" spans="27:27">
      <c r="AA9134" t="s">
        <v>10583</v>
      </c>
    </row>
    <row r="9135" spans="27:27">
      <c r="AA9135" t="s">
        <v>10584</v>
      </c>
    </row>
    <row r="9136" spans="27:27">
      <c r="AA9136" t="s">
        <v>10585</v>
      </c>
    </row>
    <row r="9137" spans="27:27">
      <c r="AA9137" t="s">
        <v>10586</v>
      </c>
    </row>
    <row r="9138" spans="27:27">
      <c r="AA9138" t="s">
        <v>2654</v>
      </c>
    </row>
    <row r="9139" spans="27:27">
      <c r="AA9139" t="s">
        <v>2655</v>
      </c>
    </row>
    <row r="9140" spans="27:27">
      <c r="AA9140" t="s">
        <v>10587</v>
      </c>
    </row>
    <row r="9141" spans="27:27">
      <c r="AA9141" t="s">
        <v>10588</v>
      </c>
    </row>
    <row r="9142" spans="27:27">
      <c r="AA9142" t="s">
        <v>10589</v>
      </c>
    </row>
    <row r="9143" spans="27:27">
      <c r="AA9143" t="s">
        <v>10590</v>
      </c>
    </row>
    <row r="9144" spans="27:27">
      <c r="AA9144" t="s">
        <v>10591</v>
      </c>
    </row>
    <row r="9145" spans="27:27">
      <c r="AA9145" t="s">
        <v>10592</v>
      </c>
    </row>
    <row r="9146" spans="27:27">
      <c r="AA9146" t="s">
        <v>10593</v>
      </c>
    </row>
    <row r="9147" spans="27:27">
      <c r="AA9147" t="s">
        <v>10594</v>
      </c>
    </row>
    <row r="9148" spans="27:27">
      <c r="AA9148" t="s">
        <v>10595</v>
      </c>
    </row>
    <row r="9149" spans="27:27">
      <c r="AA9149" t="s">
        <v>10596</v>
      </c>
    </row>
    <row r="9150" spans="27:27">
      <c r="AA9150" t="s">
        <v>10597</v>
      </c>
    </row>
    <row r="9151" spans="27:27">
      <c r="AA9151" t="s">
        <v>10598</v>
      </c>
    </row>
    <row r="9152" spans="27:27">
      <c r="AA9152" t="s">
        <v>10599</v>
      </c>
    </row>
    <row r="9153" spans="27:27">
      <c r="AA9153" t="s">
        <v>10600</v>
      </c>
    </row>
    <row r="9154" spans="27:27">
      <c r="AA9154" t="s">
        <v>10601</v>
      </c>
    </row>
    <row r="9155" spans="27:27">
      <c r="AA9155" t="s">
        <v>10602</v>
      </c>
    </row>
    <row r="9156" spans="27:27">
      <c r="AA9156" t="s">
        <v>2656</v>
      </c>
    </row>
    <row r="9157" spans="27:27">
      <c r="AA9157" t="s">
        <v>10603</v>
      </c>
    </row>
    <row r="9158" spans="27:27">
      <c r="AA9158" t="s">
        <v>3823</v>
      </c>
    </row>
    <row r="9159" spans="27:27">
      <c r="AA9159" t="s">
        <v>10604</v>
      </c>
    </row>
    <row r="9160" spans="27:27">
      <c r="AA9160" t="s">
        <v>10605</v>
      </c>
    </row>
    <row r="9161" spans="27:27">
      <c r="AA9161" t="s">
        <v>10606</v>
      </c>
    </row>
    <row r="9162" spans="27:27">
      <c r="AA9162" t="s">
        <v>10607</v>
      </c>
    </row>
    <row r="9163" spans="27:27">
      <c r="AA9163" t="s">
        <v>10608</v>
      </c>
    </row>
    <row r="9164" spans="27:27">
      <c r="AA9164" t="s">
        <v>10609</v>
      </c>
    </row>
    <row r="9165" spans="27:27">
      <c r="AA9165" t="s">
        <v>10610</v>
      </c>
    </row>
    <row r="9166" spans="27:27">
      <c r="AA9166" t="s">
        <v>10611</v>
      </c>
    </row>
    <row r="9167" spans="27:27">
      <c r="AA9167" t="s">
        <v>10612</v>
      </c>
    </row>
    <row r="9168" spans="27:27">
      <c r="AA9168" t="s">
        <v>2657</v>
      </c>
    </row>
    <row r="9169" spans="27:27">
      <c r="AA9169" t="s">
        <v>2658</v>
      </c>
    </row>
    <row r="9170" spans="27:27">
      <c r="AA9170" t="s">
        <v>2659</v>
      </c>
    </row>
    <row r="9171" spans="27:27">
      <c r="AA9171" t="s">
        <v>10613</v>
      </c>
    </row>
    <row r="9172" spans="27:27">
      <c r="AA9172" t="s">
        <v>10614</v>
      </c>
    </row>
    <row r="9173" spans="27:27">
      <c r="AA9173" t="s">
        <v>10615</v>
      </c>
    </row>
    <row r="9174" spans="27:27">
      <c r="AA9174" t="s">
        <v>10616</v>
      </c>
    </row>
    <row r="9175" spans="27:27">
      <c r="AA9175" t="s">
        <v>10617</v>
      </c>
    </row>
    <row r="9176" spans="27:27">
      <c r="AA9176" t="s">
        <v>10618</v>
      </c>
    </row>
    <row r="9177" spans="27:27">
      <c r="AA9177" t="s">
        <v>10619</v>
      </c>
    </row>
    <row r="9178" spans="27:27">
      <c r="AA9178" t="s">
        <v>10620</v>
      </c>
    </row>
    <row r="9179" spans="27:27">
      <c r="AA9179" t="s">
        <v>10621</v>
      </c>
    </row>
    <row r="9180" spans="27:27">
      <c r="AA9180" t="s">
        <v>10622</v>
      </c>
    </row>
    <row r="9181" spans="27:27">
      <c r="AA9181" t="s">
        <v>10623</v>
      </c>
    </row>
    <row r="9182" spans="27:27">
      <c r="AA9182" t="s">
        <v>10624</v>
      </c>
    </row>
    <row r="9183" spans="27:27">
      <c r="AA9183" t="s">
        <v>10625</v>
      </c>
    </row>
    <row r="9184" spans="27:27">
      <c r="AA9184" t="s">
        <v>10626</v>
      </c>
    </row>
    <row r="9185" spans="27:27">
      <c r="AA9185" t="s">
        <v>10627</v>
      </c>
    </row>
    <row r="9186" spans="27:27">
      <c r="AA9186" t="s">
        <v>10628</v>
      </c>
    </row>
    <row r="9187" spans="27:27">
      <c r="AA9187" t="s">
        <v>2660</v>
      </c>
    </row>
    <row r="9188" spans="27:27">
      <c r="AA9188" t="s">
        <v>10629</v>
      </c>
    </row>
    <row r="9189" spans="27:27">
      <c r="AA9189" t="s">
        <v>3824</v>
      </c>
    </row>
    <row r="9190" spans="27:27">
      <c r="AA9190" t="s">
        <v>10630</v>
      </c>
    </row>
    <row r="9191" spans="27:27">
      <c r="AA9191" t="s">
        <v>10631</v>
      </c>
    </row>
    <row r="9192" spans="27:27">
      <c r="AA9192" t="s">
        <v>10632</v>
      </c>
    </row>
    <row r="9193" spans="27:27">
      <c r="AA9193" t="s">
        <v>10633</v>
      </c>
    </row>
    <row r="9194" spans="27:27">
      <c r="AA9194" t="s">
        <v>10634</v>
      </c>
    </row>
    <row r="9195" spans="27:27">
      <c r="AA9195" t="s">
        <v>10635</v>
      </c>
    </row>
    <row r="9196" spans="27:27">
      <c r="AA9196" t="s">
        <v>10636</v>
      </c>
    </row>
    <row r="9197" spans="27:27">
      <c r="AA9197" t="s">
        <v>10637</v>
      </c>
    </row>
    <row r="9198" spans="27:27">
      <c r="AA9198" t="s">
        <v>10638</v>
      </c>
    </row>
    <row r="9199" spans="27:27">
      <c r="AA9199" t="s">
        <v>2661</v>
      </c>
    </row>
    <row r="9200" spans="27:27">
      <c r="AA9200" t="s">
        <v>2662</v>
      </c>
    </row>
    <row r="9201" spans="27:27">
      <c r="AA9201" t="s">
        <v>2663</v>
      </c>
    </row>
    <row r="9202" spans="27:27">
      <c r="AA9202" t="s">
        <v>10639</v>
      </c>
    </row>
    <row r="9203" spans="27:27">
      <c r="AA9203" t="s">
        <v>10640</v>
      </c>
    </row>
    <row r="9204" spans="27:27">
      <c r="AA9204" t="s">
        <v>10641</v>
      </c>
    </row>
    <row r="9205" spans="27:27">
      <c r="AA9205" t="s">
        <v>10642</v>
      </c>
    </row>
    <row r="9206" spans="27:27">
      <c r="AA9206" t="s">
        <v>10643</v>
      </c>
    </row>
    <row r="9207" spans="27:27">
      <c r="AA9207" t="s">
        <v>10644</v>
      </c>
    </row>
    <row r="9208" spans="27:27">
      <c r="AA9208" t="s">
        <v>10645</v>
      </c>
    </row>
    <row r="9209" spans="27:27">
      <c r="AA9209" t="s">
        <v>10646</v>
      </c>
    </row>
    <row r="9210" spans="27:27">
      <c r="AA9210" t="s">
        <v>10647</v>
      </c>
    </row>
    <row r="9211" spans="27:27">
      <c r="AA9211" t="s">
        <v>10648</v>
      </c>
    </row>
    <row r="9212" spans="27:27">
      <c r="AA9212" t="s">
        <v>10649</v>
      </c>
    </row>
    <row r="9213" spans="27:27">
      <c r="AA9213" t="s">
        <v>10650</v>
      </c>
    </row>
    <row r="9214" spans="27:27">
      <c r="AA9214" t="s">
        <v>10651</v>
      </c>
    </row>
    <row r="9215" spans="27:27">
      <c r="AA9215" t="s">
        <v>10652</v>
      </c>
    </row>
    <row r="9216" spans="27:27">
      <c r="AA9216" t="s">
        <v>10653</v>
      </c>
    </row>
    <row r="9217" spans="27:27">
      <c r="AA9217" t="s">
        <v>10654</v>
      </c>
    </row>
    <row r="9218" spans="27:27">
      <c r="AA9218" t="s">
        <v>2664</v>
      </c>
    </row>
    <row r="9219" spans="27:27">
      <c r="AA9219" t="s">
        <v>10655</v>
      </c>
    </row>
    <row r="9220" spans="27:27">
      <c r="AA9220" t="s">
        <v>3825</v>
      </c>
    </row>
    <row r="9221" spans="27:27">
      <c r="AA9221" t="s">
        <v>853</v>
      </c>
    </row>
    <row r="9222" spans="27:27">
      <c r="AA9222" t="s">
        <v>10656</v>
      </c>
    </row>
    <row r="9223" spans="27:27">
      <c r="AA9223" t="s">
        <v>10657</v>
      </c>
    </row>
    <row r="9224" spans="27:27">
      <c r="AA9224" t="s">
        <v>10658</v>
      </c>
    </row>
    <row r="9225" spans="27:27">
      <c r="AA9225" t="s">
        <v>10659</v>
      </c>
    </row>
    <row r="9226" spans="27:27">
      <c r="AA9226" t="s">
        <v>10660</v>
      </c>
    </row>
    <row r="9227" spans="27:27">
      <c r="AA9227" t="s">
        <v>10661</v>
      </c>
    </row>
    <row r="9228" spans="27:27">
      <c r="AA9228" t="s">
        <v>10662</v>
      </c>
    </row>
    <row r="9229" spans="27:27">
      <c r="AA9229" t="s">
        <v>10663</v>
      </c>
    </row>
    <row r="9230" spans="27:27">
      <c r="AA9230" t="s">
        <v>10664</v>
      </c>
    </row>
    <row r="9231" spans="27:27">
      <c r="AA9231" t="s">
        <v>2665</v>
      </c>
    </row>
    <row r="9232" spans="27:27">
      <c r="AA9232" t="s">
        <v>10665</v>
      </c>
    </row>
    <row r="9233" spans="27:27">
      <c r="AA9233" t="s">
        <v>10666</v>
      </c>
    </row>
    <row r="9234" spans="27:27">
      <c r="AA9234" t="s">
        <v>10667</v>
      </c>
    </row>
    <row r="9235" spans="27:27">
      <c r="AA9235" t="s">
        <v>3826</v>
      </c>
    </row>
    <row r="9236" spans="27:27">
      <c r="AA9236" t="s">
        <v>10668</v>
      </c>
    </row>
    <row r="9237" spans="27:27">
      <c r="AA9237" t="s">
        <v>10669</v>
      </c>
    </row>
    <row r="9238" spans="27:27">
      <c r="AA9238" t="s">
        <v>10670</v>
      </c>
    </row>
    <row r="9239" spans="27:27">
      <c r="AA9239" t="s">
        <v>10671</v>
      </c>
    </row>
    <row r="9240" spans="27:27">
      <c r="AA9240" t="s">
        <v>10672</v>
      </c>
    </row>
    <row r="9241" spans="27:27">
      <c r="AA9241" t="s">
        <v>10673</v>
      </c>
    </row>
    <row r="9242" spans="27:27">
      <c r="AA9242" t="s">
        <v>10674</v>
      </c>
    </row>
    <row r="9243" spans="27:27">
      <c r="AA9243" t="s">
        <v>10675</v>
      </c>
    </row>
    <row r="9244" spans="27:27">
      <c r="AA9244" t="s">
        <v>2666</v>
      </c>
    </row>
    <row r="9245" spans="27:27">
      <c r="AA9245" t="s">
        <v>10676</v>
      </c>
    </row>
    <row r="9246" spans="27:27">
      <c r="AA9246" t="s">
        <v>3827</v>
      </c>
    </row>
    <row r="9247" spans="27:27">
      <c r="AA9247" t="s">
        <v>10677</v>
      </c>
    </row>
    <row r="9248" spans="27:27">
      <c r="AA9248" t="s">
        <v>10678</v>
      </c>
    </row>
    <row r="9249" spans="27:27">
      <c r="AA9249" t="s">
        <v>10679</v>
      </c>
    </row>
    <row r="9250" spans="27:27">
      <c r="AA9250" t="s">
        <v>2667</v>
      </c>
    </row>
    <row r="9251" spans="27:27">
      <c r="AA9251" t="s">
        <v>10680</v>
      </c>
    </row>
    <row r="9252" spans="27:27">
      <c r="AA9252" t="s">
        <v>2668</v>
      </c>
    </row>
    <row r="9253" spans="27:27">
      <c r="AA9253" t="s">
        <v>854</v>
      </c>
    </row>
    <row r="9254" spans="27:27">
      <c r="AA9254" t="s">
        <v>10681</v>
      </c>
    </row>
    <row r="9255" spans="27:27">
      <c r="AA9255" t="s">
        <v>10682</v>
      </c>
    </row>
    <row r="9256" spans="27:27">
      <c r="AA9256" t="s">
        <v>10683</v>
      </c>
    </row>
    <row r="9257" spans="27:27">
      <c r="AA9257" t="s">
        <v>10684</v>
      </c>
    </row>
    <row r="9258" spans="27:27">
      <c r="AA9258" t="s">
        <v>10685</v>
      </c>
    </row>
    <row r="9259" spans="27:27">
      <c r="AA9259" t="s">
        <v>10686</v>
      </c>
    </row>
    <row r="9260" spans="27:27">
      <c r="AA9260" t="s">
        <v>10687</v>
      </c>
    </row>
    <row r="9261" spans="27:27">
      <c r="AA9261" t="s">
        <v>10688</v>
      </c>
    </row>
    <row r="9262" spans="27:27">
      <c r="AA9262" t="s">
        <v>10689</v>
      </c>
    </row>
    <row r="9263" spans="27:27">
      <c r="AA9263" t="s">
        <v>855</v>
      </c>
    </row>
    <row r="9264" spans="27:27">
      <c r="AA9264" t="s">
        <v>3828</v>
      </c>
    </row>
    <row r="9265" spans="27:27">
      <c r="AA9265" t="s">
        <v>856</v>
      </c>
    </row>
    <row r="9266" spans="27:27">
      <c r="AA9266" t="s">
        <v>10690</v>
      </c>
    </row>
    <row r="9267" spans="27:27">
      <c r="AA9267" t="s">
        <v>10691</v>
      </c>
    </row>
    <row r="9268" spans="27:27">
      <c r="AA9268" t="s">
        <v>857</v>
      </c>
    </row>
    <row r="9269" spans="27:27">
      <c r="AA9269" t="s">
        <v>858</v>
      </c>
    </row>
    <row r="9270" spans="27:27">
      <c r="AA9270" t="s">
        <v>10692</v>
      </c>
    </row>
    <row r="9271" spans="27:27">
      <c r="AA9271" t="s">
        <v>10693</v>
      </c>
    </row>
    <row r="9272" spans="27:27">
      <c r="AA9272" t="s">
        <v>10694</v>
      </c>
    </row>
    <row r="9273" spans="27:27">
      <c r="AA9273" t="s">
        <v>10695</v>
      </c>
    </row>
    <row r="9274" spans="27:27">
      <c r="AA9274" t="s">
        <v>10696</v>
      </c>
    </row>
    <row r="9275" spans="27:27">
      <c r="AA9275" t="s">
        <v>10697</v>
      </c>
    </row>
    <row r="9276" spans="27:27">
      <c r="AA9276" t="s">
        <v>2669</v>
      </c>
    </row>
    <row r="9277" spans="27:27">
      <c r="AA9277" t="s">
        <v>3829</v>
      </c>
    </row>
    <row r="9278" spans="27:27">
      <c r="AA9278" t="s">
        <v>2670</v>
      </c>
    </row>
    <row r="9279" spans="27:27">
      <c r="AA9279" t="s">
        <v>3830</v>
      </c>
    </row>
    <row r="9280" spans="27:27">
      <c r="AA9280" t="s">
        <v>10698</v>
      </c>
    </row>
    <row r="9281" spans="27:27">
      <c r="AA9281" t="s">
        <v>2671</v>
      </c>
    </row>
    <row r="9282" spans="27:27">
      <c r="AA9282" t="s">
        <v>3831</v>
      </c>
    </row>
    <row r="9283" spans="27:27">
      <c r="AA9283" t="s">
        <v>10699</v>
      </c>
    </row>
    <row r="9284" spans="27:27">
      <c r="AA9284" t="s">
        <v>2672</v>
      </c>
    </row>
    <row r="9285" spans="27:27">
      <c r="AA9285" t="s">
        <v>3832</v>
      </c>
    </row>
    <row r="9286" spans="27:27">
      <c r="AA9286" t="s">
        <v>10700</v>
      </c>
    </row>
    <row r="9287" spans="27:27">
      <c r="AA9287" t="s">
        <v>10701</v>
      </c>
    </row>
    <row r="9288" spans="27:27">
      <c r="AA9288" t="s">
        <v>10702</v>
      </c>
    </row>
    <row r="9289" spans="27:27">
      <c r="AA9289" t="s">
        <v>10703</v>
      </c>
    </row>
    <row r="9290" spans="27:27">
      <c r="AA9290" t="s">
        <v>10704</v>
      </c>
    </row>
    <row r="9291" spans="27:27">
      <c r="AA9291" t="s">
        <v>2673</v>
      </c>
    </row>
    <row r="9292" spans="27:27">
      <c r="AA9292" t="s">
        <v>3833</v>
      </c>
    </row>
    <row r="9293" spans="27:27">
      <c r="AA9293" t="s">
        <v>10705</v>
      </c>
    </row>
    <row r="9294" spans="27:27">
      <c r="AA9294" t="s">
        <v>10706</v>
      </c>
    </row>
    <row r="9295" spans="27:27">
      <c r="AA9295" t="s">
        <v>10707</v>
      </c>
    </row>
    <row r="9296" spans="27:27">
      <c r="AA9296" t="s">
        <v>10708</v>
      </c>
    </row>
    <row r="9297" spans="27:27">
      <c r="AA9297" t="s">
        <v>10709</v>
      </c>
    </row>
    <row r="9298" spans="27:27">
      <c r="AA9298" t="s">
        <v>2674</v>
      </c>
    </row>
    <row r="9299" spans="27:27">
      <c r="AA9299" t="s">
        <v>3834</v>
      </c>
    </row>
    <row r="9300" spans="27:27">
      <c r="AA9300" t="s">
        <v>10710</v>
      </c>
    </row>
    <row r="9301" spans="27:27">
      <c r="AA9301" t="s">
        <v>10711</v>
      </c>
    </row>
    <row r="9302" spans="27:27">
      <c r="AA9302" t="s">
        <v>10712</v>
      </c>
    </row>
    <row r="9303" spans="27:27">
      <c r="AA9303" t="s">
        <v>10713</v>
      </c>
    </row>
    <row r="9304" spans="27:27">
      <c r="AA9304" t="s">
        <v>10714</v>
      </c>
    </row>
    <row r="9305" spans="27:27">
      <c r="AA9305" t="s">
        <v>859</v>
      </c>
    </row>
    <row r="9306" spans="27:27">
      <c r="AA9306" t="s">
        <v>860</v>
      </c>
    </row>
    <row r="9307" spans="27:27">
      <c r="AA9307" t="s">
        <v>3835</v>
      </c>
    </row>
    <row r="9308" spans="27:27">
      <c r="AA9308" t="s">
        <v>10715</v>
      </c>
    </row>
    <row r="9309" spans="27:27">
      <c r="AA9309" t="s">
        <v>861</v>
      </c>
    </row>
    <row r="9310" spans="27:27">
      <c r="AA9310" t="s">
        <v>10716</v>
      </c>
    </row>
    <row r="9311" spans="27:27">
      <c r="AA9311" t="s">
        <v>10717</v>
      </c>
    </row>
    <row r="9312" spans="27:27">
      <c r="AA9312" t="s">
        <v>10718</v>
      </c>
    </row>
    <row r="9313" spans="27:27">
      <c r="AA9313" t="s">
        <v>10719</v>
      </c>
    </row>
    <row r="9314" spans="27:27">
      <c r="AA9314" t="s">
        <v>10720</v>
      </c>
    </row>
    <row r="9315" spans="27:27">
      <c r="AA9315" t="s">
        <v>10721</v>
      </c>
    </row>
    <row r="9316" spans="27:27">
      <c r="AA9316" t="s">
        <v>10722</v>
      </c>
    </row>
    <row r="9317" spans="27:27">
      <c r="AA9317" t="s">
        <v>10723</v>
      </c>
    </row>
    <row r="9318" spans="27:27">
      <c r="AA9318" t="s">
        <v>862</v>
      </c>
    </row>
    <row r="9319" spans="27:27">
      <c r="AA9319" t="s">
        <v>2675</v>
      </c>
    </row>
    <row r="9320" spans="27:27">
      <c r="AA9320" t="s">
        <v>3836</v>
      </c>
    </row>
    <row r="9321" spans="27:27">
      <c r="AA9321" t="s">
        <v>10724</v>
      </c>
    </row>
    <row r="9322" spans="27:27">
      <c r="AA9322" t="s">
        <v>10725</v>
      </c>
    </row>
    <row r="9323" spans="27:27">
      <c r="AA9323" t="s">
        <v>2676</v>
      </c>
    </row>
    <row r="9324" spans="27:27">
      <c r="AA9324" t="s">
        <v>10726</v>
      </c>
    </row>
    <row r="9325" spans="27:27">
      <c r="AA9325" t="s">
        <v>10727</v>
      </c>
    </row>
    <row r="9326" spans="27:27">
      <c r="AA9326" t="s">
        <v>10728</v>
      </c>
    </row>
    <row r="9327" spans="27:27">
      <c r="AA9327" t="s">
        <v>2677</v>
      </c>
    </row>
    <row r="9328" spans="27:27">
      <c r="AA9328" t="s">
        <v>3837</v>
      </c>
    </row>
    <row r="9329" spans="27:27">
      <c r="AA9329" t="s">
        <v>863</v>
      </c>
    </row>
    <row r="9330" spans="27:27">
      <c r="AA9330" t="s">
        <v>2678</v>
      </c>
    </row>
    <row r="9331" spans="27:27">
      <c r="AA9331" t="s">
        <v>3838</v>
      </c>
    </row>
    <row r="9332" spans="27:27">
      <c r="AA9332" t="s">
        <v>10729</v>
      </c>
    </row>
    <row r="9333" spans="27:27">
      <c r="AA9333" t="s">
        <v>10730</v>
      </c>
    </row>
    <row r="9334" spans="27:27">
      <c r="AA9334" t="s">
        <v>10731</v>
      </c>
    </row>
    <row r="9335" spans="27:27">
      <c r="AA9335" t="s">
        <v>10732</v>
      </c>
    </row>
    <row r="9336" spans="27:27">
      <c r="AA9336" t="s">
        <v>10733</v>
      </c>
    </row>
    <row r="9337" spans="27:27">
      <c r="AA9337" t="s">
        <v>2679</v>
      </c>
    </row>
    <row r="9338" spans="27:27">
      <c r="AA9338" t="s">
        <v>3839</v>
      </c>
    </row>
    <row r="9339" spans="27:27">
      <c r="AA9339" t="s">
        <v>10734</v>
      </c>
    </row>
    <row r="9340" spans="27:27">
      <c r="AA9340" t="s">
        <v>10735</v>
      </c>
    </row>
    <row r="9341" spans="27:27">
      <c r="AA9341" t="s">
        <v>10736</v>
      </c>
    </row>
    <row r="9342" spans="27:27">
      <c r="AA9342" t="s">
        <v>10737</v>
      </c>
    </row>
    <row r="9343" spans="27:27">
      <c r="AA9343" t="s">
        <v>10738</v>
      </c>
    </row>
    <row r="9344" spans="27:27">
      <c r="AA9344" t="s">
        <v>2680</v>
      </c>
    </row>
    <row r="9345" spans="27:27">
      <c r="AA9345" t="s">
        <v>3840</v>
      </c>
    </row>
    <row r="9346" spans="27:27">
      <c r="AA9346" t="s">
        <v>10739</v>
      </c>
    </row>
    <row r="9347" spans="27:27">
      <c r="AA9347" t="s">
        <v>10740</v>
      </c>
    </row>
    <row r="9348" spans="27:27">
      <c r="AA9348" t="s">
        <v>10741</v>
      </c>
    </row>
    <row r="9349" spans="27:27">
      <c r="AA9349" t="s">
        <v>10742</v>
      </c>
    </row>
    <row r="9350" spans="27:27">
      <c r="AA9350" t="s">
        <v>10743</v>
      </c>
    </row>
    <row r="9351" spans="27:27">
      <c r="AA9351" t="s">
        <v>10744</v>
      </c>
    </row>
    <row r="9352" spans="27:27">
      <c r="AA9352" t="s">
        <v>2681</v>
      </c>
    </row>
    <row r="9353" spans="27:27">
      <c r="AA9353" t="s">
        <v>3841</v>
      </c>
    </row>
    <row r="9354" spans="27:27">
      <c r="AA9354" t="s">
        <v>10745</v>
      </c>
    </row>
    <row r="9355" spans="27:27">
      <c r="AA9355" t="s">
        <v>10746</v>
      </c>
    </row>
    <row r="9356" spans="27:27">
      <c r="AA9356" t="s">
        <v>10747</v>
      </c>
    </row>
    <row r="9357" spans="27:27">
      <c r="AA9357" t="s">
        <v>2682</v>
      </c>
    </row>
    <row r="9358" spans="27:27">
      <c r="AA9358" t="s">
        <v>10748</v>
      </c>
    </row>
    <row r="9359" spans="27:27">
      <c r="AA9359" t="s">
        <v>10749</v>
      </c>
    </row>
    <row r="9360" spans="27:27">
      <c r="AA9360" t="s">
        <v>2683</v>
      </c>
    </row>
    <row r="9361" spans="27:27">
      <c r="AA9361" t="s">
        <v>3842</v>
      </c>
    </row>
    <row r="9362" spans="27:27">
      <c r="AA9362" t="s">
        <v>2684</v>
      </c>
    </row>
    <row r="9363" spans="27:27">
      <c r="AA9363" t="s">
        <v>3843</v>
      </c>
    </row>
    <row r="9364" spans="27:27">
      <c r="AA9364" t="s">
        <v>10750</v>
      </c>
    </row>
    <row r="9365" spans="27:27">
      <c r="AA9365" t="s">
        <v>10751</v>
      </c>
    </row>
    <row r="9366" spans="27:27">
      <c r="AA9366" t="s">
        <v>10752</v>
      </c>
    </row>
    <row r="9367" spans="27:27">
      <c r="AA9367" t="s">
        <v>10753</v>
      </c>
    </row>
    <row r="9368" spans="27:27">
      <c r="AA9368" t="s">
        <v>2685</v>
      </c>
    </row>
    <row r="9369" spans="27:27">
      <c r="AA9369" t="s">
        <v>3844</v>
      </c>
    </row>
    <row r="9370" spans="27:27">
      <c r="AA9370" t="s">
        <v>10754</v>
      </c>
    </row>
    <row r="9371" spans="27:27">
      <c r="AA9371" t="s">
        <v>10755</v>
      </c>
    </row>
    <row r="9372" spans="27:27">
      <c r="AA9372" t="s">
        <v>10756</v>
      </c>
    </row>
    <row r="9373" spans="27:27">
      <c r="AA9373" t="s">
        <v>10757</v>
      </c>
    </row>
    <row r="9374" spans="27:27">
      <c r="AA9374" t="s">
        <v>2686</v>
      </c>
    </row>
    <row r="9375" spans="27:27">
      <c r="AA9375" t="s">
        <v>3845</v>
      </c>
    </row>
    <row r="9376" spans="27:27">
      <c r="AA9376" t="s">
        <v>10758</v>
      </c>
    </row>
    <row r="9377" spans="27:27">
      <c r="AA9377" t="s">
        <v>3846</v>
      </c>
    </row>
    <row r="9378" spans="27:27">
      <c r="AA9378" t="s">
        <v>10759</v>
      </c>
    </row>
    <row r="9379" spans="27:27">
      <c r="AA9379" t="s">
        <v>10760</v>
      </c>
    </row>
    <row r="9380" spans="27:27">
      <c r="AA9380" t="s">
        <v>10761</v>
      </c>
    </row>
    <row r="9381" spans="27:27">
      <c r="AA9381" t="s">
        <v>10762</v>
      </c>
    </row>
    <row r="9382" spans="27:27">
      <c r="AA9382" t="s">
        <v>2687</v>
      </c>
    </row>
    <row r="9383" spans="27:27">
      <c r="AA9383" t="s">
        <v>3847</v>
      </c>
    </row>
    <row r="9384" spans="27:27">
      <c r="AA9384" t="s">
        <v>10763</v>
      </c>
    </row>
    <row r="9385" spans="27:27">
      <c r="AA9385" t="s">
        <v>10764</v>
      </c>
    </row>
    <row r="9386" spans="27:27">
      <c r="AA9386" t="s">
        <v>10765</v>
      </c>
    </row>
    <row r="9387" spans="27:27">
      <c r="AA9387" t="s">
        <v>10766</v>
      </c>
    </row>
    <row r="9388" spans="27:27">
      <c r="AA9388" t="s">
        <v>10767</v>
      </c>
    </row>
    <row r="9389" spans="27:27">
      <c r="AA9389" t="s">
        <v>2688</v>
      </c>
    </row>
    <row r="9390" spans="27:27">
      <c r="AA9390" t="s">
        <v>10768</v>
      </c>
    </row>
    <row r="9391" spans="27:27">
      <c r="AA9391" t="s">
        <v>10769</v>
      </c>
    </row>
    <row r="9392" spans="27:27">
      <c r="AA9392" t="s">
        <v>2689</v>
      </c>
    </row>
    <row r="9393" spans="27:27">
      <c r="AA9393" t="s">
        <v>10770</v>
      </c>
    </row>
    <row r="9394" spans="27:27">
      <c r="AA9394" t="s">
        <v>10771</v>
      </c>
    </row>
    <row r="9395" spans="27:27">
      <c r="AA9395" t="s">
        <v>2690</v>
      </c>
    </row>
    <row r="9396" spans="27:27">
      <c r="AA9396" t="s">
        <v>10772</v>
      </c>
    </row>
    <row r="9397" spans="27:27">
      <c r="AA9397" t="s">
        <v>10773</v>
      </c>
    </row>
    <row r="9398" spans="27:27">
      <c r="AA9398" t="s">
        <v>2691</v>
      </c>
    </row>
    <row r="9399" spans="27:27">
      <c r="AA9399" t="s">
        <v>10774</v>
      </c>
    </row>
    <row r="9400" spans="27:27">
      <c r="AA9400" t="s">
        <v>10775</v>
      </c>
    </row>
    <row r="9401" spans="27:27">
      <c r="AA9401" t="s">
        <v>2692</v>
      </c>
    </row>
    <row r="9402" spans="27:27">
      <c r="AA9402" t="s">
        <v>10776</v>
      </c>
    </row>
    <row r="9403" spans="27:27">
      <c r="AA9403" t="s">
        <v>2693</v>
      </c>
    </row>
    <row r="9404" spans="27:27">
      <c r="AA9404" t="s">
        <v>10777</v>
      </c>
    </row>
    <row r="9405" spans="27:27">
      <c r="AA9405" t="s">
        <v>2694</v>
      </c>
    </row>
    <row r="9406" spans="27:27">
      <c r="AA9406" t="s">
        <v>3848</v>
      </c>
    </row>
    <row r="9407" spans="27:27">
      <c r="AA9407" t="s">
        <v>10778</v>
      </c>
    </row>
    <row r="9408" spans="27:27">
      <c r="AA9408" t="s">
        <v>10779</v>
      </c>
    </row>
    <row r="9409" spans="27:27">
      <c r="AA9409" t="s">
        <v>2695</v>
      </c>
    </row>
    <row r="9410" spans="27:27">
      <c r="AA9410" t="s">
        <v>10780</v>
      </c>
    </row>
    <row r="9411" spans="27:27">
      <c r="AA9411" t="s">
        <v>10781</v>
      </c>
    </row>
    <row r="9412" spans="27:27">
      <c r="AA9412" t="s">
        <v>10782</v>
      </c>
    </row>
    <row r="9413" spans="27:27">
      <c r="AA9413" t="s">
        <v>10783</v>
      </c>
    </row>
    <row r="9414" spans="27:27">
      <c r="AA9414" t="s">
        <v>10784</v>
      </c>
    </row>
    <row r="9415" spans="27:27">
      <c r="AA9415" t="s">
        <v>10785</v>
      </c>
    </row>
    <row r="9416" spans="27:27">
      <c r="AA9416" t="s">
        <v>10786</v>
      </c>
    </row>
    <row r="9417" spans="27:27">
      <c r="AA9417" t="s">
        <v>10787</v>
      </c>
    </row>
    <row r="9418" spans="27:27">
      <c r="AA9418" t="s">
        <v>10788</v>
      </c>
    </row>
    <row r="9419" spans="27:27">
      <c r="AA9419" t="s">
        <v>2696</v>
      </c>
    </row>
    <row r="9420" spans="27:27">
      <c r="AA9420" t="s">
        <v>3849</v>
      </c>
    </row>
    <row r="9421" spans="27:27">
      <c r="AA9421" t="s">
        <v>2697</v>
      </c>
    </row>
    <row r="9422" spans="27:27">
      <c r="AA9422" t="s">
        <v>3850</v>
      </c>
    </row>
    <row r="9423" spans="27:27">
      <c r="AA9423" t="s">
        <v>10789</v>
      </c>
    </row>
    <row r="9424" spans="27:27">
      <c r="AA9424" t="s">
        <v>10790</v>
      </c>
    </row>
    <row r="9425" spans="27:27">
      <c r="AA9425" t="s">
        <v>10791</v>
      </c>
    </row>
    <row r="9426" spans="27:27">
      <c r="AA9426" t="s">
        <v>10792</v>
      </c>
    </row>
    <row r="9427" spans="27:27">
      <c r="AA9427" t="s">
        <v>10793</v>
      </c>
    </row>
    <row r="9428" spans="27:27">
      <c r="AA9428" t="s">
        <v>10794</v>
      </c>
    </row>
    <row r="9429" spans="27:27">
      <c r="AA9429" t="s">
        <v>10795</v>
      </c>
    </row>
    <row r="9430" spans="27:27">
      <c r="AA9430" t="s">
        <v>10796</v>
      </c>
    </row>
    <row r="9431" spans="27:27">
      <c r="AA9431" t="s">
        <v>10797</v>
      </c>
    </row>
    <row r="9432" spans="27:27">
      <c r="AA9432" t="s">
        <v>2698</v>
      </c>
    </row>
    <row r="9433" spans="27:27">
      <c r="AA9433" t="s">
        <v>10798</v>
      </c>
    </row>
    <row r="9434" spans="27:27">
      <c r="AA9434" t="s">
        <v>2699</v>
      </c>
    </row>
    <row r="9435" spans="27:27">
      <c r="AA9435" t="s">
        <v>3851</v>
      </c>
    </row>
    <row r="9436" spans="27:27">
      <c r="AA9436" t="s">
        <v>10799</v>
      </c>
    </row>
    <row r="9437" spans="27:27">
      <c r="AA9437" t="s">
        <v>10800</v>
      </c>
    </row>
    <row r="9438" spans="27:27">
      <c r="AA9438" t="s">
        <v>10801</v>
      </c>
    </row>
    <row r="9439" spans="27:27">
      <c r="AA9439" t="s">
        <v>10802</v>
      </c>
    </row>
    <row r="9440" spans="27:27">
      <c r="AA9440" t="s">
        <v>10803</v>
      </c>
    </row>
    <row r="9441" spans="27:27">
      <c r="AA9441" t="s">
        <v>10804</v>
      </c>
    </row>
    <row r="9442" spans="27:27">
      <c r="AA9442" t="s">
        <v>10805</v>
      </c>
    </row>
    <row r="9443" spans="27:27">
      <c r="AA9443" t="s">
        <v>10806</v>
      </c>
    </row>
    <row r="9444" spans="27:27">
      <c r="AA9444" t="s">
        <v>2700</v>
      </c>
    </row>
    <row r="9445" spans="27:27">
      <c r="AA9445" t="s">
        <v>3852</v>
      </c>
    </row>
    <row r="9446" spans="27:27">
      <c r="AA9446" t="s">
        <v>10807</v>
      </c>
    </row>
    <row r="9447" spans="27:27">
      <c r="AA9447" t="s">
        <v>10808</v>
      </c>
    </row>
    <row r="9448" spans="27:27">
      <c r="AA9448" t="s">
        <v>10809</v>
      </c>
    </row>
    <row r="9449" spans="27:27">
      <c r="AA9449" t="s">
        <v>10810</v>
      </c>
    </row>
    <row r="9450" spans="27:27">
      <c r="AA9450" t="s">
        <v>10811</v>
      </c>
    </row>
    <row r="9451" spans="27:27">
      <c r="AA9451" t="s">
        <v>10812</v>
      </c>
    </row>
    <row r="9452" spans="27:27">
      <c r="AA9452" t="s">
        <v>10813</v>
      </c>
    </row>
    <row r="9453" spans="27:27">
      <c r="AA9453" t="s">
        <v>2701</v>
      </c>
    </row>
    <row r="9454" spans="27:27">
      <c r="AA9454" t="s">
        <v>10814</v>
      </c>
    </row>
    <row r="9455" spans="27:27">
      <c r="AA9455" t="s">
        <v>2702</v>
      </c>
    </row>
    <row r="9456" spans="27:27">
      <c r="AA9456" t="s">
        <v>3853</v>
      </c>
    </row>
    <row r="9457" spans="27:27">
      <c r="AA9457" t="s">
        <v>10815</v>
      </c>
    </row>
    <row r="9458" spans="27:27">
      <c r="AA9458" t="s">
        <v>10816</v>
      </c>
    </row>
    <row r="9459" spans="27:27">
      <c r="AA9459" t="s">
        <v>10817</v>
      </c>
    </row>
    <row r="9460" spans="27:27">
      <c r="AA9460" t="s">
        <v>10818</v>
      </c>
    </row>
    <row r="9461" spans="27:27">
      <c r="AA9461" t="s">
        <v>10819</v>
      </c>
    </row>
    <row r="9462" spans="27:27">
      <c r="AA9462" t="s">
        <v>10820</v>
      </c>
    </row>
    <row r="9463" spans="27:27">
      <c r="AA9463" t="s">
        <v>10821</v>
      </c>
    </row>
    <row r="9464" spans="27:27">
      <c r="AA9464" t="s">
        <v>2703</v>
      </c>
    </row>
    <row r="9465" spans="27:27">
      <c r="AA9465" t="s">
        <v>10822</v>
      </c>
    </row>
    <row r="9466" spans="27:27">
      <c r="AA9466" t="s">
        <v>2704</v>
      </c>
    </row>
    <row r="9467" spans="27:27">
      <c r="AA9467" t="s">
        <v>3854</v>
      </c>
    </row>
    <row r="9468" spans="27:27">
      <c r="AA9468" t="s">
        <v>10823</v>
      </c>
    </row>
    <row r="9469" spans="27:27">
      <c r="AA9469" t="s">
        <v>10824</v>
      </c>
    </row>
    <row r="9470" spans="27:27">
      <c r="AA9470" t="s">
        <v>10825</v>
      </c>
    </row>
    <row r="9471" spans="27:27">
      <c r="AA9471" t="s">
        <v>10826</v>
      </c>
    </row>
    <row r="9472" spans="27:27">
      <c r="AA9472" t="s">
        <v>10827</v>
      </c>
    </row>
    <row r="9473" spans="27:27">
      <c r="AA9473" t="s">
        <v>10828</v>
      </c>
    </row>
    <row r="9474" spans="27:27">
      <c r="AA9474" t="s">
        <v>10829</v>
      </c>
    </row>
    <row r="9475" spans="27:27">
      <c r="AA9475" t="s">
        <v>10830</v>
      </c>
    </row>
    <row r="9476" spans="27:27">
      <c r="AA9476" t="s">
        <v>2705</v>
      </c>
    </row>
    <row r="9477" spans="27:27">
      <c r="AA9477" t="s">
        <v>3855</v>
      </c>
    </row>
    <row r="9478" spans="27:27">
      <c r="AA9478" t="s">
        <v>10831</v>
      </c>
    </row>
    <row r="9479" spans="27:27">
      <c r="AA9479" t="s">
        <v>10832</v>
      </c>
    </row>
    <row r="9480" spans="27:27">
      <c r="AA9480" t="s">
        <v>10833</v>
      </c>
    </row>
    <row r="9481" spans="27:27">
      <c r="AA9481" t="s">
        <v>10834</v>
      </c>
    </row>
    <row r="9482" spans="27:27">
      <c r="AA9482" t="s">
        <v>10835</v>
      </c>
    </row>
    <row r="9483" spans="27:27">
      <c r="AA9483" t="s">
        <v>10836</v>
      </c>
    </row>
    <row r="9484" spans="27:27">
      <c r="AA9484" t="s">
        <v>10837</v>
      </c>
    </row>
    <row r="9485" spans="27:27">
      <c r="AA9485" t="s">
        <v>2706</v>
      </c>
    </row>
    <row r="9486" spans="27:27">
      <c r="AA9486" t="s">
        <v>10838</v>
      </c>
    </row>
    <row r="9487" spans="27:27">
      <c r="AA9487" t="s">
        <v>2707</v>
      </c>
    </row>
    <row r="9488" spans="27:27">
      <c r="AA9488" t="s">
        <v>3856</v>
      </c>
    </row>
    <row r="9489" spans="27:27">
      <c r="AA9489" t="s">
        <v>10839</v>
      </c>
    </row>
    <row r="9490" spans="27:27">
      <c r="AA9490" t="s">
        <v>10840</v>
      </c>
    </row>
    <row r="9491" spans="27:27">
      <c r="AA9491" t="s">
        <v>10841</v>
      </c>
    </row>
    <row r="9492" spans="27:27">
      <c r="AA9492" t="s">
        <v>10842</v>
      </c>
    </row>
    <row r="9493" spans="27:27">
      <c r="AA9493" t="s">
        <v>10843</v>
      </c>
    </row>
    <row r="9494" spans="27:27">
      <c r="AA9494" t="s">
        <v>10844</v>
      </c>
    </row>
    <row r="9495" spans="27:27">
      <c r="AA9495" t="s">
        <v>10845</v>
      </c>
    </row>
    <row r="9496" spans="27:27">
      <c r="AA9496" t="s">
        <v>2708</v>
      </c>
    </row>
    <row r="9497" spans="27:27">
      <c r="AA9497" t="s">
        <v>10846</v>
      </c>
    </row>
    <row r="9498" spans="27:27">
      <c r="AA9498" t="s">
        <v>2709</v>
      </c>
    </row>
    <row r="9499" spans="27:27">
      <c r="AA9499" t="s">
        <v>3857</v>
      </c>
    </row>
    <row r="9500" spans="27:27">
      <c r="AA9500" t="s">
        <v>10847</v>
      </c>
    </row>
    <row r="9501" spans="27:27">
      <c r="AA9501" t="s">
        <v>2710</v>
      </c>
    </row>
    <row r="9502" spans="27:27">
      <c r="AA9502" t="s">
        <v>10848</v>
      </c>
    </row>
    <row r="9503" spans="27:27">
      <c r="AA9503" t="s">
        <v>10849</v>
      </c>
    </row>
    <row r="9504" spans="27:27">
      <c r="AA9504" t="s">
        <v>10850</v>
      </c>
    </row>
    <row r="9505" spans="27:27">
      <c r="AA9505" t="s">
        <v>2711</v>
      </c>
    </row>
    <row r="9506" spans="27:27">
      <c r="AA9506" t="s">
        <v>10851</v>
      </c>
    </row>
    <row r="9507" spans="27:27">
      <c r="AA9507" t="s">
        <v>2712</v>
      </c>
    </row>
    <row r="9508" spans="27:27">
      <c r="AA9508" t="s">
        <v>3858</v>
      </c>
    </row>
    <row r="9509" spans="27:27">
      <c r="AA9509" t="s">
        <v>10852</v>
      </c>
    </row>
    <row r="9510" spans="27:27">
      <c r="AA9510" t="s">
        <v>10853</v>
      </c>
    </row>
    <row r="9511" spans="27:27">
      <c r="AA9511" t="s">
        <v>2713</v>
      </c>
    </row>
    <row r="9512" spans="27:27">
      <c r="AA9512" t="s">
        <v>3859</v>
      </c>
    </row>
    <row r="9513" spans="27:27">
      <c r="AA9513" t="s">
        <v>10854</v>
      </c>
    </row>
    <row r="9514" spans="27:27">
      <c r="AA9514" t="s">
        <v>10855</v>
      </c>
    </row>
    <row r="9515" spans="27:27">
      <c r="AA9515" t="s">
        <v>10856</v>
      </c>
    </row>
    <row r="9516" spans="27:27">
      <c r="AA9516" t="s">
        <v>2714</v>
      </c>
    </row>
    <row r="9517" spans="27:27">
      <c r="AA9517" t="s">
        <v>3860</v>
      </c>
    </row>
    <row r="9518" spans="27:27">
      <c r="AA9518" t="s">
        <v>10857</v>
      </c>
    </row>
    <row r="9519" spans="27:27">
      <c r="AA9519" t="s">
        <v>10858</v>
      </c>
    </row>
    <row r="9520" spans="27:27">
      <c r="AA9520" t="s">
        <v>2715</v>
      </c>
    </row>
    <row r="9521" spans="27:27">
      <c r="AA9521" t="s">
        <v>10859</v>
      </c>
    </row>
    <row r="9522" spans="27:27">
      <c r="AA9522" t="s">
        <v>10860</v>
      </c>
    </row>
    <row r="9523" spans="27:27">
      <c r="AA9523" t="s">
        <v>10861</v>
      </c>
    </row>
    <row r="9524" spans="27:27">
      <c r="AA9524" t="s">
        <v>10862</v>
      </c>
    </row>
    <row r="9525" spans="27:27">
      <c r="AA9525" t="s">
        <v>2716</v>
      </c>
    </row>
    <row r="9526" spans="27:27">
      <c r="AA9526" t="s">
        <v>3861</v>
      </c>
    </row>
    <row r="9527" spans="27:27">
      <c r="AA9527" t="s">
        <v>2717</v>
      </c>
    </row>
    <row r="9528" spans="27:27">
      <c r="AA9528" t="s">
        <v>3862</v>
      </c>
    </row>
    <row r="9529" spans="27:27">
      <c r="AA9529" t="s">
        <v>10863</v>
      </c>
    </row>
    <row r="9530" spans="27:27">
      <c r="AA9530" t="s">
        <v>2718</v>
      </c>
    </row>
    <row r="9531" spans="27:27">
      <c r="AA9531" t="s">
        <v>10864</v>
      </c>
    </row>
    <row r="9532" spans="27:27">
      <c r="AA9532" t="s">
        <v>10865</v>
      </c>
    </row>
    <row r="9533" spans="27:27">
      <c r="AA9533" t="s">
        <v>2719</v>
      </c>
    </row>
    <row r="9534" spans="27:27">
      <c r="AA9534" t="s">
        <v>3863</v>
      </c>
    </row>
    <row r="9535" spans="27:27">
      <c r="AA9535" t="s">
        <v>10866</v>
      </c>
    </row>
    <row r="9536" spans="27:27">
      <c r="AA9536" t="s">
        <v>10867</v>
      </c>
    </row>
    <row r="9537" spans="27:27">
      <c r="AA9537" t="s">
        <v>10868</v>
      </c>
    </row>
    <row r="9538" spans="27:27">
      <c r="AA9538" t="s">
        <v>2720</v>
      </c>
    </row>
    <row r="9539" spans="27:27">
      <c r="AA9539" t="s">
        <v>3864</v>
      </c>
    </row>
    <row r="9540" spans="27:27">
      <c r="AA9540" t="s">
        <v>2721</v>
      </c>
    </row>
    <row r="9541" spans="27:27">
      <c r="AA9541" t="s">
        <v>10869</v>
      </c>
    </row>
    <row r="9542" spans="27:27">
      <c r="AA9542" t="s">
        <v>10870</v>
      </c>
    </row>
    <row r="9543" spans="27:27">
      <c r="AA9543" t="s">
        <v>10871</v>
      </c>
    </row>
    <row r="9544" spans="27:27">
      <c r="AA9544" t="s">
        <v>10872</v>
      </c>
    </row>
    <row r="9545" spans="27:27">
      <c r="AA9545" t="s">
        <v>2722</v>
      </c>
    </row>
    <row r="9546" spans="27:27">
      <c r="AA9546" t="s">
        <v>3865</v>
      </c>
    </row>
    <row r="9547" spans="27:27">
      <c r="AA9547" t="s">
        <v>2723</v>
      </c>
    </row>
    <row r="9548" spans="27:27">
      <c r="AA9548" t="s">
        <v>10873</v>
      </c>
    </row>
    <row r="9549" spans="27:27">
      <c r="AA9549" t="s">
        <v>2724</v>
      </c>
    </row>
    <row r="9550" spans="27:27">
      <c r="AA9550" t="s">
        <v>10874</v>
      </c>
    </row>
    <row r="9551" spans="27:27">
      <c r="AA9551" t="s">
        <v>2725</v>
      </c>
    </row>
    <row r="9552" spans="27:27">
      <c r="AA9552" t="s">
        <v>864</v>
      </c>
    </row>
    <row r="9553" spans="27:27">
      <c r="AA9553" t="s">
        <v>2726</v>
      </c>
    </row>
    <row r="9554" spans="27:27">
      <c r="AA9554" t="s">
        <v>10875</v>
      </c>
    </row>
    <row r="9555" spans="27:27">
      <c r="AA9555" t="s">
        <v>865</v>
      </c>
    </row>
    <row r="9556" spans="27:27">
      <c r="AA9556" t="s">
        <v>866</v>
      </c>
    </row>
    <row r="9557" spans="27:27">
      <c r="AA9557" t="s">
        <v>867</v>
      </c>
    </row>
    <row r="9558" spans="27:27">
      <c r="AA9558" t="s">
        <v>868</v>
      </c>
    </row>
    <row r="9559" spans="27:27">
      <c r="AA9559" t="s">
        <v>10876</v>
      </c>
    </row>
    <row r="9560" spans="27:27">
      <c r="AA9560" t="s">
        <v>2727</v>
      </c>
    </row>
    <row r="9561" spans="27:27">
      <c r="AA9561" t="s">
        <v>3866</v>
      </c>
    </row>
    <row r="9562" spans="27:27">
      <c r="AA9562" t="s">
        <v>2728</v>
      </c>
    </row>
    <row r="9563" spans="27:27">
      <c r="AA9563" t="s">
        <v>3867</v>
      </c>
    </row>
    <row r="9564" spans="27:27">
      <c r="AA9564" t="s">
        <v>869</v>
      </c>
    </row>
    <row r="9565" spans="27:27">
      <c r="AA9565" t="s">
        <v>10877</v>
      </c>
    </row>
    <row r="9566" spans="27:27">
      <c r="AA9566" t="s">
        <v>870</v>
      </c>
    </row>
    <row r="9567" spans="27:27">
      <c r="AA9567" t="s">
        <v>10878</v>
      </c>
    </row>
    <row r="9568" spans="27:27">
      <c r="AA9568" t="s">
        <v>10879</v>
      </c>
    </row>
    <row r="9569" spans="27:27">
      <c r="AA9569" t="s">
        <v>10880</v>
      </c>
    </row>
    <row r="9570" spans="27:27">
      <c r="AA9570" t="s">
        <v>10881</v>
      </c>
    </row>
    <row r="9571" spans="27:27">
      <c r="AA9571" t="s">
        <v>871</v>
      </c>
    </row>
    <row r="9572" spans="27:27">
      <c r="AA9572" t="s">
        <v>10882</v>
      </c>
    </row>
    <row r="9573" spans="27:27">
      <c r="AA9573" t="s">
        <v>872</v>
      </c>
    </row>
    <row r="9574" spans="27:27">
      <c r="AA9574" t="s">
        <v>3868</v>
      </c>
    </row>
    <row r="9575" spans="27:27">
      <c r="AA9575" t="s">
        <v>10883</v>
      </c>
    </row>
    <row r="9576" spans="27:27">
      <c r="AA9576" t="s">
        <v>2729</v>
      </c>
    </row>
    <row r="9577" spans="27:27">
      <c r="AA9577" t="s">
        <v>3869</v>
      </c>
    </row>
    <row r="9578" spans="27:27">
      <c r="AA9578" t="s">
        <v>10884</v>
      </c>
    </row>
    <row r="9579" spans="27:27">
      <c r="AA9579" t="s">
        <v>3870</v>
      </c>
    </row>
    <row r="9580" spans="27:27">
      <c r="AA9580" t="s">
        <v>10885</v>
      </c>
    </row>
    <row r="9581" spans="27:27">
      <c r="AA9581" t="s">
        <v>10886</v>
      </c>
    </row>
    <row r="9582" spans="27:27">
      <c r="AA9582" t="s">
        <v>10887</v>
      </c>
    </row>
    <row r="9583" spans="27:27">
      <c r="AA9583" t="s">
        <v>10888</v>
      </c>
    </row>
    <row r="9584" spans="27:27">
      <c r="AA9584" t="s">
        <v>10889</v>
      </c>
    </row>
    <row r="9585" spans="27:27">
      <c r="AA9585" t="s">
        <v>10890</v>
      </c>
    </row>
    <row r="9586" spans="27:27">
      <c r="AA9586" t="s">
        <v>2730</v>
      </c>
    </row>
    <row r="9587" spans="27:27">
      <c r="AA9587" t="s">
        <v>10891</v>
      </c>
    </row>
    <row r="9588" spans="27:27">
      <c r="AA9588" t="s">
        <v>10892</v>
      </c>
    </row>
    <row r="9589" spans="27:27">
      <c r="AA9589" t="s">
        <v>10893</v>
      </c>
    </row>
    <row r="9590" spans="27:27">
      <c r="AA9590" t="s">
        <v>10894</v>
      </c>
    </row>
    <row r="9591" spans="27:27">
      <c r="AA9591" t="s">
        <v>10895</v>
      </c>
    </row>
    <row r="9592" spans="27:27">
      <c r="AA9592" t="s">
        <v>10896</v>
      </c>
    </row>
    <row r="9593" spans="27:27">
      <c r="AA9593" t="s">
        <v>2731</v>
      </c>
    </row>
    <row r="9594" spans="27:27">
      <c r="AA9594" t="s">
        <v>10897</v>
      </c>
    </row>
    <row r="9595" spans="27:27">
      <c r="AA9595" t="s">
        <v>10898</v>
      </c>
    </row>
    <row r="9596" spans="27:27">
      <c r="AA9596" t="s">
        <v>10899</v>
      </c>
    </row>
    <row r="9597" spans="27:27">
      <c r="AA9597" t="s">
        <v>2732</v>
      </c>
    </row>
    <row r="9598" spans="27:27">
      <c r="AA9598" t="s">
        <v>3871</v>
      </c>
    </row>
    <row r="9599" spans="27:27">
      <c r="AA9599" t="s">
        <v>10900</v>
      </c>
    </row>
    <row r="9600" spans="27:27">
      <c r="AA9600" t="s">
        <v>10901</v>
      </c>
    </row>
    <row r="9601" spans="27:27">
      <c r="AA9601" t="s">
        <v>10902</v>
      </c>
    </row>
    <row r="9602" spans="27:27">
      <c r="AA9602" t="s">
        <v>10903</v>
      </c>
    </row>
    <row r="9603" spans="27:27">
      <c r="AA9603" t="s">
        <v>2733</v>
      </c>
    </row>
    <row r="9604" spans="27:27">
      <c r="AA9604" t="s">
        <v>10904</v>
      </c>
    </row>
    <row r="9605" spans="27:27">
      <c r="AA9605" t="s">
        <v>10905</v>
      </c>
    </row>
    <row r="9606" spans="27:27">
      <c r="AA9606" t="s">
        <v>10906</v>
      </c>
    </row>
    <row r="9607" spans="27:27">
      <c r="AA9607" t="s">
        <v>10907</v>
      </c>
    </row>
    <row r="9608" spans="27:27">
      <c r="AA9608" t="s">
        <v>2734</v>
      </c>
    </row>
    <row r="9609" spans="27:27">
      <c r="AA9609" t="s">
        <v>10908</v>
      </c>
    </row>
    <row r="9610" spans="27:27">
      <c r="AA9610" t="s">
        <v>2735</v>
      </c>
    </row>
    <row r="9611" spans="27:27">
      <c r="AA9611" t="s">
        <v>10909</v>
      </c>
    </row>
    <row r="9612" spans="27:27">
      <c r="AA9612" t="s">
        <v>2736</v>
      </c>
    </row>
    <row r="9613" spans="27:27">
      <c r="AA9613" t="s">
        <v>10910</v>
      </c>
    </row>
    <row r="9614" spans="27:27">
      <c r="AA9614" t="s">
        <v>10911</v>
      </c>
    </row>
    <row r="9615" spans="27:27">
      <c r="AA9615" t="s">
        <v>2737</v>
      </c>
    </row>
    <row r="9616" spans="27:27">
      <c r="AA9616" t="s">
        <v>3872</v>
      </c>
    </row>
    <row r="9617" spans="27:27">
      <c r="AA9617" t="s">
        <v>2738</v>
      </c>
    </row>
    <row r="9618" spans="27:27">
      <c r="AA9618" t="s">
        <v>3873</v>
      </c>
    </row>
    <row r="9619" spans="27:27">
      <c r="AA9619" t="s">
        <v>10912</v>
      </c>
    </row>
    <row r="9620" spans="27:27">
      <c r="AA9620" t="s">
        <v>10913</v>
      </c>
    </row>
    <row r="9621" spans="27:27">
      <c r="AA9621" t="s">
        <v>10914</v>
      </c>
    </row>
    <row r="9622" spans="27:27">
      <c r="AA9622" t="s">
        <v>2739</v>
      </c>
    </row>
    <row r="9623" spans="27:27">
      <c r="AA9623" t="s">
        <v>3874</v>
      </c>
    </row>
    <row r="9624" spans="27:27">
      <c r="AA9624" t="s">
        <v>10915</v>
      </c>
    </row>
    <row r="9625" spans="27:27">
      <c r="AA9625" t="s">
        <v>10916</v>
      </c>
    </row>
    <row r="9626" spans="27:27">
      <c r="AA9626" t="s">
        <v>10917</v>
      </c>
    </row>
    <row r="9627" spans="27:27">
      <c r="AA9627" t="s">
        <v>2740</v>
      </c>
    </row>
    <row r="9628" spans="27:27">
      <c r="AA9628" t="s">
        <v>3875</v>
      </c>
    </row>
    <row r="9629" spans="27:27">
      <c r="AA9629" t="s">
        <v>10918</v>
      </c>
    </row>
    <row r="9630" spans="27:27">
      <c r="AA9630" t="s">
        <v>2741</v>
      </c>
    </row>
    <row r="9631" spans="27:27">
      <c r="AA9631" t="s">
        <v>10919</v>
      </c>
    </row>
    <row r="9632" spans="27:27">
      <c r="AA9632" t="s">
        <v>10920</v>
      </c>
    </row>
    <row r="9633" spans="27:27">
      <c r="AA9633" t="s">
        <v>10921</v>
      </c>
    </row>
    <row r="9634" spans="27:27">
      <c r="AA9634" t="s">
        <v>10922</v>
      </c>
    </row>
    <row r="9635" spans="27:27">
      <c r="AA9635" t="s">
        <v>10923</v>
      </c>
    </row>
    <row r="9636" spans="27:27">
      <c r="AA9636" t="s">
        <v>2742</v>
      </c>
    </row>
    <row r="9637" spans="27:27">
      <c r="AA9637" t="s">
        <v>3876</v>
      </c>
    </row>
    <row r="9638" spans="27:27">
      <c r="AA9638" t="s">
        <v>2743</v>
      </c>
    </row>
    <row r="9639" spans="27:27">
      <c r="AA9639" t="s">
        <v>10924</v>
      </c>
    </row>
    <row r="9640" spans="27:27">
      <c r="AA9640" t="s">
        <v>2744</v>
      </c>
    </row>
    <row r="9641" spans="27:27">
      <c r="AA9641" t="s">
        <v>10925</v>
      </c>
    </row>
    <row r="9642" spans="27:27">
      <c r="AA9642" t="s">
        <v>10926</v>
      </c>
    </row>
    <row r="9643" spans="27:27">
      <c r="AA9643" t="s">
        <v>10927</v>
      </c>
    </row>
    <row r="9644" spans="27:27">
      <c r="AA9644" t="s">
        <v>10928</v>
      </c>
    </row>
    <row r="9645" spans="27:27">
      <c r="AA9645" t="s">
        <v>10929</v>
      </c>
    </row>
    <row r="9646" spans="27:27">
      <c r="AA9646" t="s">
        <v>10930</v>
      </c>
    </row>
    <row r="9647" spans="27:27">
      <c r="AA9647" t="s">
        <v>2745</v>
      </c>
    </row>
    <row r="9648" spans="27:27">
      <c r="AA9648" t="s">
        <v>10931</v>
      </c>
    </row>
    <row r="9649" spans="27:27">
      <c r="AA9649" t="s">
        <v>2746</v>
      </c>
    </row>
    <row r="9650" spans="27:27">
      <c r="AA9650" t="s">
        <v>10932</v>
      </c>
    </row>
    <row r="9651" spans="27:27">
      <c r="AA9651" t="s">
        <v>10933</v>
      </c>
    </row>
    <row r="9652" spans="27:27">
      <c r="AA9652" t="s">
        <v>2747</v>
      </c>
    </row>
    <row r="9653" spans="27:27">
      <c r="AA9653" t="s">
        <v>3877</v>
      </c>
    </row>
    <row r="9654" spans="27:27">
      <c r="AA9654" t="s">
        <v>2748</v>
      </c>
    </row>
    <row r="9655" spans="27:27">
      <c r="AA9655" t="s">
        <v>10934</v>
      </c>
    </row>
    <row r="9656" spans="27:27">
      <c r="AA9656" t="s">
        <v>10935</v>
      </c>
    </row>
    <row r="9657" spans="27:27">
      <c r="AA9657" t="s">
        <v>10936</v>
      </c>
    </row>
    <row r="9658" spans="27:27">
      <c r="AA9658" t="s">
        <v>10937</v>
      </c>
    </row>
    <row r="9659" spans="27:27">
      <c r="AA9659" t="s">
        <v>10938</v>
      </c>
    </row>
    <row r="9660" spans="27:27">
      <c r="AA9660" t="s">
        <v>10939</v>
      </c>
    </row>
    <row r="9661" spans="27:27">
      <c r="AA9661" t="s">
        <v>10940</v>
      </c>
    </row>
    <row r="9662" spans="27:27">
      <c r="AA9662" t="s">
        <v>2749</v>
      </c>
    </row>
    <row r="9663" spans="27:27">
      <c r="AA9663" t="s">
        <v>10941</v>
      </c>
    </row>
    <row r="9664" spans="27:27">
      <c r="AA9664" t="s">
        <v>10942</v>
      </c>
    </row>
    <row r="9665" spans="27:27">
      <c r="AA9665" t="s">
        <v>10943</v>
      </c>
    </row>
    <row r="9666" spans="27:27">
      <c r="AA9666" t="s">
        <v>10944</v>
      </c>
    </row>
    <row r="9667" spans="27:27">
      <c r="AA9667" t="s">
        <v>2750</v>
      </c>
    </row>
    <row r="9668" spans="27:27">
      <c r="AA9668" t="s">
        <v>10945</v>
      </c>
    </row>
    <row r="9669" spans="27:27">
      <c r="AA9669" t="s">
        <v>3878</v>
      </c>
    </row>
    <row r="9670" spans="27:27">
      <c r="AA9670" t="s">
        <v>873</v>
      </c>
    </row>
    <row r="9671" spans="27:27">
      <c r="AA9671" t="s">
        <v>874</v>
      </c>
    </row>
    <row r="9672" spans="27:27">
      <c r="AA9672" t="s">
        <v>875</v>
      </c>
    </row>
    <row r="9673" spans="27:27">
      <c r="AA9673" t="s">
        <v>876</v>
      </c>
    </row>
    <row r="9674" spans="27:27">
      <c r="AA9674" t="s">
        <v>877</v>
      </c>
    </row>
    <row r="9675" spans="27:27">
      <c r="AA9675" t="s">
        <v>878</v>
      </c>
    </row>
    <row r="9676" spans="27:27">
      <c r="AA9676" t="s">
        <v>879</v>
      </c>
    </row>
    <row r="9677" spans="27:27">
      <c r="AA9677" t="s">
        <v>880</v>
      </c>
    </row>
    <row r="9678" spans="27:27">
      <c r="AA9678" t="s">
        <v>881</v>
      </c>
    </row>
    <row r="9679" spans="27:27">
      <c r="AA9679" t="s">
        <v>10946</v>
      </c>
    </row>
    <row r="9680" spans="27:27">
      <c r="AA9680" t="s">
        <v>882</v>
      </c>
    </row>
    <row r="9681" spans="27:27">
      <c r="AA9681" t="s">
        <v>883</v>
      </c>
    </row>
    <row r="9682" spans="27:27">
      <c r="AA9682" t="s">
        <v>884</v>
      </c>
    </row>
    <row r="9683" spans="27:27">
      <c r="AA9683" t="s">
        <v>10947</v>
      </c>
    </row>
    <row r="9684" spans="27:27">
      <c r="AA9684" t="s">
        <v>10948</v>
      </c>
    </row>
    <row r="9685" spans="27:27">
      <c r="AA9685" t="s">
        <v>10949</v>
      </c>
    </row>
    <row r="9686" spans="27:27">
      <c r="AA9686" t="s">
        <v>10950</v>
      </c>
    </row>
    <row r="9687" spans="27:27">
      <c r="AA9687" t="s">
        <v>10951</v>
      </c>
    </row>
    <row r="9688" spans="27:27">
      <c r="AA9688" t="s">
        <v>10952</v>
      </c>
    </row>
    <row r="9689" spans="27:27">
      <c r="AA9689" t="s">
        <v>10953</v>
      </c>
    </row>
    <row r="9690" spans="27:27">
      <c r="AA9690" t="s">
        <v>10954</v>
      </c>
    </row>
    <row r="9691" spans="27:27">
      <c r="AA9691" t="s">
        <v>10955</v>
      </c>
    </row>
    <row r="9692" spans="27:27">
      <c r="AA9692" t="s">
        <v>10956</v>
      </c>
    </row>
    <row r="9693" spans="27:27">
      <c r="AA9693" t="s">
        <v>10957</v>
      </c>
    </row>
    <row r="9694" spans="27:27">
      <c r="AA9694" t="s">
        <v>10958</v>
      </c>
    </row>
    <row r="9695" spans="27:27">
      <c r="AA9695" t="s">
        <v>10959</v>
      </c>
    </row>
    <row r="9696" spans="27:27">
      <c r="AA9696" t="s">
        <v>10960</v>
      </c>
    </row>
    <row r="9697" spans="27:27">
      <c r="AA9697" t="s">
        <v>10961</v>
      </c>
    </row>
    <row r="9698" spans="27:27">
      <c r="AA9698" t="s">
        <v>10962</v>
      </c>
    </row>
    <row r="9699" spans="27:27">
      <c r="AA9699" t="s">
        <v>885</v>
      </c>
    </row>
    <row r="9700" spans="27:27">
      <c r="AA9700" t="s">
        <v>10963</v>
      </c>
    </row>
    <row r="9701" spans="27:27">
      <c r="AA9701" t="s">
        <v>10964</v>
      </c>
    </row>
    <row r="9702" spans="27:27">
      <c r="AA9702" t="s">
        <v>886</v>
      </c>
    </row>
    <row r="9703" spans="27:27">
      <c r="AA9703" t="s">
        <v>10965</v>
      </c>
    </row>
    <row r="9704" spans="27:27">
      <c r="AA9704" t="s">
        <v>887</v>
      </c>
    </row>
    <row r="9705" spans="27:27">
      <c r="AA9705" t="s">
        <v>10966</v>
      </c>
    </row>
    <row r="9706" spans="27:27">
      <c r="AA9706" t="s">
        <v>888</v>
      </c>
    </row>
    <row r="9707" spans="27:27">
      <c r="AA9707" t="s">
        <v>10967</v>
      </c>
    </row>
    <row r="9708" spans="27:27">
      <c r="AA9708" t="s">
        <v>10968</v>
      </c>
    </row>
    <row r="9709" spans="27:27">
      <c r="AA9709" t="s">
        <v>889</v>
      </c>
    </row>
    <row r="9710" spans="27:27">
      <c r="AA9710" t="s">
        <v>890</v>
      </c>
    </row>
    <row r="9711" spans="27:27">
      <c r="AA9711" t="s">
        <v>891</v>
      </c>
    </row>
    <row r="9712" spans="27:27">
      <c r="AA9712" t="s">
        <v>892</v>
      </c>
    </row>
    <row r="9713" spans="27:27">
      <c r="AA9713" t="s">
        <v>10969</v>
      </c>
    </row>
    <row r="9714" spans="27:27">
      <c r="AA9714" t="s">
        <v>10970</v>
      </c>
    </row>
    <row r="9715" spans="27:27">
      <c r="AA9715" t="s">
        <v>10971</v>
      </c>
    </row>
    <row r="9716" spans="27:27">
      <c r="AA9716" t="s">
        <v>10972</v>
      </c>
    </row>
    <row r="9717" spans="27:27">
      <c r="AA9717" t="s">
        <v>10973</v>
      </c>
    </row>
    <row r="9718" spans="27:27">
      <c r="AA9718" t="s">
        <v>893</v>
      </c>
    </row>
    <row r="9719" spans="27:27">
      <c r="AA9719" t="s">
        <v>10974</v>
      </c>
    </row>
    <row r="9720" spans="27:27">
      <c r="AA9720" t="s">
        <v>10975</v>
      </c>
    </row>
    <row r="9721" spans="27:27">
      <c r="AA9721" t="s">
        <v>10976</v>
      </c>
    </row>
    <row r="9722" spans="27:27">
      <c r="AA9722" t="s">
        <v>10977</v>
      </c>
    </row>
    <row r="9723" spans="27:27">
      <c r="AA9723" t="s">
        <v>10978</v>
      </c>
    </row>
    <row r="9724" spans="27:27">
      <c r="AA9724" t="s">
        <v>10979</v>
      </c>
    </row>
    <row r="9725" spans="27:27">
      <c r="AA9725" t="s">
        <v>10980</v>
      </c>
    </row>
    <row r="9726" spans="27:27">
      <c r="AA9726" t="s">
        <v>894</v>
      </c>
    </row>
    <row r="9727" spans="27:27">
      <c r="AA9727" t="s">
        <v>895</v>
      </c>
    </row>
    <row r="9728" spans="27:27">
      <c r="AA9728" t="s">
        <v>896</v>
      </c>
    </row>
    <row r="9729" spans="27:27">
      <c r="AA9729" t="s">
        <v>10981</v>
      </c>
    </row>
    <row r="9730" spans="27:27">
      <c r="AA9730" t="s">
        <v>897</v>
      </c>
    </row>
    <row r="9731" spans="27:27">
      <c r="AA9731" t="s">
        <v>10982</v>
      </c>
    </row>
    <row r="9732" spans="27:27">
      <c r="AA9732" t="s">
        <v>10983</v>
      </c>
    </row>
    <row r="9733" spans="27:27">
      <c r="AA9733" t="s">
        <v>10984</v>
      </c>
    </row>
    <row r="9734" spans="27:27">
      <c r="AA9734" t="s">
        <v>10985</v>
      </c>
    </row>
    <row r="9735" spans="27:27">
      <c r="AA9735" t="s">
        <v>10986</v>
      </c>
    </row>
    <row r="9736" spans="27:27">
      <c r="AA9736" t="s">
        <v>898</v>
      </c>
    </row>
    <row r="9737" spans="27:27">
      <c r="AA9737" t="s">
        <v>10987</v>
      </c>
    </row>
    <row r="9738" spans="27:27">
      <c r="AA9738" t="s">
        <v>10988</v>
      </c>
    </row>
    <row r="9739" spans="27:27">
      <c r="AA9739" t="s">
        <v>10989</v>
      </c>
    </row>
    <row r="9740" spans="27:27">
      <c r="AA9740" t="s">
        <v>10990</v>
      </c>
    </row>
    <row r="9741" spans="27:27">
      <c r="AA9741" t="s">
        <v>10991</v>
      </c>
    </row>
    <row r="9742" spans="27:27">
      <c r="AA9742" t="s">
        <v>10992</v>
      </c>
    </row>
    <row r="9743" spans="27:27">
      <c r="AA9743" t="s">
        <v>10993</v>
      </c>
    </row>
    <row r="9744" spans="27:27">
      <c r="AA9744" t="s">
        <v>899</v>
      </c>
    </row>
    <row r="9745" spans="27:27">
      <c r="AA9745" t="s">
        <v>10994</v>
      </c>
    </row>
    <row r="9746" spans="27:27">
      <c r="AA9746" t="s">
        <v>900</v>
      </c>
    </row>
    <row r="9747" spans="27:27">
      <c r="AA9747" t="s">
        <v>901</v>
      </c>
    </row>
    <row r="9748" spans="27:27">
      <c r="AA9748" t="s">
        <v>902</v>
      </c>
    </row>
    <row r="9749" spans="27:27">
      <c r="AA9749" t="s">
        <v>903</v>
      </c>
    </row>
    <row r="9750" spans="27:27">
      <c r="AA9750" t="s">
        <v>904</v>
      </c>
    </row>
    <row r="9751" spans="27:27">
      <c r="AA9751" t="s">
        <v>10995</v>
      </c>
    </row>
    <row r="9752" spans="27:27">
      <c r="AA9752" t="s">
        <v>905</v>
      </c>
    </row>
    <row r="9753" spans="27:27">
      <c r="AA9753" t="s">
        <v>906</v>
      </c>
    </row>
    <row r="9754" spans="27:27">
      <c r="AA9754" t="s">
        <v>907</v>
      </c>
    </row>
    <row r="9755" spans="27:27">
      <c r="AA9755" t="s">
        <v>10996</v>
      </c>
    </row>
    <row r="9756" spans="27:27">
      <c r="AA9756" t="s">
        <v>10997</v>
      </c>
    </row>
    <row r="9757" spans="27:27">
      <c r="AA9757" t="s">
        <v>10998</v>
      </c>
    </row>
    <row r="9758" spans="27:27">
      <c r="AA9758" t="s">
        <v>10999</v>
      </c>
    </row>
    <row r="9759" spans="27:27">
      <c r="AA9759" t="s">
        <v>11000</v>
      </c>
    </row>
    <row r="9760" spans="27:27">
      <c r="AA9760" t="s">
        <v>908</v>
      </c>
    </row>
    <row r="9761" spans="27:27">
      <c r="AA9761" t="s">
        <v>11001</v>
      </c>
    </row>
    <row r="9762" spans="27:27">
      <c r="AA9762" t="s">
        <v>11002</v>
      </c>
    </row>
    <row r="9763" spans="27:27">
      <c r="AA9763" t="s">
        <v>909</v>
      </c>
    </row>
    <row r="9764" spans="27:27">
      <c r="AA9764" t="s">
        <v>11003</v>
      </c>
    </row>
    <row r="9765" spans="27:27">
      <c r="AA9765" t="s">
        <v>910</v>
      </c>
    </row>
    <row r="9766" spans="27:27">
      <c r="AA9766" t="s">
        <v>911</v>
      </c>
    </row>
    <row r="9767" spans="27:27">
      <c r="AA9767" t="s">
        <v>3879</v>
      </c>
    </row>
    <row r="9768" spans="27:27">
      <c r="AA9768" t="s">
        <v>11004</v>
      </c>
    </row>
    <row r="9769" spans="27:27">
      <c r="AA9769" t="s">
        <v>912</v>
      </c>
    </row>
    <row r="9770" spans="27:27">
      <c r="AA9770" t="s">
        <v>913</v>
      </c>
    </row>
    <row r="9771" spans="27:27">
      <c r="AA9771" t="s">
        <v>914</v>
      </c>
    </row>
    <row r="9772" spans="27:27">
      <c r="AA9772" t="s">
        <v>11005</v>
      </c>
    </row>
    <row r="9773" spans="27:27">
      <c r="AA9773" t="s">
        <v>11006</v>
      </c>
    </row>
    <row r="9774" spans="27:27">
      <c r="AA9774" t="s">
        <v>11007</v>
      </c>
    </row>
    <row r="9775" spans="27:27">
      <c r="AA9775" t="s">
        <v>11008</v>
      </c>
    </row>
    <row r="9776" spans="27:27">
      <c r="AA9776" t="s">
        <v>11009</v>
      </c>
    </row>
    <row r="9777" spans="27:27">
      <c r="AA9777" t="s">
        <v>11010</v>
      </c>
    </row>
    <row r="9778" spans="27:27">
      <c r="AA9778" t="s">
        <v>11011</v>
      </c>
    </row>
    <row r="9779" spans="27:27">
      <c r="AA9779" t="s">
        <v>11012</v>
      </c>
    </row>
    <row r="9780" spans="27:27">
      <c r="AA9780" t="s">
        <v>11013</v>
      </c>
    </row>
    <row r="9781" spans="27:27">
      <c r="AA9781" t="s">
        <v>11014</v>
      </c>
    </row>
    <row r="9782" spans="27:27">
      <c r="AA9782" t="s">
        <v>11015</v>
      </c>
    </row>
    <row r="9783" spans="27:27">
      <c r="AA9783" t="s">
        <v>11016</v>
      </c>
    </row>
    <row r="9784" spans="27:27">
      <c r="AA9784" t="s">
        <v>11017</v>
      </c>
    </row>
    <row r="9785" spans="27:27">
      <c r="AA9785" t="s">
        <v>11018</v>
      </c>
    </row>
    <row r="9786" spans="27:27">
      <c r="AA9786" t="s">
        <v>11019</v>
      </c>
    </row>
    <row r="9787" spans="27:27">
      <c r="AA9787" t="s">
        <v>11020</v>
      </c>
    </row>
    <row r="9788" spans="27:27">
      <c r="AA9788" t="s">
        <v>915</v>
      </c>
    </row>
    <row r="9789" spans="27:27">
      <c r="AA9789" t="s">
        <v>11021</v>
      </c>
    </row>
    <row r="9790" spans="27:27">
      <c r="AA9790" t="s">
        <v>11022</v>
      </c>
    </row>
    <row r="9791" spans="27:27">
      <c r="AA9791" t="s">
        <v>916</v>
      </c>
    </row>
    <row r="9792" spans="27:27">
      <c r="AA9792" t="s">
        <v>11023</v>
      </c>
    </row>
    <row r="9793" spans="27:27">
      <c r="AA9793" t="s">
        <v>917</v>
      </c>
    </row>
    <row r="9794" spans="27:27">
      <c r="AA9794" t="s">
        <v>11024</v>
      </c>
    </row>
    <row r="9795" spans="27:27">
      <c r="AA9795" t="s">
        <v>918</v>
      </c>
    </row>
    <row r="9796" spans="27:27">
      <c r="AA9796" t="s">
        <v>11025</v>
      </c>
    </row>
    <row r="9797" spans="27:27">
      <c r="AA9797" t="s">
        <v>11026</v>
      </c>
    </row>
    <row r="9798" spans="27:27">
      <c r="AA9798" t="s">
        <v>919</v>
      </c>
    </row>
    <row r="9799" spans="27:27">
      <c r="AA9799" t="s">
        <v>920</v>
      </c>
    </row>
    <row r="9800" spans="27:27">
      <c r="AA9800" t="s">
        <v>921</v>
      </c>
    </row>
    <row r="9801" spans="27:27">
      <c r="AA9801" t="s">
        <v>3880</v>
      </c>
    </row>
    <row r="9802" spans="27:27">
      <c r="AA9802" t="s">
        <v>11027</v>
      </c>
    </row>
    <row r="9803" spans="27:27">
      <c r="AA9803" t="s">
        <v>11028</v>
      </c>
    </row>
    <row r="9804" spans="27:27">
      <c r="AA9804" t="s">
        <v>11029</v>
      </c>
    </row>
    <row r="9805" spans="27:27">
      <c r="AA9805" t="s">
        <v>11030</v>
      </c>
    </row>
    <row r="9806" spans="27:27">
      <c r="AA9806" t="s">
        <v>11031</v>
      </c>
    </row>
    <row r="9807" spans="27:27">
      <c r="AA9807" t="s">
        <v>922</v>
      </c>
    </row>
    <row r="9808" spans="27:27">
      <c r="AA9808" t="s">
        <v>11032</v>
      </c>
    </row>
    <row r="9809" spans="27:27">
      <c r="AA9809" t="s">
        <v>11033</v>
      </c>
    </row>
    <row r="9810" spans="27:27">
      <c r="AA9810" t="s">
        <v>11034</v>
      </c>
    </row>
    <row r="9811" spans="27:27">
      <c r="AA9811" t="s">
        <v>11035</v>
      </c>
    </row>
    <row r="9812" spans="27:27">
      <c r="AA9812" t="s">
        <v>11036</v>
      </c>
    </row>
    <row r="9813" spans="27:27">
      <c r="AA9813" t="s">
        <v>11037</v>
      </c>
    </row>
    <row r="9814" spans="27:27">
      <c r="AA9814" t="s">
        <v>11038</v>
      </c>
    </row>
    <row r="9815" spans="27:27">
      <c r="AA9815" t="s">
        <v>923</v>
      </c>
    </row>
    <row r="9816" spans="27:27">
      <c r="AA9816" t="s">
        <v>924</v>
      </c>
    </row>
    <row r="9817" spans="27:27">
      <c r="AA9817" t="s">
        <v>925</v>
      </c>
    </row>
    <row r="9818" spans="27:27">
      <c r="AA9818" t="s">
        <v>11039</v>
      </c>
    </row>
    <row r="9819" spans="27:27">
      <c r="AA9819" t="s">
        <v>926</v>
      </c>
    </row>
    <row r="9820" spans="27:27">
      <c r="AA9820" t="s">
        <v>11040</v>
      </c>
    </row>
    <row r="9821" spans="27:27">
      <c r="AA9821" t="s">
        <v>11041</v>
      </c>
    </row>
    <row r="9822" spans="27:27">
      <c r="AA9822" t="s">
        <v>11042</v>
      </c>
    </row>
    <row r="9823" spans="27:27">
      <c r="AA9823" t="s">
        <v>11043</v>
      </c>
    </row>
    <row r="9824" spans="27:27">
      <c r="AA9824" t="s">
        <v>11044</v>
      </c>
    </row>
    <row r="9825" spans="27:27">
      <c r="AA9825" t="s">
        <v>11045</v>
      </c>
    </row>
    <row r="9826" spans="27:27">
      <c r="AA9826" t="s">
        <v>11046</v>
      </c>
    </row>
    <row r="9827" spans="27:27">
      <c r="AA9827" t="s">
        <v>11047</v>
      </c>
    </row>
    <row r="9828" spans="27:27">
      <c r="AA9828" t="s">
        <v>11048</v>
      </c>
    </row>
    <row r="9829" spans="27:27">
      <c r="AA9829" t="s">
        <v>11049</v>
      </c>
    </row>
    <row r="9830" spans="27:27">
      <c r="AA9830" t="s">
        <v>11050</v>
      </c>
    </row>
    <row r="9831" spans="27:27">
      <c r="AA9831" t="s">
        <v>11051</v>
      </c>
    </row>
    <row r="9832" spans="27:27">
      <c r="AA9832" t="s">
        <v>11052</v>
      </c>
    </row>
    <row r="9833" spans="27:27">
      <c r="AA9833" t="s">
        <v>11053</v>
      </c>
    </row>
    <row r="9834" spans="27:27">
      <c r="AA9834" t="s">
        <v>11054</v>
      </c>
    </row>
    <row r="9835" spans="27:27">
      <c r="AA9835" t="s">
        <v>927</v>
      </c>
    </row>
    <row r="9836" spans="27:27">
      <c r="AA9836" t="s">
        <v>928</v>
      </c>
    </row>
    <row r="9837" spans="27:27">
      <c r="AA9837" t="s">
        <v>929</v>
      </c>
    </row>
    <row r="9838" spans="27:27">
      <c r="AA9838" t="s">
        <v>930</v>
      </c>
    </row>
    <row r="9839" spans="27:27">
      <c r="AA9839" t="s">
        <v>931</v>
      </c>
    </row>
    <row r="9840" spans="27:27">
      <c r="AA9840" t="s">
        <v>11055</v>
      </c>
    </row>
    <row r="9841" spans="27:27">
      <c r="AA9841" t="s">
        <v>932</v>
      </c>
    </row>
    <row r="9842" spans="27:27">
      <c r="AA9842" t="s">
        <v>933</v>
      </c>
    </row>
    <row r="9843" spans="27:27">
      <c r="AA9843" t="s">
        <v>934</v>
      </c>
    </row>
    <row r="9844" spans="27:27">
      <c r="AA9844" t="s">
        <v>11056</v>
      </c>
    </row>
    <row r="9845" spans="27:27">
      <c r="AA9845" t="s">
        <v>11057</v>
      </c>
    </row>
    <row r="9846" spans="27:27">
      <c r="AA9846" t="s">
        <v>11058</v>
      </c>
    </row>
    <row r="9847" spans="27:27">
      <c r="AA9847" t="s">
        <v>11059</v>
      </c>
    </row>
    <row r="9848" spans="27:27">
      <c r="AA9848" t="s">
        <v>11060</v>
      </c>
    </row>
    <row r="9849" spans="27:27">
      <c r="AA9849" t="s">
        <v>935</v>
      </c>
    </row>
    <row r="9850" spans="27:27">
      <c r="AA9850" t="s">
        <v>11061</v>
      </c>
    </row>
    <row r="9851" spans="27:27">
      <c r="AA9851" t="s">
        <v>11062</v>
      </c>
    </row>
    <row r="9852" spans="27:27">
      <c r="AA9852" t="s">
        <v>936</v>
      </c>
    </row>
    <row r="9853" spans="27:27">
      <c r="AA9853" t="s">
        <v>11063</v>
      </c>
    </row>
    <row r="9854" spans="27:27">
      <c r="AA9854" t="s">
        <v>11064</v>
      </c>
    </row>
    <row r="9855" spans="27:27">
      <c r="AA9855" t="s">
        <v>937</v>
      </c>
    </row>
    <row r="9856" spans="27:27">
      <c r="AA9856" t="s">
        <v>11065</v>
      </c>
    </row>
    <row r="9857" spans="27:27">
      <c r="AA9857" t="s">
        <v>11066</v>
      </c>
    </row>
    <row r="9858" spans="27:27">
      <c r="AA9858" t="s">
        <v>938</v>
      </c>
    </row>
    <row r="9859" spans="27:27">
      <c r="AA9859" t="s">
        <v>11067</v>
      </c>
    </row>
    <row r="9860" spans="27:27">
      <c r="AA9860" t="s">
        <v>11068</v>
      </c>
    </row>
    <row r="9861" spans="27:27">
      <c r="AA9861" t="s">
        <v>939</v>
      </c>
    </row>
    <row r="9862" spans="27:27">
      <c r="AA9862" t="s">
        <v>940</v>
      </c>
    </row>
    <row r="9863" spans="27:27">
      <c r="AA9863" t="s">
        <v>11069</v>
      </c>
    </row>
    <row r="9864" spans="27:27">
      <c r="AA9864" t="s">
        <v>941</v>
      </c>
    </row>
    <row r="9865" spans="27:27">
      <c r="AA9865" t="s">
        <v>11070</v>
      </c>
    </row>
    <row r="9866" spans="27:27">
      <c r="AA9866" t="s">
        <v>11071</v>
      </c>
    </row>
    <row r="9867" spans="27:27">
      <c r="AA9867" t="s">
        <v>942</v>
      </c>
    </row>
    <row r="9868" spans="27:27">
      <c r="AA9868" t="s">
        <v>11072</v>
      </c>
    </row>
    <row r="9869" spans="27:27">
      <c r="AA9869" t="s">
        <v>11073</v>
      </c>
    </row>
    <row r="9870" spans="27:27">
      <c r="AA9870" t="s">
        <v>11074</v>
      </c>
    </row>
    <row r="9871" spans="27:27">
      <c r="AA9871" t="s">
        <v>943</v>
      </c>
    </row>
    <row r="9872" spans="27:27">
      <c r="AA9872" t="s">
        <v>11075</v>
      </c>
    </row>
    <row r="9873" spans="27:27">
      <c r="AA9873" t="s">
        <v>944</v>
      </c>
    </row>
    <row r="9874" spans="27:27">
      <c r="AA9874" t="s">
        <v>11076</v>
      </c>
    </row>
    <row r="9875" spans="27:27">
      <c r="AA9875" t="s">
        <v>11077</v>
      </c>
    </row>
    <row r="9876" spans="27:27">
      <c r="AA9876" t="s">
        <v>945</v>
      </c>
    </row>
    <row r="9877" spans="27:27">
      <c r="AA9877" t="s">
        <v>11078</v>
      </c>
    </row>
    <row r="9878" spans="27:27">
      <c r="AA9878" t="s">
        <v>946</v>
      </c>
    </row>
    <row r="9879" spans="27:27">
      <c r="AA9879" t="s">
        <v>11079</v>
      </c>
    </row>
    <row r="9880" spans="27:27">
      <c r="AA9880" t="s">
        <v>947</v>
      </c>
    </row>
    <row r="9881" spans="27:27">
      <c r="AA9881" t="s">
        <v>11080</v>
      </c>
    </row>
    <row r="9882" spans="27:27">
      <c r="AA9882" t="s">
        <v>11081</v>
      </c>
    </row>
    <row r="9883" spans="27:27">
      <c r="AA9883" t="s">
        <v>948</v>
      </c>
    </row>
    <row r="9884" spans="27:27">
      <c r="AA9884" t="s">
        <v>949</v>
      </c>
    </row>
    <row r="9885" spans="27:27">
      <c r="AA9885" t="s">
        <v>950</v>
      </c>
    </row>
    <row r="9886" spans="27:27">
      <c r="AA9886" t="s">
        <v>11082</v>
      </c>
    </row>
    <row r="9887" spans="27:27">
      <c r="AA9887" t="s">
        <v>951</v>
      </c>
    </row>
    <row r="9888" spans="27:27">
      <c r="AA9888" t="s">
        <v>11083</v>
      </c>
    </row>
    <row r="9889" spans="27:27">
      <c r="AA9889" t="s">
        <v>952</v>
      </c>
    </row>
    <row r="9890" spans="27:27">
      <c r="AA9890" t="s">
        <v>953</v>
      </c>
    </row>
    <row r="9891" spans="27:27">
      <c r="AA9891" t="s">
        <v>954</v>
      </c>
    </row>
    <row r="9892" spans="27:27">
      <c r="AA9892" t="s">
        <v>11084</v>
      </c>
    </row>
    <row r="9893" spans="27:27">
      <c r="AA9893" t="s">
        <v>11085</v>
      </c>
    </row>
    <row r="9894" spans="27:27">
      <c r="AA9894" t="s">
        <v>11086</v>
      </c>
    </row>
    <row r="9895" spans="27:27">
      <c r="AA9895" t="s">
        <v>11087</v>
      </c>
    </row>
    <row r="9896" spans="27:27">
      <c r="AA9896" t="s">
        <v>11088</v>
      </c>
    </row>
    <row r="9897" spans="27:27">
      <c r="AA9897" t="s">
        <v>955</v>
      </c>
    </row>
    <row r="9898" spans="27:27">
      <c r="AA9898" t="s">
        <v>11089</v>
      </c>
    </row>
    <row r="9899" spans="27:27">
      <c r="AA9899" t="s">
        <v>11090</v>
      </c>
    </row>
    <row r="9900" spans="27:27">
      <c r="AA9900" t="s">
        <v>11091</v>
      </c>
    </row>
    <row r="9901" spans="27:27">
      <c r="AA9901" t="s">
        <v>11092</v>
      </c>
    </row>
    <row r="9902" spans="27:27">
      <c r="AA9902" t="s">
        <v>11093</v>
      </c>
    </row>
    <row r="9903" spans="27:27">
      <c r="AA9903" t="s">
        <v>11094</v>
      </c>
    </row>
    <row r="9904" spans="27:27">
      <c r="AA9904" t="s">
        <v>11095</v>
      </c>
    </row>
    <row r="9905" spans="27:27">
      <c r="AA9905" t="s">
        <v>11096</v>
      </c>
    </row>
    <row r="9906" spans="27:27">
      <c r="AA9906" t="s">
        <v>956</v>
      </c>
    </row>
    <row r="9907" spans="27:27">
      <c r="AA9907" t="s">
        <v>957</v>
      </c>
    </row>
    <row r="9908" spans="27:27">
      <c r="AA9908" t="s">
        <v>958</v>
      </c>
    </row>
    <row r="9909" spans="27:27">
      <c r="AA9909" t="s">
        <v>11097</v>
      </c>
    </row>
    <row r="9910" spans="27:27">
      <c r="AA9910" t="s">
        <v>959</v>
      </c>
    </row>
    <row r="9911" spans="27:27">
      <c r="AA9911" t="s">
        <v>11098</v>
      </c>
    </row>
    <row r="9912" spans="27:27">
      <c r="AA9912" t="s">
        <v>11099</v>
      </c>
    </row>
    <row r="9913" spans="27:27">
      <c r="AA9913" t="s">
        <v>11100</v>
      </c>
    </row>
    <row r="9914" spans="27:27">
      <c r="AA9914" t="s">
        <v>11101</v>
      </c>
    </row>
    <row r="9915" spans="27:27">
      <c r="AA9915" t="s">
        <v>11102</v>
      </c>
    </row>
    <row r="9916" spans="27:27">
      <c r="AA9916" t="s">
        <v>960</v>
      </c>
    </row>
    <row r="9917" spans="27:27">
      <c r="AA9917" t="s">
        <v>11103</v>
      </c>
    </row>
    <row r="9918" spans="27:27">
      <c r="AA9918" t="s">
        <v>11104</v>
      </c>
    </row>
    <row r="9919" spans="27:27">
      <c r="AA9919" t="s">
        <v>11105</v>
      </c>
    </row>
    <row r="9920" spans="27:27">
      <c r="AA9920" t="s">
        <v>11106</v>
      </c>
    </row>
    <row r="9921" spans="27:27">
      <c r="AA9921" t="s">
        <v>11107</v>
      </c>
    </row>
    <row r="9922" spans="27:27">
      <c r="AA9922" t="s">
        <v>11108</v>
      </c>
    </row>
    <row r="9923" spans="27:27">
      <c r="AA9923" t="s">
        <v>11109</v>
      </c>
    </row>
    <row r="9924" spans="27:27">
      <c r="AA9924" t="s">
        <v>961</v>
      </c>
    </row>
    <row r="9925" spans="27:27">
      <c r="AA9925" t="s">
        <v>11110</v>
      </c>
    </row>
    <row r="9926" spans="27:27">
      <c r="AA9926" t="s">
        <v>962</v>
      </c>
    </row>
    <row r="9927" spans="27:27">
      <c r="AA9927" t="s">
        <v>963</v>
      </c>
    </row>
    <row r="9928" spans="27:27">
      <c r="AA9928" t="s">
        <v>964</v>
      </c>
    </row>
    <row r="9929" spans="27:27">
      <c r="AA9929" t="s">
        <v>965</v>
      </c>
    </row>
    <row r="9930" spans="27:27">
      <c r="AA9930" t="s">
        <v>966</v>
      </c>
    </row>
    <row r="9931" spans="27:27">
      <c r="AA9931" t="s">
        <v>11111</v>
      </c>
    </row>
    <row r="9932" spans="27:27">
      <c r="AA9932" t="s">
        <v>967</v>
      </c>
    </row>
    <row r="9933" spans="27:27">
      <c r="AA9933" t="s">
        <v>968</v>
      </c>
    </row>
    <row r="9934" spans="27:27">
      <c r="AA9934" t="s">
        <v>969</v>
      </c>
    </row>
    <row r="9935" spans="27:27">
      <c r="AA9935" t="s">
        <v>11112</v>
      </c>
    </row>
    <row r="9936" spans="27:27">
      <c r="AA9936" t="s">
        <v>11113</v>
      </c>
    </row>
    <row r="9937" spans="27:27">
      <c r="AA9937" t="s">
        <v>11114</v>
      </c>
    </row>
    <row r="9938" spans="27:27">
      <c r="AA9938" t="s">
        <v>11115</v>
      </c>
    </row>
    <row r="9939" spans="27:27">
      <c r="AA9939" t="s">
        <v>11116</v>
      </c>
    </row>
    <row r="9940" spans="27:27">
      <c r="AA9940" t="s">
        <v>970</v>
      </c>
    </row>
    <row r="9941" spans="27:27">
      <c r="AA9941" t="s">
        <v>11117</v>
      </c>
    </row>
    <row r="9942" spans="27:27">
      <c r="AA9942" t="s">
        <v>11118</v>
      </c>
    </row>
    <row r="9943" spans="27:27">
      <c r="AA9943" t="s">
        <v>971</v>
      </c>
    </row>
    <row r="9944" spans="27:27">
      <c r="AA9944" t="s">
        <v>11119</v>
      </c>
    </row>
    <row r="9945" spans="27:27">
      <c r="AA9945" t="s">
        <v>972</v>
      </c>
    </row>
    <row r="9946" spans="27:27">
      <c r="AA9946" t="s">
        <v>3881</v>
      </c>
    </row>
    <row r="9947" spans="27:27">
      <c r="AA9947" t="s">
        <v>3882</v>
      </c>
    </row>
    <row r="9948" spans="27:27">
      <c r="AA9948" t="s">
        <v>11120</v>
      </c>
    </row>
    <row r="9949" spans="27:27">
      <c r="AA9949" t="s">
        <v>973</v>
      </c>
    </row>
    <row r="9950" spans="27:27">
      <c r="AA9950" t="s">
        <v>3883</v>
      </c>
    </row>
    <row r="9951" spans="27:27">
      <c r="AA9951" t="s">
        <v>974</v>
      </c>
    </row>
    <row r="9952" spans="27:27">
      <c r="AA9952" t="s">
        <v>11121</v>
      </c>
    </row>
    <row r="9953" spans="27:27">
      <c r="AA9953" t="s">
        <v>975</v>
      </c>
    </row>
    <row r="9954" spans="27:27">
      <c r="AA9954" t="s">
        <v>976</v>
      </c>
    </row>
    <row r="9955" spans="27:27">
      <c r="AA9955" t="s">
        <v>977</v>
      </c>
    </row>
    <row r="9956" spans="27:27">
      <c r="AA9956" t="s">
        <v>11122</v>
      </c>
    </row>
    <row r="9957" spans="27:27">
      <c r="AA9957" t="s">
        <v>11123</v>
      </c>
    </row>
    <row r="9958" spans="27:27">
      <c r="AA9958" t="s">
        <v>11124</v>
      </c>
    </row>
    <row r="9959" spans="27:27">
      <c r="AA9959" t="s">
        <v>11125</v>
      </c>
    </row>
    <row r="9960" spans="27:27">
      <c r="AA9960" t="s">
        <v>11126</v>
      </c>
    </row>
    <row r="9961" spans="27:27">
      <c r="AA9961" t="s">
        <v>978</v>
      </c>
    </row>
    <row r="9962" spans="27:27">
      <c r="AA9962" t="s">
        <v>11127</v>
      </c>
    </row>
    <row r="9963" spans="27:27">
      <c r="AA9963" t="s">
        <v>11128</v>
      </c>
    </row>
    <row r="9964" spans="27:27">
      <c r="AA9964" t="s">
        <v>11129</v>
      </c>
    </row>
    <row r="9965" spans="27:27">
      <c r="AA9965" t="s">
        <v>11130</v>
      </c>
    </row>
    <row r="9966" spans="27:27">
      <c r="AA9966" t="s">
        <v>11131</v>
      </c>
    </row>
    <row r="9967" spans="27:27">
      <c r="AA9967" t="s">
        <v>11132</v>
      </c>
    </row>
    <row r="9968" spans="27:27">
      <c r="AA9968" t="s">
        <v>11133</v>
      </c>
    </row>
    <row r="9969" spans="27:27">
      <c r="AA9969" t="s">
        <v>979</v>
      </c>
    </row>
    <row r="9970" spans="27:27">
      <c r="AA9970" t="s">
        <v>980</v>
      </c>
    </row>
    <row r="9971" spans="27:27">
      <c r="AA9971" t="s">
        <v>981</v>
      </c>
    </row>
    <row r="9972" spans="27:27">
      <c r="AA9972" t="s">
        <v>11134</v>
      </c>
    </row>
    <row r="9973" spans="27:27">
      <c r="AA9973" t="s">
        <v>982</v>
      </c>
    </row>
    <row r="9974" spans="27:27">
      <c r="AA9974" t="s">
        <v>11135</v>
      </c>
    </row>
    <row r="9975" spans="27:27">
      <c r="AA9975" t="s">
        <v>11136</v>
      </c>
    </row>
    <row r="9976" spans="27:27">
      <c r="AA9976" t="s">
        <v>11137</v>
      </c>
    </row>
    <row r="9977" spans="27:27">
      <c r="AA9977" t="s">
        <v>11138</v>
      </c>
    </row>
    <row r="9978" spans="27:27">
      <c r="AA9978" t="s">
        <v>11139</v>
      </c>
    </row>
    <row r="9979" spans="27:27">
      <c r="AA9979" t="s">
        <v>983</v>
      </c>
    </row>
    <row r="9980" spans="27:27">
      <c r="AA9980" t="s">
        <v>11140</v>
      </c>
    </row>
    <row r="9981" spans="27:27">
      <c r="AA9981" t="s">
        <v>11141</v>
      </c>
    </row>
    <row r="9982" spans="27:27">
      <c r="AA9982" t="s">
        <v>11142</v>
      </c>
    </row>
    <row r="9983" spans="27:27">
      <c r="AA9983" t="s">
        <v>11143</v>
      </c>
    </row>
    <row r="9984" spans="27:27">
      <c r="AA9984" t="s">
        <v>11144</v>
      </c>
    </row>
    <row r="9985" spans="27:27">
      <c r="AA9985" t="s">
        <v>11145</v>
      </c>
    </row>
    <row r="9986" spans="27:27">
      <c r="AA9986" t="s">
        <v>11146</v>
      </c>
    </row>
    <row r="9987" spans="27:27">
      <c r="AA9987" t="s">
        <v>984</v>
      </c>
    </row>
    <row r="9988" spans="27:27">
      <c r="AA9988" t="s">
        <v>11147</v>
      </c>
    </row>
    <row r="9989" spans="27:27">
      <c r="AA9989" t="s">
        <v>985</v>
      </c>
    </row>
    <row r="9990" spans="27:27">
      <c r="AA9990" t="s">
        <v>986</v>
      </c>
    </row>
    <row r="9991" spans="27:27">
      <c r="AA9991" t="s">
        <v>987</v>
      </c>
    </row>
    <row r="9992" spans="27:27">
      <c r="AA9992" t="s">
        <v>988</v>
      </c>
    </row>
    <row r="9993" spans="27:27">
      <c r="AA9993" t="s">
        <v>989</v>
      </c>
    </row>
    <row r="9994" spans="27:27">
      <c r="AA9994" t="s">
        <v>11148</v>
      </c>
    </row>
    <row r="9995" spans="27:27">
      <c r="AA9995" t="s">
        <v>990</v>
      </c>
    </row>
    <row r="9996" spans="27:27">
      <c r="AA9996" t="s">
        <v>991</v>
      </c>
    </row>
    <row r="9997" spans="27:27">
      <c r="AA9997" t="s">
        <v>992</v>
      </c>
    </row>
    <row r="9998" spans="27:27">
      <c r="AA9998" t="s">
        <v>11149</v>
      </c>
    </row>
    <row r="9999" spans="27:27">
      <c r="AA9999" t="s">
        <v>11150</v>
      </c>
    </row>
    <row r="10000" spans="27:27">
      <c r="AA10000" t="s">
        <v>11151</v>
      </c>
    </row>
    <row r="10001" spans="27:27">
      <c r="AA10001" t="s">
        <v>11152</v>
      </c>
    </row>
    <row r="10002" spans="27:27">
      <c r="AA10002" t="s">
        <v>11153</v>
      </c>
    </row>
    <row r="10003" spans="27:27">
      <c r="AA10003" t="s">
        <v>993</v>
      </c>
    </row>
    <row r="10004" spans="27:27">
      <c r="AA10004" t="s">
        <v>11154</v>
      </c>
    </row>
    <row r="10005" spans="27:27">
      <c r="AA10005" t="s">
        <v>11155</v>
      </c>
    </row>
    <row r="10006" spans="27:27">
      <c r="AA10006" t="s">
        <v>994</v>
      </c>
    </row>
    <row r="10007" spans="27:27">
      <c r="AA10007" t="s">
        <v>11156</v>
      </c>
    </row>
    <row r="10008" spans="27:27">
      <c r="AA10008" t="s">
        <v>995</v>
      </c>
    </row>
    <row r="10009" spans="27:27">
      <c r="AA10009" t="s">
        <v>11157</v>
      </c>
    </row>
    <row r="10010" spans="27:27">
      <c r="AA10010" t="s">
        <v>11158</v>
      </c>
    </row>
    <row r="10011" spans="27:27">
      <c r="AA10011" t="s">
        <v>996</v>
      </c>
    </row>
    <row r="10012" spans="27:27">
      <c r="AA10012" t="s">
        <v>11159</v>
      </c>
    </row>
    <row r="10013" spans="27:27">
      <c r="AA10013" t="s">
        <v>997</v>
      </c>
    </row>
    <row r="10014" spans="27:27">
      <c r="AA10014" t="s">
        <v>11160</v>
      </c>
    </row>
    <row r="10015" spans="27:27">
      <c r="AA10015" t="s">
        <v>998</v>
      </c>
    </row>
    <row r="10016" spans="27:27">
      <c r="AA10016" t="s">
        <v>999</v>
      </c>
    </row>
    <row r="10017" spans="27:27">
      <c r="AA10017" t="s">
        <v>1000</v>
      </c>
    </row>
    <row r="10018" spans="27:27">
      <c r="AA10018" t="s">
        <v>1001</v>
      </c>
    </row>
    <row r="10019" spans="27:27">
      <c r="AA10019" t="s">
        <v>1002</v>
      </c>
    </row>
    <row r="10020" spans="27:27">
      <c r="AA10020" t="s">
        <v>11161</v>
      </c>
    </row>
    <row r="10021" spans="27:27">
      <c r="AA10021" t="s">
        <v>11162</v>
      </c>
    </row>
    <row r="10022" spans="27:27">
      <c r="AA10022" t="s">
        <v>1003</v>
      </c>
    </row>
    <row r="10023" spans="27:27">
      <c r="AA10023" t="s">
        <v>11163</v>
      </c>
    </row>
    <row r="10024" spans="27:27">
      <c r="AA10024" t="s">
        <v>11164</v>
      </c>
    </row>
    <row r="10025" spans="27:27">
      <c r="AA10025" t="s">
        <v>11165</v>
      </c>
    </row>
    <row r="10026" spans="27:27">
      <c r="AA10026" t="s">
        <v>1004</v>
      </c>
    </row>
    <row r="10027" spans="27:27">
      <c r="AA10027" t="s">
        <v>1005</v>
      </c>
    </row>
    <row r="10028" spans="27:27">
      <c r="AA10028" t="s">
        <v>1006</v>
      </c>
    </row>
    <row r="10029" spans="27:27">
      <c r="AA10029" t="s">
        <v>1007</v>
      </c>
    </row>
    <row r="10030" spans="27:27">
      <c r="AA10030" t="s">
        <v>1008</v>
      </c>
    </row>
    <row r="10031" spans="27:27">
      <c r="AA10031" t="s">
        <v>1009</v>
      </c>
    </row>
    <row r="10032" spans="27:27">
      <c r="AA10032" t="s">
        <v>1010</v>
      </c>
    </row>
    <row r="10033" spans="27:27">
      <c r="AA10033" t="s">
        <v>1011</v>
      </c>
    </row>
    <row r="10034" spans="27:27">
      <c r="AA10034" t="s">
        <v>1012</v>
      </c>
    </row>
    <row r="10035" spans="27:27">
      <c r="AA10035" t="s">
        <v>1013</v>
      </c>
    </row>
    <row r="10036" spans="27:27">
      <c r="AA10036" t="s">
        <v>1014</v>
      </c>
    </row>
    <row r="10037" spans="27:27">
      <c r="AA10037" t="s">
        <v>1015</v>
      </c>
    </row>
    <row r="10038" spans="27:27">
      <c r="AA10038" t="s">
        <v>1016</v>
      </c>
    </row>
    <row r="10039" spans="27:27">
      <c r="AA10039" t="s">
        <v>1017</v>
      </c>
    </row>
    <row r="10040" spans="27:27">
      <c r="AA10040" t="s">
        <v>1018</v>
      </c>
    </row>
    <row r="10041" spans="27:27">
      <c r="AA10041" t="s">
        <v>1019</v>
      </c>
    </row>
    <row r="10042" spans="27:27">
      <c r="AA10042" t="s">
        <v>1020</v>
      </c>
    </row>
    <row r="10043" spans="27:27">
      <c r="AA10043" t="s">
        <v>1021</v>
      </c>
    </row>
    <row r="10044" spans="27:27">
      <c r="AA10044" t="s">
        <v>1022</v>
      </c>
    </row>
    <row r="10045" spans="27:27">
      <c r="AA10045" t="s">
        <v>1023</v>
      </c>
    </row>
    <row r="10046" spans="27:27">
      <c r="AA10046" t="s">
        <v>11166</v>
      </c>
    </row>
    <row r="10047" spans="27:27">
      <c r="AA10047" t="s">
        <v>11167</v>
      </c>
    </row>
    <row r="10048" spans="27:27">
      <c r="AA10048" t="s">
        <v>11168</v>
      </c>
    </row>
    <row r="10049" spans="27:27">
      <c r="AA10049" t="s">
        <v>1024</v>
      </c>
    </row>
    <row r="10050" spans="27:27">
      <c r="AA10050" t="s">
        <v>11169</v>
      </c>
    </row>
    <row r="10051" spans="27:27">
      <c r="AA10051" t="s">
        <v>1025</v>
      </c>
    </row>
    <row r="10052" spans="27:27">
      <c r="AA10052" t="s">
        <v>11170</v>
      </c>
    </row>
    <row r="10053" spans="27:27">
      <c r="AA10053" t="s">
        <v>11171</v>
      </c>
    </row>
    <row r="10054" spans="27:27">
      <c r="AA10054" t="s">
        <v>11172</v>
      </c>
    </row>
    <row r="10055" spans="27:27">
      <c r="AA10055" t="s">
        <v>11173</v>
      </c>
    </row>
    <row r="10056" spans="27:27">
      <c r="AA10056" t="s">
        <v>11174</v>
      </c>
    </row>
    <row r="10057" spans="27:27">
      <c r="AA10057" t="s">
        <v>11175</v>
      </c>
    </row>
    <row r="10058" spans="27:27">
      <c r="AA10058" t="s">
        <v>11176</v>
      </c>
    </row>
    <row r="10059" spans="27:27">
      <c r="AA10059" t="s">
        <v>11177</v>
      </c>
    </row>
    <row r="10060" spans="27:27">
      <c r="AA10060" t="s">
        <v>3356</v>
      </c>
    </row>
    <row r="10061" spans="27:27">
      <c r="AA10061" t="s">
        <v>11178</v>
      </c>
    </row>
    <row r="10062" spans="27:27">
      <c r="AA10062" t="s">
        <v>1026</v>
      </c>
    </row>
    <row r="10063" spans="27:27">
      <c r="AA10063" t="s">
        <v>11179</v>
      </c>
    </row>
    <row r="10064" spans="27:27">
      <c r="AA10064" t="s">
        <v>11180</v>
      </c>
    </row>
    <row r="10065" spans="27:27">
      <c r="AA10065" t="s">
        <v>11181</v>
      </c>
    </row>
    <row r="10066" spans="27:27">
      <c r="AA10066" t="s">
        <v>11182</v>
      </c>
    </row>
    <row r="10067" spans="27:27">
      <c r="AA10067" t="s">
        <v>11183</v>
      </c>
    </row>
    <row r="10068" spans="27:27">
      <c r="AA10068" t="s">
        <v>11184</v>
      </c>
    </row>
    <row r="10069" spans="27:27">
      <c r="AA10069" t="s">
        <v>11185</v>
      </c>
    </row>
    <row r="10070" spans="27:27">
      <c r="AA10070" t="s">
        <v>1027</v>
      </c>
    </row>
    <row r="10071" spans="27:27">
      <c r="AA10071" t="s">
        <v>11186</v>
      </c>
    </row>
    <row r="10072" spans="27:27">
      <c r="AA10072" t="s">
        <v>1028</v>
      </c>
    </row>
    <row r="10073" spans="27:27">
      <c r="AA10073" t="s">
        <v>11187</v>
      </c>
    </row>
    <row r="10074" spans="27:27">
      <c r="AA10074" t="s">
        <v>1029</v>
      </c>
    </row>
    <row r="10075" spans="27:27">
      <c r="AA10075" t="s">
        <v>11188</v>
      </c>
    </row>
    <row r="10076" spans="27:27">
      <c r="AA10076" t="s">
        <v>11189</v>
      </c>
    </row>
    <row r="10077" spans="27:27">
      <c r="AA10077" t="s">
        <v>11190</v>
      </c>
    </row>
    <row r="10078" spans="27:27">
      <c r="AA10078" t="s">
        <v>11191</v>
      </c>
    </row>
    <row r="10079" spans="27:27">
      <c r="AA10079" t="s">
        <v>11192</v>
      </c>
    </row>
    <row r="10080" spans="27:27">
      <c r="AA10080" t="s">
        <v>11193</v>
      </c>
    </row>
    <row r="10081" spans="27:27">
      <c r="AA10081" t="s">
        <v>11194</v>
      </c>
    </row>
    <row r="10082" spans="27:27">
      <c r="AA10082" t="s">
        <v>1030</v>
      </c>
    </row>
    <row r="10083" spans="27:27">
      <c r="AA10083" t="s">
        <v>11195</v>
      </c>
    </row>
    <row r="10084" spans="27:27">
      <c r="AA10084" t="s">
        <v>1031</v>
      </c>
    </row>
    <row r="10085" spans="27:27">
      <c r="AA10085" t="s">
        <v>11196</v>
      </c>
    </row>
    <row r="10086" spans="27:27">
      <c r="AA10086" t="s">
        <v>1032</v>
      </c>
    </row>
    <row r="10087" spans="27:27">
      <c r="AA10087" t="s">
        <v>3884</v>
      </c>
    </row>
    <row r="10088" spans="27:27">
      <c r="AA10088" t="s">
        <v>1033</v>
      </c>
    </row>
    <row r="10089" spans="27:27">
      <c r="AA10089" t="s">
        <v>1034</v>
      </c>
    </row>
    <row r="10090" spans="27:27">
      <c r="AA10090" t="s">
        <v>11197</v>
      </c>
    </row>
    <row r="10091" spans="27:27">
      <c r="AA10091" t="s">
        <v>1035</v>
      </c>
    </row>
    <row r="10092" spans="27:27">
      <c r="AA10092" t="s">
        <v>1036</v>
      </c>
    </row>
    <row r="10093" spans="27:27">
      <c r="AA10093" t="s">
        <v>11198</v>
      </c>
    </row>
    <row r="10094" spans="27:27">
      <c r="AA10094" t="s">
        <v>11199</v>
      </c>
    </row>
    <row r="10095" spans="27:27">
      <c r="AA10095" t="s">
        <v>11200</v>
      </c>
    </row>
    <row r="10096" spans="27:27">
      <c r="AA10096" t="s">
        <v>11201</v>
      </c>
    </row>
    <row r="10097" spans="27:27">
      <c r="AA10097" t="s">
        <v>11202</v>
      </c>
    </row>
    <row r="10098" spans="27:27">
      <c r="AA10098" t="s">
        <v>11203</v>
      </c>
    </row>
    <row r="10099" spans="27:27">
      <c r="AA10099" t="s">
        <v>11204</v>
      </c>
    </row>
    <row r="10100" spans="27:27">
      <c r="AA10100" t="s">
        <v>11205</v>
      </c>
    </row>
    <row r="10101" spans="27:27">
      <c r="AA10101" t="s">
        <v>3885</v>
      </c>
    </row>
    <row r="10102" spans="27:27">
      <c r="AA10102" t="s">
        <v>11206</v>
      </c>
    </row>
    <row r="10103" spans="27:27">
      <c r="AA10103" t="s">
        <v>1037</v>
      </c>
    </row>
    <row r="10104" spans="27:27">
      <c r="AA10104" t="s">
        <v>1038</v>
      </c>
    </row>
    <row r="10105" spans="27:27">
      <c r="AA10105" t="s">
        <v>11207</v>
      </c>
    </row>
    <row r="10106" spans="27:27">
      <c r="AA10106" t="s">
        <v>11208</v>
      </c>
    </row>
    <row r="10107" spans="27:27">
      <c r="AA10107" t="s">
        <v>11209</v>
      </c>
    </row>
    <row r="10108" spans="27:27">
      <c r="AA10108" t="s">
        <v>11210</v>
      </c>
    </row>
    <row r="10109" spans="27:27">
      <c r="AA10109" t="s">
        <v>11211</v>
      </c>
    </row>
    <row r="10110" spans="27:27">
      <c r="AA10110" t="s">
        <v>11212</v>
      </c>
    </row>
    <row r="10111" spans="27:27">
      <c r="AA10111" t="s">
        <v>11213</v>
      </c>
    </row>
    <row r="10112" spans="27:27">
      <c r="AA10112" t="s">
        <v>11214</v>
      </c>
    </row>
    <row r="10113" spans="27:27">
      <c r="AA10113" t="s">
        <v>1039</v>
      </c>
    </row>
    <row r="10114" spans="27:27">
      <c r="AA10114" t="s">
        <v>1040</v>
      </c>
    </row>
    <row r="10115" spans="27:27">
      <c r="AA10115" t="s">
        <v>3886</v>
      </c>
    </row>
    <row r="10116" spans="27:27">
      <c r="AA10116" t="s">
        <v>11215</v>
      </c>
    </row>
    <row r="10117" spans="27:27">
      <c r="AA10117" t="s">
        <v>11216</v>
      </c>
    </row>
    <row r="10118" spans="27:27">
      <c r="AA10118" t="s">
        <v>11217</v>
      </c>
    </row>
    <row r="10119" spans="27:27">
      <c r="AA10119" t="s">
        <v>11218</v>
      </c>
    </row>
    <row r="10120" spans="27:27">
      <c r="AA10120" t="s">
        <v>11219</v>
      </c>
    </row>
    <row r="10121" spans="27:27">
      <c r="AA10121" t="s">
        <v>11220</v>
      </c>
    </row>
    <row r="10122" spans="27:27">
      <c r="AA10122" t="s">
        <v>11221</v>
      </c>
    </row>
    <row r="10123" spans="27:27">
      <c r="AA10123" t="s">
        <v>11222</v>
      </c>
    </row>
    <row r="10124" spans="27:27">
      <c r="AA10124" t="s">
        <v>1041</v>
      </c>
    </row>
    <row r="10125" spans="27:27">
      <c r="AA10125" t="s">
        <v>11223</v>
      </c>
    </row>
    <row r="10126" spans="27:27">
      <c r="AA10126" t="s">
        <v>11224</v>
      </c>
    </row>
    <row r="10127" spans="27:27">
      <c r="AA10127" t="s">
        <v>11225</v>
      </c>
    </row>
    <row r="10128" spans="27:27">
      <c r="AA10128" t="s">
        <v>1042</v>
      </c>
    </row>
    <row r="10129" spans="27:27">
      <c r="AA10129" t="s">
        <v>3887</v>
      </c>
    </row>
    <row r="10130" spans="27:27">
      <c r="AA10130" t="s">
        <v>1043</v>
      </c>
    </row>
    <row r="10131" spans="27:27">
      <c r="AA10131" t="s">
        <v>1044</v>
      </c>
    </row>
    <row r="10132" spans="27:27">
      <c r="AA10132" t="s">
        <v>11226</v>
      </c>
    </row>
    <row r="10133" spans="27:27">
      <c r="AA10133" t="s">
        <v>11227</v>
      </c>
    </row>
    <row r="10134" spans="27:27">
      <c r="AA10134" t="s">
        <v>11228</v>
      </c>
    </row>
    <row r="10135" spans="27:27">
      <c r="AA10135" t="s">
        <v>11229</v>
      </c>
    </row>
    <row r="10136" spans="27:27">
      <c r="AA10136" t="s">
        <v>1045</v>
      </c>
    </row>
    <row r="10137" spans="27:27">
      <c r="AA10137" t="s">
        <v>11230</v>
      </c>
    </row>
    <row r="10138" spans="27:27">
      <c r="AA10138" t="s">
        <v>11231</v>
      </c>
    </row>
    <row r="10139" spans="27:27">
      <c r="AA10139" t="s">
        <v>11232</v>
      </c>
    </row>
    <row r="10140" spans="27:27">
      <c r="AA10140" t="s">
        <v>11233</v>
      </c>
    </row>
    <row r="10141" spans="27:27">
      <c r="AA10141" t="s">
        <v>11234</v>
      </c>
    </row>
    <row r="10142" spans="27:27">
      <c r="AA10142" t="s">
        <v>11235</v>
      </c>
    </row>
    <row r="10143" spans="27:27">
      <c r="AA10143" t="s">
        <v>11236</v>
      </c>
    </row>
    <row r="10144" spans="27:27">
      <c r="AA10144" t="s">
        <v>11237</v>
      </c>
    </row>
    <row r="10145" spans="27:27">
      <c r="AA10145" t="s">
        <v>11238</v>
      </c>
    </row>
    <row r="10146" spans="27:27">
      <c r="AA10146" t="s">
        <v>11239</v>
      </c>
    </row>
    <row r="10147" spans="27:27">
      <c r="AA10147" t="s">
        <v>11240</v>
      </c>
    </row>
    <row r="10148" spans="27:27">
      <c r="AA10148" t="s">
        <v>11241</v>
      </c>
    </row>
    <row r="10149" spans="27:27">
      <c r="AA10149" t="s">
        <v>11242</v>
      </c>
    </row>
    <row r="10150" spans="27:27">
      <c r="AA10150" t="s">
        <v>11243</v>
      </c>
    </row>
    <row r="10151" spans="27:27">
      <c r="AA10151" t="s">
        <v>11244</v>
      </c>
    </row>
    <row r="10152" spans="27:27">
      <c r="AA10152" t="s">
        <v>1046</v>
      </c>
    </row>
    <row r="10153" spans="27:27">
      <c r="AA10153" t="s">
        <v>11245</v>
      </c>
    </row>
    <row r="10154" spans="27:27">
      <c r="AA10154" t="s">
        <v>11246</v>
      </c>
    </row>
    <row r="10155" spans="27:27">
      <c r="AA10155" t="s">
        <v>11247</v>
      </c>
    </row>
    <row r="10156" spans="27:27">
      <c r="AA10156" t="s">
        <v>11248</v>
      </c>
    </row>
    <row r="10157" spans="27:27">
      <c r="AA10157" t="s">
        <v>11249</v>
      </c>
    </row>
    <row r="10158" spans="27:27">
      <c r="AA10158" t="s">
        <v>11250</v>
      </c>
    </row>
    <row r="10159" spans="27:27">
      <c r="AA10159" t="s">
        <v>1047</v>
      </c>
    </row>
    <row r="10160" spans="27:27">
      <c r="AA10160" t="s">
        <v>11251</v>
      </c>
    </row>
    <row r="10161" spans="27:27">
      <c r="AA10161" t="s">
        <v>11252</v>
      </c>
    </row>
    <row r="10162" spans="27:27">
      <c r="AA10162" t="s">
        <v>11253</v>
      </c>
    </row>
    <row r="10163" spans="27:27">
      <c r="AA10163" t="s">
        <v>11254</v>
      </c>
    </row>
    <row r="10164" spans="27:27">
      <c r="AA10164" t="s">
        <v>1048</v>
      </c>
    </row>
    <row r="10165" spans="27:27">
      <c r="AA10165" t="s">
        <v>11255</v>
      </c>
    </row>
    <row r="10166" spans="27:27">
      <c r="AA10166" t="s">
        <v>11256</v>
      </c>
    </row>
    <row r="10167" spans="27:27">
      <c r="AA10167" t="s">
        <v>11257</v>
      </c>
    </row>
    <row r="10168" spans="27:27">
      <c r="AA10168" t="s">
        <v>11258</v>
      </c>
    </row>
    <row r="10169" spans="27:27">
      <c r="AA10169" t="s">
        <v>11259</v>
      </c>
    </row>
    <row r="10170" spans="27:27">
      <c r="AA10170" t="s">
        <v>1049</v>
      </c>
    </row>
    <row r="10171" spans="27:27">
      <c r="AA10171" t="s">
        <v>11260</v>
      </c>
    </row>
    <row r="10172" spans="27:27">
      <c r="AA10172" t="s">
        <v>1050</v>
      </c>
    </row>
    <row r="10173" spans="27:27">
      <c r="AA10173" t="s">
        <v>11261</v>
      </c>
    </row>
    <row r="10174" spans="27:27">
      <c r="AA10174" t="s">
        <v>11262</v>
      </c>
    </row>
    <row r="10175" spans="27:27">
      <c r="AA10175" t="s">
        <v>11263</v>
      </c>
    </row>
    <row r="10176" spans="27:27">
      <c r="AA10176" t="s">
        <v>11264</v>
      </c>
    </row>
    <row r="10177" spans="27:27">
      <c r="AA10177" t="s">
        <v>11265</v>
      </c>
    </row>
    <row r="10178" spans="27:27">
      <c r="AA10178" t="s">
        <v>11266</v>
      </c>
    </row>
    <row r="10179" spans="27:27">
      <c r="AA10179" t="s">
        <v>11267</v>
      </c>
    </row>
    <row r="10180" spans="27:27">
      <c r="AA10180" t="s">
        <v>11268</v>
      </c>
    </row>
    <row r="10181" spans="27:27">
      <c r="AA10181" t="s">
        <v>11269</v>
      </c>
    </row>
    <row r="10182" spans="27:27">
      <c r="AA10182" t="s">
        <v>11270</v>
      </c>
    </row>
    <row r="10183" spans="27:27">
      <c r="AA10183" t="s">
        <v>11271</v>
      </c>
    </row>
    <row r="10184" spans="27:27">
      <c r="AA10184" t="s">
        <v>11272</v>
      </c>
    </row>
    <row r="10185" spans="27:27">
      <c r="AA10185" t="s">
        <v>11273</v>
      </c>
    </row>
    <row r="10186" spans="27:27">
      <c r="AA10186" t="s">
        <v>11274</v>
      </c>
    </row>
    <row r="10187" spans="27:27">
      <c r="AA10187" t="s">
        <v>11275</v>
      </c>
    </row>
    <row r="10188" spans="27:27">
      <c r="AA10188" t="s">
        <v>11276</v>
      </c>
    </row>
    <row r="10189" spans="27:27">
      <c r="AA10189" t="s">
        <v>11277</v>
      </c>
    </row>
    <row r="10190" spans="27:27">
      <c r="AA10190" t="s">
        <v>1051</v>
      </c>
    </row>
    <row r="10191" spans="27:27">
      <c r="AA10191" t="s">
        <v>11278</v>
      </c>
    </row>
    <row r="10192" spans="27:27">
      <c r="AA10192" t="s">
        <v>11279</v>
      </c>
    </row>
    <row r="10193" spans="27:27">
      <c r="AA10193" t="s">
        <v>11280</v>
      </c>
    </row>
    <row r="10194" spans="27:27">
      <c r="AA10194" t="s">
        <v>1052</v>
      </c>
    </row>
    <row r="10195" spans="27:27">
      <c r="AA10195" t="s">
        <v>11281</v>
      </c>
    </row>
    <row r="10196" spans="27:27">
      <c r="AA10196" t="s">
        <v>11282</v>
      </c>
    </row>
    <row r="10197" spans="27:27">
      <c r="AA10197" t="s">
        <v>11283</v>
      </c>
    </row>
    <row r="10198" spans="27:27">
      <c r="AA10198" t="s">
        <v>11284</v>
      </c>
    </row>
    <row r="10199" spans="27:27">
      <c r="AA10199" t="s">
        <v>1053</v>
      </c>
    </row>
    <row r="10200" spans="27:27">
      <c r="AA10200" t="s">
        <v>11285</v>
      </c>
    </row>
    <row r="10201" spans="27:27">
      <c r="AA10201" t="s">
        <v>11286</v>
      </c>
    </row>
    <row r="10202" spans="27:27">
      <c r="AA10202" t="s">
        <v>11287</v>
      </c>
    </row>
    <row r="10203" spans="27:27">
      <c r="AA10203" t="s">
        <v>11288</v>
      </c>
    </row>
    <row r="10204" spans="27:27">
      <c r="AA10204" t="s">
        <v>11289</v>
      </c>
    </row>
    <row r="10205" spans="27:27">
      <c r="AA10205" t="s">
        <v>11290</v>
      </c>
    </row>
    <row r="10206" spans="27:27">
      <c r="AA10206" t="s">
        <v>11291</v>
      </c>
    </row>
    <row r="10207" spans="27:27">
      <c r="AA10207" t="s">
        <v>11292</v>
      </c>
    </row>
    <row r="10208" spans="27:27">
      <c r="AA10208" t="s">
        <v>11293</v>
      </c>
    </row>
    <row r="10209" spans="27:27">
      <c r="AA10209" t="s">
        <v>11294</v>
      </c>
    </row>
    <row r="10210" spans="27:27">
      <c r="AA10210" t="s">
        <v>1054</v>
      </c>
    </row>
    <row r="10211" spans="27:27">
      <c r="AA10211" t="s">
        <v>11295</v>
      </c>
    </row>
    <row r="10212" spans="27:27">
      <c r="AA10212" t="s">
        <v>11296</v>
      </c>
    </row>
    <row r="10213" spans="27:27">
      <c r="AA10213" t="s">
        <v>1055</v>
      </c>
    </row>
    <row r="10214" spans="27:27">
      <c r="AA10214" t="s">
        <v>11297</v>
      </c>
    </row>
    <row r="10215" spans="27:27">
      <c r="AA10215" t="s">
        <v>1056</v>
      </c>
    </row>
    <row r="10216" spans="27:27">
      <c r="AA10216" t="s">
        <v>11298</v>
      </c>
    </row>
    <row r="10217" spans="27:27">
      <c r="AA10217" t="s">
        <v>11299</v>
      </c>
    </row>
    <row r="10218" spans="27:27">
      <c r="AA10218" t="s">
        <v>11300</v>
      </c>
    </row>
    <row r="10219" spans="27:27">
      <c r="AA10219" t="s">
        <v>11301</v>
      </c>
    </row>
    <row r="10220" spans="27:27">
      <c r="AA10220" t="s">
        <v>11302</v>
      </c>
    </row>
    <row r="10221" spans="27:27">
      <c r="AA10221" t="s">
        <v>11303</v>
      </c>
    </row>
    <row r="10222" spans="27:27">
      <c r="AA10222" t="s">
        <v>11304</v>
      </c>
    </row>
    <row r="10223" spans="27:27">
      <c r="AA10223" t="s">
        <v>11305</v>
      </c>
    </row>
    <row r="10224" spans="27:27">
      <c r="AA10224" t="s">
        <v>11306</v>
      </c>
    </row>
    <row r="10225" spans="27:27">
      <c r="AA10225" t="s">
        <v>11307</v>
      </c>
    </row>
    <row r="10226" spans="27:27">
      <c r="AA10226" t="s">
        <v>11308</v>
      </c>
    </row>
    <row r="10227" spans="27:27">
      <c r="AA10227" t="s">
        <v>3888</v>
      </c>
    </row>
    <row r="10228" spans="27:27">
      <c r="AA10228" t="s">
        <v>11309</v>
      </c>
    </row>
    <row r="10229" spans="27:27">
      <c r="AA10229" t="s">
        <v>3889</v>
      </c>
    </row>
    <row r="10230" spans="27:27">
      <c r="AA10230" t="s">
        <v>1057</v>
      </c>
    </row>
    <row r="10231" spans="27:27">
      <c r="AA10231" t="s">
        <v>1058</v>
      </c>
    </row>
    <row r="10232" spans="27:27">
      <c r="AA10232" t="s">
        <v>1059</v>
      </c>
    </row>
    <row r="10233" spans="27:27">
      <c r="AA10233" t="s">
        <v>1060</v>
      </c>
    </row>
    <row r="10234" spans="27:27">
      <c r="AA10234" t="s">
        <v>1061</v>
      </c>
    </row>
    <row r="10235" spans="27:27">
      <c r="AA10235" t="s">
        <v>11310</v>
      </c>
    </row>
    <row r="10236" spans="27:27">
      <c r="AA10236" t="s">
        <v>11311</v>
      </c>
    </row>
    <row r="10237" spans="27:27">
      <c r="AA10237" t="s">
        <v>1062</v>
      </c>
    </row>
    <row r="10238" spans="27:27">
      <c r="AA10238" t="s">
        <v>11312</v>
      </c>
    </row>
    <row r="10239" spans="27:27">
      <c r="AA10239" t="s">
        <v>1063</v>
      </c>
    </row>
    <row r="10240" spans="27:27">
      <c r="AA10240" t="s">
        <v>11313</v>
      </c>
    </row>
    <row r="10241" spans="27:27">
      <c r="AA10241" t="s">
        <v>11314</v>
      </c>
    </row>
    <row r="10242" spans="27:27">
      <c r="AA10242" t="s">
        <v>11315</v>
      </c>
    </row>
    <row r="10243" spans="27:27">
      <c r="AA10243" t="s">
        <v>11316</v>
      </c>
    </row>
    <row r="10244" spans="27:27">
      <c r="AA10244" t="s">
        <v>11317</v>
      </c>
    </row>
    <row r="10245" spans="27:27">
      <c r="AA10245" t="s">
        <v>3890</v>
      </c>
    </row>
    <row r="10246" spans="27:27">
      <c r="AA10246" t="s">
        <v>1064</v>
      </c>
    </row>
    <row r="10247" spans="27:27">
      <c r="AA10247" t="s">
        <v>11318</v>
      </c>
    </row>
    <row r="10248" spans="27:27">
      <c r="AA10248" t="s">
        <v>11319</v>
      </c>
    </row>
    <row r="10249" spans="27:27">
      <c r="AA10249" t="s">
        <v>2751</v>
      </c>
    </row>
    <row r="10250" spans="27:27">
      <c r="AA10250" t="s">
        <v>11320</v>
      </c>
    </row>
    <row r="10251" spans="27:27">
      <c r="AA10251" t="s">
        <v>2752</v>
      </c>
    </row>
    <row r="10252" spans="27:27">
      <c r="AA10252" t="s">
        <v>11321</v>
      </c>
    </row>
    <row r="10253" spans="27:27">
      <c r="AA10253" t="s">
        <v>2753</v>
      </c>
    </row>
    <row r="10254" spans="27:27">
      <c r="AA10254" t="s">
        <v>11322</v>
      </c>
    </row>
    <row r="10255" spans="27:27">
      <c r="AA10255" t="s">
        <v>11323</v>
      </c>
    </row>
    <row r="10256" spans="27:27">
      <c r="AA10256" t="s">
        <v>11324</v>
      </c>
    </row>
    <row r="10257" spans="27:27">
      <c r="AA10257" t="s">
        <v>11325</v>
      </c>
    </row>
    <row r="10258" spans="27:27">
      <c r="AA10258" t="s">
        <v>3891</v>
      </c>
    </row>
    <row r="10259" spans="27:27">
      <c r="AA10259" t="s">
        <v>2754</v>
      </c>
    </row>
    <row r="10260" spans="27:27">
      <c r="AA10260" t="s">
        <v>3892</v>
      </c>
    </row>
    <row r="10261" spans="27:27">
      <c r="AA10261" t="s">
        <v>11326</v>
      </c>
    </row>
    <row r="10262" spans="27:27">
      <c r="AA10262" t="s">
        <v>11327</v>
      </c>
    </row>
    <row r="10263" spans="27:27">
      <c r="AA10263" t="s">
        <v>3893</v>
      </c>
    </row>
    <row r="10264" spans="27:27">
      <c r="AA10264" t="s">
        <v>11328</v>
      </c>
    </row>
    <row r="10265" spans="27:27">
      <c r="AA10265" t="s">
        <v>11329</v>
      </c>
    </row>
    <row r="10266" spans="27:27">
      <c r="AA10266" t="s">
        <v>3894</v>
      </c>
    </row>
    <row r="10267" spans="27:27">
      <c r="AA10267" t="s">
        <v>11330</v>
      </c>
    </row>
    <row r="10268" spans="27:27">
      <c r="AA10268" t="s">
        <v>11331</v>
      </c>
    </row>
    <row r="10269" spans="27:27">
      <c r="AA10269" t="s">
        <v>2755</v>
      </c>
    </row>
    <row r="10270" spans="27:27">
      <c r="AA10270" t="s">
        <v>3895</v>
      </c>
    </row>
    <row r="10271" spans="27:27">
      <c r="AA10271" t="s">
        <v>11332</v>
      </c>
    </row>
    <row r="10272" spans="27:27">
      <c r="AA10272" t="s">
        <v>11333</v>
      </c>
    </row>
    <row r="10273" spans="27:27">
      <c r="AA10273" t="s">
        <v>2756</v>
      </c>
    </row>
    <row r="10274" spans="27:27">
      <c r="AA10274" t="s">
        <v>3896</v>
      </c>
    </row>
    <row r="10275" spans="27:27">
      <c r="AA10275" t="s">
        <v>11334</v>
      </c>
    </row>
    <row r="10276" spans="27:27">
      <c r="AA10276" t="s">
        <v>11335</v>
      </c>
    </row>
    <row r="10277" spans="27:27">
      <c r="AA10277" t="s">
        <v>11336</v>
      </c>
    </row>
    <row r="10278" spans="27:27">
      <c r="AA10278" t="s">
        <v>11337</v>
      </c>
    </row>
    <row r="10279" spans="27:27">
      <c r="AA10279" t="s">
        <v>11338</v>
      </c>
    </row>
    <row r="10280" spans="27:27">
      <c r="AA10280" t="s">
        <v>11339</v>
      </c>
    </row>
    <row r="10281" spans="27:27">
      <c r="AA10281" t="s">
        <v>11340</v>
      </c>
    </row>
    <row r="10282" spans="27:27">
      <c r="AA10282" t="s">
        <v>11341</v>
      </c>
    </row>
    <row r="10283" spans="27:27">
      <c r="AA10283" t="s">
        <v>11342</v>
      </c>
    </row>
    <row r="10284" spans="27:27">
      <c r="AA10284" t="s">
        <v>11343</v>
      </c>
    </row>
    <row r="10285" spans="27:27">
      <c r="AA10285" t="s">
        <v>11344</v>
      </c>
    </row>
    <row r="10286" spans="27:27">
      <c r="AA10286" t="s">
        <v>11345</v>
      </c>
    </row>
    <row r="10287" spans="27:27">
      <c r="AA10287" t="s">
        <v>11346</v>
      </c>
    </row>
    <row r="10288" spans="27:27">
      <c r="AA10288" t="s">
        <v>11347</v>
      </c>
    </row>
    <row r="10289" spans="27:27">
      <c r="AA10289" t="s">
        <v>11348</v>
      </c>
    </row>
    <row r="10290" spans="27:27">
      <c r="AA10290" t="s">
        <v>11349</v>
      </c>
    </row>
    <row r="10291" spans="27:27">
      <c r="AA10291" t="s">
        <v>11350</v>
      </c>
    </row>
    <row r="10292" spans="27:27">
      <c r="AA10292" t="s">
        <v>11351</v>
      </c>
    </row>
    <row r="10293" spans="27:27">
      <c r="AA10293" t="s">
        <v>11352</v>
      </c>
    </row>
    <row r="10294" spans="27:27">
      <c r="AA10294" t="s">
        <v>11353</v>
      </c>
    </row>
    <row r="10295" spans="27:27">
      <c r="AA10295" t="s">
        <v>11354</v>
      </c>
    </row>
    <row r="10296" spans="27:27">
      <c r="AA10296" t="s">
        <v>11355</v>
      </c>
    </row>
    <row r="10297" spans="27:27">
      <c r="AA10297" t="s">
        <v>11356</v>
      </c>
    </row>
    <row r="10298" spans="27:27">
      <c r="AA10298" t="s">
        <v>11357</v>
      </c>
    </row>
    <row r="10299" spans="27:27">
      <c r="AA10299" t="s">
        <v>11358</v>
      </c>
    </row>
    <row r="10300" spans="27:27">
      <c r="AA10300" t="s">
        <v>11359</v>
      </c>
    </row>
    <row r="10301" spans="27:27">
      <c r="AA10301" t="s">
        <v>11360</v>
      </c>
    </row>
    <row r="10302" spans="27:27">
      <c r="AA10302" t="s">
        <v>11361</v>
      </c>
    </row>
    <row r="10303" spans="27:27">
      <c r="AA10303" t="s">
        <v>11362</v>
      </c>
    </row>
    <row r="10304" spans="27:27">
      <c r="AA10304" t="s">
        <v>11363</v>
      </c>
    </row>
    <row r="10305" spans="27:27">
      <c r="AA10305" t="s">
        <v>11364</v>
      </c>
    </row>
    <row r="10306" spans="27:27">
      <c r="AA10306" t="s">
        <v>11365</v>
      </c>
    </row>
    <row r="10307" spans="27:27">
      <c r="AA10307" t="s">
        <v>11366</v>
      </c>
    </row>
    <row r="10308" spans="27:27">
      <c r="AA10308" t="s">
        <v>11367</v>
      </c>
    </row>
    <row r="10309" spans="27:27">
      <c r="AA10309" t="s">
        <v>11368</v>
      </c>
    </row>
    <row r="10310" spans="27:27">
      <c r="AA10310" t="s">
        <v>11369</v>
      </c>
    </row>
    <row r="10311" spans="27:27">
      <c r="AA10311" t="s">
        <v>11370</v>
      </c>
    </row>
    <row r="10312" spans="27:27">
      <c r="AA10312" t="s">
        <v>11371</v>
      </c>
    </row>
    <row r="10313" spans="27:27">
      <c r="AA10313" t="s">
        <v>11372</v>
      </c>
    </row>
    <row r="10314" spans="27:27">
      <c r="AA10314" t="s">
        <v>11373</v>
      </c>
    </row>
    <row r="10315" spans="27:27">
      <c r="AA10315" t="s">
        <v>11374</v>
      </c>
    </row>
    <row r="10316" spans="27:27">
      <c r="AA10316" t="s">
        <v>11375</v>
      </c>
    </row>
    <row r="10317" spans="27:27">
      <c r="AA10317" t="s">
        <v>11376</v>
      </c>
    </row>
    <row r="10318" spans="27:27">
      <c r="AA10318" t="s">
        <v>11377</v>
      </c>
    </row>
    <row r="10319" spans="27:27">
      <c r="AA10319" t="s">
        <v>11378</v>
      </c>
    </row>
    <row r="10320" spans="27:27">
      <c r="AA10320" t="s">
        <v>11379</v>
      </c>
    </row>
    <row r="10321" spans="27:27">
      <c r="AA10321" t="s">
        <v>11380</v>
      </c>
    </row>
    <row r="10322" spans="27:27">
      <c r="AA10322" t="s">
        <v>11381</v>
      </c>
    </row>
    <row r="10323" spans="27:27">
      <c r="AA10323" t="s">
        <v>11382</v>
      </c>
    </row>
    <row r="10324" spans="27:27">
      <c r="AA10324" t="s">
        <v>11383</v>
      </c>
    </row>
    <row r="10325" spans="27:27">
      <c r="AA10325" t="s">
        <v>11384</v>
      </c>
    </row>
    <row r="10326" spans="27:27">
      <c r="AA10326" t="s">
        <v>11385</v>
      </c>
    </row>
    <row r="10327" spans="27:27">
      <c r="AA10327" t="s">
        <v>11386</v>
      </c>
    </row>
    <row r="10328" spans="27:27">
      <c r="AA10328" t="s">
        <v>11387</v>
      </c>
    </row>
    <row r="10329" spans="27:27">
      <c r="AA10329" t="s">
        <v>11388</v>
      </c>
    </row>
    <row r="10330" spans="27:27">
      <c r="AA10330" t="s">
        <v>11389</v>
      </c>
    </row>
    <row r="10331" spans="27:27">
      <c r="AA10331" t="s">
        <v>11390</v>
      </c>
    </row>
    <row r="10332" spans="27:27">
      <c r="AA10332" t="s">
        <v>11391</v>
      </c>
    </row>
    <row r="10333" spans="27:27">
      <c r="AA10333" t="s">
        <v>11392</v>
      </c>
    </row>
    <row r="10334" spans="27:27">
      <c r="AA10334" t="s">
        <v>11393</v>
      </c>
    </row>
    <row r="10335" spans="27:27">
      <c r="AA10335" t="s">
        <v>11394</v>
      </c>
    </row>
    <row r="10336" spans="27:27">
      <c r="AA10336" t="s">
        <v>11395</v>
      </c>
    </row>
    <row r="10337" spans="27:27">
      <c r="AA10337" t="s">
        <v>11396</v>
      </c>
    </row>
    <row r="10338" spans="27:27">
      <c r="AA10338" t="s">
        <v>11397</v>
      </c>
    </row>
    <row r="10339" spans="27:27">
      <c r="AA10339" t="s">
        <v>11398</v>
      </c>
    </row>
    <row r="10340" spans="27:27">
      <c r="AA10340" t="s">
        <v>11399</v>
      </c>
    </row>
    <row r="10341" spans="27:27">
      <c r="AA10341" t="s">
        <v>11400</v>
      </c>
    </row>
    <row r="10342" spans="27:27">
      <c r="AA10342" t="s">
        <v>11401</v>
      </c>
    </row>
    <row r="10343" spans="27:27">
      <c r="AA10343" t="s">
        <v>11402</v>
      </c>
    </row>
    <row r="10344" spans="27:27">
      <c r="AA10344" t="s">
        <v>11403</v>
      </c>
    </row>
    <row r="10345" spans="27:27">
      <c r="AA10345" t="s">
        <v>11404</v>
      </c>
    </row>
    <row r="10346" spans="27:27">
      <c r="AA10346" t="s">
        <v>2757</v>
      </c>
    </row>
    <row r="10347" spans="27:27">
      <c r="AA10347" t="s">
        <v>11405</v>
      </c>
    </row>
    <row r="10348" spans="27:27">
      <c r="AA10348" t="s">
        <v>2758</v>
      </c>
    </row>
    <row r="10349" spans="27:27">
      <c r="AA10349" t="s">
        <v>11406</v>
      </c>
    </row>
    <row r="10350" spans="27:27">
      <c r="AA10350" t="s">
        <v>11407</v>
      </c>
    </row>
    <row r="10351" spans="27:27">
      <c r="AA10351" t="s">
        <v>11408</v>
      </c>
    </row>
    <row r="10352" spans="27:27">
      <c r="AA10352" t="s">
        <v>2759</v>
      </c>
    </row>
    <row r="10353" spans="27:27">
      <c r="AA10353" t="s">
        <v>11409</v>
      </c>
    </row>
    <row r="10354" spans="27:27">
      <c r="AA10354" t="s">
        <v>11410</v>
      </c>
    </row>
    <row r="10355" spans="27:27">
      <c r="AA10355" t="s">
        <v>11411</v>
      </c>
    </row>
    <row r="10356" spans="27:27">
      <c r="AA10356" t="s">
        <v>2760</v>
      </c>
    </row>
    <row r="10357" spans="27:27">
      <c r="AA10357" t="s">
        <v>11412</v>
      </c>
    </row>
    <row r="10358" spans="27:27">
      <c r="AA10358" t="s">
        <v>11413</v>
      </c>
    </row>
    <row r="10359" spans="27:27">
      <c r="AA10359" t="s">
        <v>11414</v>
      </c>
    </row>
    <row r="10360" spans="27:27">
      <c r="AA10360" t="s">
        <v>2761</v>
      </c>
    </row>
    <row r="10361" spans="27:27">
      <c r="AA10361" t="s">
        <v>11415</v>
      </c>
    </row>
    <row r="10362" spans="27:27">
      <c r="AA10362" t="s">
        <v>11416</v>
      </c>
    </row>
    <row r="10363" spans="27:27">
      <c r="AA10363" t="s">
        <v>11417</v>
      </c>
    </row>
    <row r="10364" spans="27:27">
      <c r="AA10364" t="s">
        <v>2762</v>
      </c>
    </row>
    <row r="10365" spans="27:27">
      <c r="AA10365" t="s">
        <v>11418</v>
      </c>
    </row>
    <row r="10366" spans="27:27">
      <c r="AA10366" t="s">
        <v>11419</v>
      </c>
    </row>
    <row r="10367" spans="27:27">
      <c r="AA10367" t="s">
        <v>11420</v>
      </c>
    </row>
    <row r="10368" spans="27:27">
      <c r="AA10368" t="s">
        <v>2763</v>
      </c>
    </row>
    <row r="10369" spans="27:27">
      <c r="AA10369" t="s">
        <v>11421</v>
      </c>
    </row>
    <row r="10370" spans="27:27">
      <c r="AA10370" t="s">
        <v>11422</v>
      </c>
    </row>
    <row r="10371" spans="27:27">
      <c r="AA10371" t="s">
        <v>11423</v>
      </c>
    </row>
    <row r="10372" spans="27:27">
      <c r="AA10372" t="s">
        <v>2764</v>
      </c>
    </row>
    <row r="10373" spans="27:27">
      <c r="AA10373" t="s">
        <v>11424</v>
      </c>
    </row>
    <row r="10374" spans="27:27">
      <c r="AA10374" t="s">
        <v>11425</v>
      </c>
    </row>
    <row r="10375" spans="27:27">
      <c r="AA10375" t="s">
        <v>2765</v>
      </c>
    </row>
    <row r="10376" spans="27:27">
      <c r="AA10376" t="s">
        <v>11426</v>
      </c>
    </row>
    <row r="10377" spans="27:27">
      <c r="AA10377" t="s">
        <v>2766</v>
      </c>
    </row>
    <row r="10378" spans="27:27">
      <c r="AA10378" t="s">
        <v>3897</v>
      </c>
    </row>
    <row r="10379" spans="27:27">
      <c r="AA10379" t="s">
        <v>3898</v>
      </c>
    </row>
    <row r="10380" spans="27:27">
      <c r="AA10380" t="s">
        <v>2767</v>
      </c>
    </row>
    <row r="10381" spans="27:27">
      <c r="AA10381" t="s">
        <v>2768</v>
      </c>
    </row>
    <row r="10382" spans="27:27">
      <c r="AA10382" t="s">
        <v>1065</v>
      </c>
    </row>
    <row r="10383" spans="27:27">
      <c r="AA10383" t="s">
        <v>1066</v>
      </c>
    </row>
    <row r="10384" spans="27:27">
      <c r="AA10384" t="s">
        <v>11427</v>
      </c>
    </row>
    <row r="10385" spans="27:27">
      <c r="AA10385" t="s">
        <v>11428</v>
      </c>
    </row>
    <row r="10386" spans="27:27">
      <c r="AA10386" t="s">
        <v>11429</v>
      </c>
    </row>
    <row r="10387" spans="27:27">
      <c r="AA10387" t="s">
        <v>2769</v>
      </c>
    </row>
    <row r="10388" spans="27:27">
      <c r="AA10388" t="s">
        <v>2770</v>
      </c>
    </row>
    <row r="10389" spans="27:27">
      <c r="AA10389" t="s">
        <v>2771</v>
      </c>
    </row>
    <row r="10390" spans="27:27">
      <c r="AA10390" t="s">
        <v>11430</v>
      </c>
    </row>
    <row r="10391" spans="27:27">
      <c r="AA10391" t="s">
        <v>11431</v>
      </c>
    </row>
    <row r="10392" spans="27:27">
      <c r="AA10392" t="s">
        <v>3899</v>
      </c>
    </row>
    <row r="10393" spans="27:27">
      <c r="AA10393" t="s">
        <v>11432</v>
      </c>
    </row>
    <row r="10394" spans="27:27">
      <c r="AA10394" t="s">
        <v>11433</v>
      </c>
    </row>
    <row r="10395" spans="27:27">
      <c r="AA10395" t="s">
        <v>11434</v>
      </c>
    </row>
    <row r="10396" spans="27:27">
      <c r="AA10396" t="s">
        <v>1067</v>
      </c>
    </row>
    <row r="10397" spans="27:27">
      <c r="AA10397" t="s">
        <v>1068</v>
      </c>
    </row>
    <row r="10398" spans="27:27">
      <c r="AA10398" t="s">
        <v>11435</v>
      </c>
    </row>
    <row r="10399" spans="27:27">
      <c r="AA10399" t="s">
        <v>11436</v>
      </c>
    </row>
    <row r="10400" spans="27:27">
      <c r="AA10400" t="s">
        <v>11437</v>
      </c>
    </row>
    <row r="10401" spans="27:27">
      <c r="AA10401" t="s">
        <v>3900</v>
      </c>
    </row>
    <row r="10402" spans="27:27">
      <c r="AA10402" t="s">
        <v>11438</v>
      </c>
    </row>
    <row r="10403" spans="27:27">
      <c r="AA10403" t="s">
        <v>11439</v>
      </c>
    </row>
    <row r="10404" spans="27:27">
      <c r="AA10404" t="s">
        <v>1069</v>
      </c>
    </row>
    <row r="10405" spans="27:27">
      <c r="AA10405" t="s">
        <v>11440</v>
      </c>
    </row>
    <row r="10406" spans="27:27">
      <c r="AA10406" t="s">
        <v>11441</v>
      </c>
    </row>
    <row r="10407" spans="27:27">
      <c r="AA10407" t="s">
        <v>2772</v>
      </c>
    </row>
    <row r="10408" spans="27:27">
      <c r="AA10408" t="s">
        <v>11442</v>
      </c>
    </row>
    <row r="10409" spans="27:27">
      <c r="AA10409" t="s">
        <v>11443</v>
      </c>
    </row>
    <row r="10410" spans="27:27">
      <c r="AA10410" t="s">
        <v>11444</v>
      </c>
    </row>
    <row r="10411" spans="27:27">
      <c r="AA10411" t="s">
        <v>2773</v>
      </c>
    </row>
    <row r="10412" spans="27:27">
      <c r="AA10412" t="s">
        <v>11445</v>
      </c>
    </row>
    <row r="10413" spans="27:27">
      <c r="AA10413" t="s">
        <v>1070</v>
      </c>
    </row>
    <row r="10414" spans="27:27">
      <c r="AA10414" t="s">
        <v>11446</v>
      </c>
    </row>
    <row r="10415" spans="27:27">
      <c r="AA10415" t="s">
        <v>2774</v>
      </c>
    </row>
    <row r="10416" spans="27:27">
      <c r="AA10416" t="s">
        <v>11447</v>
      </c>
    </row>
    <row r="10417" spans="27:27">
      <c r="AA10417" t="s">
        <v>11448</v>
      </c>
    </row>
    <row r="10418" spans="27:27">
      <c r="AA10418" t="s">
        <v>2775</v>
      </c>
    </row>
    <row r="10419" spans="27:27">
      <c r="AA10419" t="s">
        <v>11449</v>
      </c>
    </row>
    <row r="10420" spans="27:27">
      <c r="AA10420" t="s">
        <v>11450</v>
      </c>
    </row>
    <row r="10421" spans="27:27">
      <c r="AA10421" t="s">
        <v>2776</v>
      </c>
    </row>
    <row r="10422" spans="27:27">
      <c r="AA10422" t="s">
        <v>11451</v>
      </c>
    </row>
    <row r="10423" spans="27:27">
      <c r="AA10423" t="s">
        <v>11452</v>
      </c>
    </row>
    <row r="10424" spans="27:27">
      <c r="AA10424" t="s">
        <v>11453</v>
      </c>
    </row>
    <row r="10425" spans="27:27">
      <c r="AA10425" t="s">
        <v>2777</v>
      </c>
    </row>
    <row r="10426" spans="27:27">
      <c r="AA10426" t="s">
        <v>11454</v>
      </c>
    </row>
    <row r="10427" spans="27:27">
      <c r="AA10427" t="s">
        <v>11455</v>
      </c>
    </row>
    <row r="10428" spans="27:27">
      <c r="AA10428" t="s">
        <v>11456</v>
      </c>
    </row>
    <row r="10429" spans="27:27">
      <c r="AA10429" t="s">
        <v>11457</v>
      </c>
    </row>
    <row r="10430" spans="27:27">
      <c r="AA10430" t="s">
        <v>11458</v>
      </c>
    </row>
    <row r="10431" spans="27:27">
      <c r="AA10431" t="s">
        <v>11459</v>
      </c>
    </row>
    <row r="10432" spans="27:27">
      <c r="AA10432" t="s">
        <v>11460</v>
      </c>
    </row>
    <row r="10433" spans="27:27">
      <c r="AA10433" t="s">
        <v>1071</v>
      </c>
    </row>
    <row r="10434" spans="27:27">
      <c r="AA10434" t="s">
        <v>11461</v>
      </c>
    </row>
    <row r="10435" spans="27:27">
      <c r="AA10435" t="s">
        <v>11462</v>
      </c>
    </row>
    <row r="10436" spans="27:27">
      <c r="AA10436" t="s">
        <v>11463</v>
      </c>
    </row>
    <row r="10437" spans="27:27">
      <c r="AA10437" t="s">
        <v>11464</v>
      </c>
    </row>
    <row r="10438" spans="27:27">
      <c r="AA10438" t="s">
        <v>11465</v>
      </c>
    </row>
    <row r="10439" spans="27:27">
      <c r="AA10439" t="s">
        <v>11466</v>
      </c>
    </row>
    <row r="10440" spans="27:27">
      <c r="AA10440" t="s">
        <v>11467</v>
      </c>
    </row>
    <row r="10441" spans="27:27">
      <c r="AA10441" t="s">
        <v>11468</v>
      </c>
    </row>
    <row r="10442" spans="27:27">
      <c r="AA10442" t="s">
        <v>11469</v>
      </c>
    </row>
    <row r="10443" spans="27:27">
      <c r="AA10443" t="s">
        <v>11470</v>
      </c>
    </row>
    <row r="10444" spans="27:27">
      <c r="AA10444" t="s">
        <v>11471</v>
      </c>
    </row>
    <row r="10445" spans="27:27">
      <c r="AA10445" t="s">
        <v>11472</v>
      </c>
    </row>
    <row r="10446" spans="27:27">
      <c r="AA10446" t="s">
        <v>11473</v>
      </c>
    </row>
    <row r="10447" spans="27:27">
      <c r="AA10447" t="s">
        <v>11474</v>
      </c>
    </row>
    <row r="10448" spans="27:27">
      <c r="AA10448" t="s">
        <v>1072</v>
      </c>
    </row>
    <row r="10449" spans="27:27">
      <c r="AA10449" t="s">
        <v>2778</v>
      </c>
    </row>
    <row r="10450" spans="27:27">
      <c r="AA10450" t="s">
        <v>11475</v>
      </c>
    </row>
    <row r="10451" spans="27:27">
      <c r="AA10451" t="s">
        <v>1073</v>
      </c>
    </row>
    <row r="10452" spans="27:27">
      <c r="AA10452" t="s">
        <v>11476</v>
      </c>
    </row>
    <row r="10453" spans="27:27">
      <c r="AA10453" t="s">
        <v>11477</v>
      </c>
    </row>
    <row r="10454" spans="27:27">
      <c r="AA10454" t="s">
        <v>11478</v>
      </c>
    </row>
    <row r="10455" spans="27:27">
      <c r="AA10455" t="s">
        <v>2779</v>
      </c>
    </row>
    <row r="10456" spans="27:27">
      <c r="AA10456" t="s">
        <v>11479</v>
      </c>
    </row>
    <row r="10457" spans="27:27">
      <c r="AA10457" t="s">
        <v>11480</v>
      </c>
    </row>
    <row r="10458" spans="27:27">
      <c r="AA10458" t="s">
        <v>11481</v>
      </c>
    </row>
    <row r="10459" spans="27:27">
      <c r="AA10459" t="s">
        <v>11482</v>
      </c>
    </row>
    <row r="10460" spans="27:27">
      <c r="AA10460" t="s">
        <v>11483</v>
      </c>
    </row>
    <row r="10461" spans="27:27">
      <c r="AA10461" t="s">
        <v>1074</v>
      </c>
    </row>
    <row r="10462" spans="27:27">
      <c r="AA10462" t="s">
        <v>11484</v>
      </c>
    </row>
    <row r="10463" spans="27:27">
      <c r="AA10463" t="s">
        <v>11485</v>
      </c>
    </row>
    <row r="10464" spans="27:27">
      <c r="AA10464" t="s">
        <v>1075</v>
      </c>
    </row>
    <row r="10465" spans="27:27">
      <c r="AA10465" t="s">
        <v>2780</v>
      </c>
    </row>
    <row r="10466" spans="27:27">
      <c r="AA10466" t="s">
        <v>11486</v>
      </c>
    </row>
    <row r="10467" spans="27:27">
      <c r="AA10467" t="s">
        <v>11487</v>
      </c>
    </row>
    <row r="10468" spans="27:27">
      <c r="AA10468" t="s">
        <v>11488</v>
      </c>
    </row>
    <row r="10469" spans="27:27">
      <c r="AA10469" t="s">
        <v>11489</v>
      </c>
    </row>
    <row r="10470" spans="27:27">
      <c r="AA10470" t="s">
        <v>11490</v>
      </c>
    </row>
    <row r="10471" spans="27:27">
      <c r="AA10471" t="s">
        <v>11491</v>
      </c>
    </row>
    <row r="10472" spans="27:27">
      <c r="AA10472" t="s">
        <v>11492</v>
      </c>
    </row>
    <row r="10473" spans="27:27">
      <c r="AA10473" t="s">
        <v>11493</v>
      </c>
    </row>
    <row r="10474" spans="27:27">
      <c r="AA10474" t="s">
        <v>11494</v>
      </c>
    </row>
    <row r="10475" spans="27:27">
      <c r="AA10475" t="s">
        <v>2781</v>
      </c>
    </row>
    <row r="10476" spans="27:27">
      <c r="AA10476" t="s">
        <v>11495</v>
      </c>
    </row>
    <row r="10477" spans="27:27">
      <c r="AA10477" t="s">
        <v>11496</v>
      </c>
    </row>
    <row r="10478" spans="27:27">
      <c r="AA10478" t="s">
        <v>11497</v>
      </c>
    </row>
    <row r="10479" spans="27:27">
      <c r="AA10479" t="s">
        <v>11498</v>
      </c>
    </row>
    <row r="10480" spans="27:27">
      <c r="AA10480" t="s">
        <v>11499</v>
      </c>
    </row>
    <row r="10481" spans="27:27">
      <c r="AA10481" t="s">
        <v>11500</v>
      </c>
    </row>
    <row r="10482" spans="27:27">
      <c r="AA10482" t="s">
        <v>2782</v>
      </c>
    </row>
    <row r="10483" spans="27:27">
      <c r="AA10483" t="s">
        <v>11501</v>
      </c>
    </row>
    <row r="10484" spans="27:27">
      <c r="AA10484" t="s">
        <v>11502</v>
      </c>
    </row>
    <row r="10485" spans="27:27">
      <c r="AA10485" t="s">
        <v>11503</v>
      </c>
    </row>
    <row r="10486" spans="27:27">
      <c r="AA10486" t="s">
        <v>11504</v>
      </c>
    </row>
    <row r="10487" spans="27:27">
      <c r="AA10487" t="s">
        <v>11505</v>
      </c>
    </row>
    <row r="10488" spans="27:27">
      <c r="AA10488" t="s">
        <v>2783</v>
      </c>
    </row>
    <row r="10489" spans="27:27">
      <c r="AA10489" t="s">
        <v>11506</v>
      </c>
    </row>
    <row r="10490" spans="27:27">
      <c r="AA10490" t="s">
        <v>2784</v>
      </c>
    </row>
    <row r="10491" spans="27:27">
      <c r="AA10491" t="s">
        <v>11507</v>
      </c>
    </row>
    <row r="10492" spans="27:27">
      <c r="AA10492" t="s">
        <v>11508</v>
      </c>
    </row>
    <row r="10493" spans="27:27">
      <c r="AA10493" t="s">
        <v>11509</v>
      </c>
    </row>
    <row r="10494" spans="27:27">
      <c r="AA10494" t="s">
        <v>11510</v>
      </c>
    </row>
    <row r="10495" spans="27:27">
      <c r="AA10495" t="s">
        <v>11511</v>
      </c>
    </row>
    <row r="10496" spans="27:27">
      <c r="AA10496" t="s">
        <v>2785</v>
      </c>
    </row>
    <row r="10497" spans="27:27">
      <c r="AA10497" t="s">
        <v>11512</v>
      </c>
    </row>
    <row r="10498" spans="27:27">
      <c r="AA10498" t="s">
        <v>2786</v>
      </c>
    </row>
    <row r="10499" spans="27:27">
      <c r="AA10499" t="s">
        <v>11513</v>
      </c>
    </row>
    <row r="10500" spans="27:27">
      <c r="AA10500" t="s">
        <v>11514</v>
      </c>
    </row>
    <row r="10501" spans="27:27">
      <c r="AA10501" t="s">
        <v>11515</v>
      </c>
    </row>
    <row r="10502" spans="27:27">
      <c r="AA10502" t="s">
        <v>11516</v>
      </c>
    </row>
    <row r="10503" spans="27:27">
      <c r="AA10503" t="s">
        <v>11517</v>
      </c>
    </row>
    <row r="10504" spans="27:27">
      <c r="AA10504" t="s">
        <v>11518</v>
      </c>
    </row>
    <row r="10505" spans="27:27">
      <c r="AA10505" t="s">
        <v>11519</v>
      </c>
    </row>
    <row r="10506" spans="27:27">
      <c r="AA10506" t="s">
        <v>11520</v>
      </c>
    </row>
    <row r="10507" spans="27:27">
      <c r="AA10507" t="s">
        <v>11521</v>
      </c>
    </row>
    <row r="10508" spans="27:27">
      <c r="AA10508" t="s">
        <v>11522</v>
      </c>
    </row>
    <row r="10509" spans="27:27">
      <c r="AA10509" t="s">
        <v>3901</v>
      </c>
    </row>
    <row r="10510" spans="27:27">
      <c r="AA10510" t="s">
        <v>11523</v>
      </c>
    </row>
    <row r="10511" spans="27:27">
      <c r="AA10511" t="s">
        <v>11524</v>
      </c>
    </row>
    <row r="10512" spans="27:27">
      <c r="AA10512" t="s">
        <v>11525</v>
      </c>
    </row>
    <row r="10513" spans="27:27">
      <c r="AA10513" t="s">
        <v>11526</v>
      </c>
    </row>
    <row r="10514" spans="27:27">
      <c r="AA10514" t="s">
        <v>11527</v>
      </c>
    </row>
    <row r="10515" spans="27:27">
      <c r="AA10515" t="s">
        <v>11528</v>
      </c>
    </row>
    <row r="10516" spans="27:27">
      <c r="AA10516" t="s">
        <v>11529</v>
      </c>
    </row>
    <row r="10517" spans="27:27">
      <c r="AA10517" t="s">
        <v>11530</v>
      </c>
    </row>
    <row r="10518" spans="27:27">
      <c r="AA10518" t="s">
        <v>11531</v>
      </c>
    </row>
    <row r="10519" spans="27:27">
      <c r="AA10519" t="s">
        <v>11532</v>
      </c>
    </row>
    <row r="10520" spans="27:27">
      <c r="AA10520" t="s">
        <v>11533</v>
      </c>
    </row>
    <row r="10521" spans="27:27">
      <c r="AA10521" t="s">
        <v>2787</v>
      </c>
    </row>
    <row r="10522" spans="27:27">
      <c r="AA10522" t="s">
        <v>11534</v>
      </c>
    </row>
    <row r="10523" spans="27:27">
      <c r="AA10523" t="s">
        <v>11535</v>
      </c>
    </row>
    <row r="10524" spans="27:27">
      <c r="AA10524" t="s">
        <v>11536</v>
      </c>
    </row>
    <row r="10525" spans="27:27">
      <c r="AA10525" t="s">
        <v>11537</v>
      </c>
    </row>
    <row r="10526" spans="27:27">
      <c r="AA10526" t="s">
        <v>11538</v>
      </c>
    </row>
    <row r="10527" spans="27:27">
      <c r="AA10527" t="s">
        <v>11539</v>
      </c>
    </row>
    <row r="10528" spans="27:27">
      <c r="AA10528" t="s">
        <v>11540</v>
      </c>
    </row>
    <row r="10529" spans="27:27">
      <c r="AA10529" t="s">
        <v>11541</v>
      </c>
    </row>
    <row r="10530" spans="27:27">
      <c r="AA10530" t="s">
        <v>11542</v>
      </c>
    </row>
    <row r="10531" spans="27:27">
      <c r="AA10531" t="s">
        <v>11543</v>
      </c>
    </row>
    <row r="10532" spans="27:27">
      <c r="AA10532" t="s">
        <v>11544</v>
      </c>
    </row>
    <row r="10533" spans="27:27">
      <c r="AA10533" t="s">
        <v>11545</v>
      </c>
    </row>
    <row r="10534" spans="27:27">
      <c r="AA10534" t="s">
        <v>11546</v>
      </c>
    </row>
    <row r="10535" spans="27:27">
      <c r="AA10535" t="s">
        <v>11547</v>
      </c>
    </row>
    <row r="10536" spans="27:27">
      <c r="AA10536" t="s">
        <v>11548</v>
      </c>
    </row>
    <row r="10537" spans="27:27">
      <c r="AA10537" t="s">
        <v>11549</v>
      </c>
    </row>
    <row r="10538" spans="27:27">
      <c r="AA10538" t="s">
        <v>11550</v>
      </c>
    </row>
    <row r="10539" spans="27:27">
      <c r="AA10539" t="s">
        <v>11551</v>
      </c>
    </row>
    <row r="10540" spans="27:27">
      <c r="AA10540" t="s">
        <v>11552</v>
      </c>
    </row>
    <row r="10541" spans="27:27">
      <c r="AA10541" t="s">
        <v>11553</v>
      </c>
    </row>
    <row r="10542" spans="27:27">
      <c r="AA10542" t="s">
        <v>11554</v>
      </c>
    </row>
    <row r="10543" spans="27:27">
      <c r="AA10543" t="s">
        <v>11555</v>
      </c>
    </row>
    <row r="10544" spans="27:27">
      <c r="AA10544" t="s">
        <v>11556</v>
      </c>
    </row>
    <row r="10545" spans="27:27">
      <c r="AA10545" t="s">
        <v>11557</v>
      </c>
    </row>
    <row r="10546" spans="27:27">
      <c r="AA10546" t="s">
        <v>11558</v>
      </c>
    </row>
    <row r="10547" spans="27:27">
      <c r="AA10547" t="s">
        <v>11559</v>
      </c>
    </row>
    <row r="10548" spans="27:27">
      <c r="AA10548" t="s">
        <v>11560</v>
      </c>
    </row>
    <row r="10549" spans="27:27">
      <c r="AA10549" t="s">
        <v>11561</v>
      </c>
    </row>
    <row r="10550" spans="27:27">
      <c r="AA10550" t="s">
        <v>11562</v>
      </c>
    </row>
    <row r="10551" spans="27:27">
      <c r="AA10551" t="s">
        <v>2788</v>
      </c>
    </row>
    <row r="10552" spans="27:27">
      <c r="AA10552" t="s">
        <v>11563</v>
      </c>
    </row>
    <row r="10553" spans="27:27">
      <c r="AA10553" t="s">
        <v>11564</v>
      </c>
    </row>
    <row r="10554" spans="27:27">
      <c r="AA10554" t="s">
        <v>11565</v>
      </c>
    </row>
    <row r="10555" spans="27:27">
      <c r="AA10555" t="s">
        <v>11566</v>
      </c>
    </row>
    <row r="10556" spans="27:27">
      <c r="AA10556" t="s">
        <v>2789</v>
      </c>
    </row>
    <row r="10557" spans="27:27">
      <c r="AA10557" t="s">
        <v>3902</v>
      </c>
    </row>
    <row r="10558" spans="27:27">
      <c r="AA10558" t="s">
        <v>11567</v>
      </c>
    </row>
    <row r="10559" spans="27:27">
      <c r="AA10559" t="s">
        <v>11568</v>
      </c>
    </row>
    <row r="10560" spans="27:27">
      <c r="AA10560" t="s">
        <v>1076</v>
      </c>
    </row>
    <row r="10561" spans="19:27">
      <c r="AA10561" t="s">
        <v>11569</v>
      </c>
    </row>
    <row r="10562" spans="19:27">
      <c r="AA10562" t="s">
        <v>11570</v>
      </c>
    </row>
    <row r="10563" spans="19:27">
      <c r="AA10563" t="s">
        <v>11571</v>
      </c>
    </row>
    <row r="10564" spans="19:27">
      <c r="AA10564" t="s">
        <v>11572</v>
      </c>
    </row>
    <row r="10565" spans="19:27">
      <c r="AA10565" t="s">
        <v>11573</v>
      </c>
    </row>
    <row r="10566" spans="19:27">
      <c r="AA10566" t="s">
        <v>11574</v>
      </c>
    </row>
    <row r="10567" spans="19:27">
      <c r="AA10567" t="s">
        <v>11575</v>
      </c>
    </row>
    <row r="10568" spans="19:27">
      <c r="AA10568" t="s">
        <v>11576</v>
      </c>
    </row>
    <row r="10569" spans="19:27">
      <c r="AA10569" t="s">
        <v>11577</v>
      </c>
    </row>
    <row r="10570" spans="19:27">
      <c r="S10570" s="73" t="s">
        <v>13920</v>
      </c>
      <c r="T10570" s="73" t="s">
        <v>13921</v>
      </c>
      <c r="U10570" t="str">
        <f>X237</f>
        <v>"1.205755177"</v>
      </c>
      <c r="V10570" t="str">
        <f>CONCATENATE(S10570,T10570,U10570)</f>
        <v>93870         LABEL "1.205755177"</v>
      </c>
      <c r="AA10570" t="str">
        <f>V10570</f>
        <v>93870         LABEL "1.205755177"</v>
      </c>
    </row>
    <row r="10571" spans="19:27">
      <c r="AA10571" t="s">
        <v>11579</v>
      </c>
    </row>
    <row r="10572" spans="19:27">
      <c r="AA10572" t="s">
        <v>11580</v>
      </c>
    </row>
    <row r="10573" spans="19:27">
      <c r="AA10573" t="s">
        <v>11581</v>
      </c>
    </row>
    <row r="10574" spans="19:27">
      <c r="AA10574" t="s">
        <v>11582</v>
      </c>
    </row>
    <row r="10575" spans="19:27">
      <c r="AA10575" t="s">
        <v>11583</v>
      </c>
    </row>
    <row r="10576" spans="19:27">
      <c r="AA10576" t="s">
        <v>2790</v>
      </c>
    </row>
    <row r="10577" spans="27:27">
      <c r="AA10577" t="s">
        <v>11584</v>
      </c>
    </row>
    <row r="10578" spans="27:27">
      <c r="AA10578" t="s">
        <v>11585</v>
      </c>
    </row>
    <row r="10579" spans="27:27">
      <c r="AA10579" t="s">
        <v>11586</v>
      </c>
    </row>
    <row r="10580" spans="27:27">
      <c r="AA10580" t="s">
        <v>11587</v>
      </c>
    </row>
    <row r="10581" spans="27:27">
      <c r="AA10581" t="s">
        <v>11588</v>
      </c>
    </row>
    <row r="10582" spans="27:27">
      <c r="AA10582" t="s">
        <v>11589</v>
      </c>
    </row>
    <row r="10583" spans="27:27">
      <c r="AA10583" t="s">
        <v>11590</v>
      </c>
    </row>
    <row r="10584" spans="27:27">
      <c r="AA10584" t="s">
        <v>11591</v>
      </c>
    </row>
    <row r="10585" spans="27:27">
      <c r="AA10585" t="s">
        <v>11592</v>
      </c>
    </row>
    <row r="10586" spans="27:27">
      <c r="AA10586" t="s">
        <v>11593</v>
      </c>
    </row>
    <row r="10587" spans="27:27">
      <c r="AA10587" t="s">
        <v>11594</v>
      </c>
    </row>
    <row r="10588" spans="27:27">
      <c r="AA10588" t="s">
        <v>11595</v>
      </c>
    </row>
    <row r="10589" spans="27:27">
      <c r="AA10589" t="s">
        <v>11596</v>
      </c>
    </row>
    <row r="10590" spans="27:27">
      <c r="AA10590" t="s">
        <v>11597</v>
      </c>
    </row>
    <row r="10591" spans="27:27">
      <c r="AA10591" t="s">
        <v>11598</v>
      </c>
    </row>
    <row r="10592" spans="27:27">
      <c r="AA10592" t="s">
        <v>11599</v>
      </c>
    </row>
    <row r="10593" spans="27:27">
      <c r="AA10593" t="s">
        <v>11600</v>
      </c>
    </row>
    <row r="10594" spans="27:27">
      <c r="AA10594" t="s">
        <v>11601</v>
      </c>
    </row>
    <row r="10595" spans="27:27">
      <c r="AA10595" t="s">
        <v>11602</v>
      </c>
    </row>
    <row r="10596" spans="27:27">
      <c r="AA10596" t="s">
        <v>11603</v>
      </c>
    </row>
    <row r="10597" spans="27:27">
      <c r="AA10597" t="s">
        <v>11604</v>
      </c>
    </row>
    <row r="10598" spans="27:27">
      <c r="AA10598" t="s">
        <v>11605</v>
      </c>
    </row>
    <row r="10599" spans="27:27">
      <c r="AA10599" t="s">
        <v>11606</v>
      </c>
    </row>
    <row r="10600" spans="27:27">
      <c r="AA10600" t="s">
        <v>11607</v>
      </c>
    </row>
    <row r="10601" spans="27:27">
      <c r="AA10601" t="s">
        <v>11608</v>
      </c>
    </row>
    <row r="10602" spans="27:27">
      <c r="AA10602" t="s">
        <v>11609</v>
      </c>
    </row>
    <row r="10603" spans="27:27">
      <c r="AA10603" t="s">
        <v>11610</v>
      </c>
    </row>
    <row r="10604" spans="27:27">
      <c r="AA10604" t="s">
        <v>11611</v>
      </c>
    </row>
    <row r="10605" spans="27:27">
      <c r="AA10605" t="s">
        <v>11612</v>
      </c>
    </row>
    <row r="10606" spans="27:27">
      <c r="AA10606" t="s">
        <v>11613</v>
      </c>
    </row>
    <row r="10607" spans="27:27">
      <c r="AA10607" t="s">
        <v>11614</v>
      </c>
    </row>
    <row r="10608" spans="27:27">
      <c r="AA10608" t="s">
        <v>11615</v>
      </c>
    </row>
    <row r="10609" spans="27:27">
      <c r="AA10609" t="s">
        <v>11616</v>
      </c>
    </row>
    <row r="10610" spans="27:27">
      <c r="AA10610" t="s">
        <v>11617</v>
      </c>
    </row>
    <row r="10611" spans="27:27">
      <c r="AA10611" t="s">
        <v>11618</v>
      </c>
    </row>
    <row r="10612" spans="27:27">
      <c r="AA10612" t="s">
        <v>2791</v>
      </c>
    </row>
    <row r="10613" spans="27:27">
      <c r="AA10613" t="s">
        <v>2792</v>
      </c>
    </row>
    <row r="10614" spans="27:27">
      <c r="AA10614" t="s">
        <v>2793</v>
      </c>
    </row>
    <row r="10615" spans="27:27">
      <c r="AA10615" t="s">
        <v>11619</v>
      </c>
    </row>
    <row r="10616" spans="27:27">
      <c r="AA10616" t="s">
        <v>11620</v>
      </c>
    </row>
    <row r="10617" spans="27:27">
      <c r="AA10617" t="s">
        <v>11621</v>
      </c>
    </row>
    <row r="10618" spans="27:27">
      <c r="AA10618" t="s">
        <v>11622</v>
      </c>
    </row>
    <row r="10619" spans="27:27">
      <c r="AA10619" t="s">
        <v>11623</v>
      </c>
    </row>
    <row r="10620" spans="27:27">
      <c r="AA10620" t="s">
        <v>11624</v>
      </c>
    </row>
    <row r="10621" spans="27:27">
      <c r="AA10621" t="s">
        <v>2794</v>
      </c>
    </row>
    <row r="10622" spans="27:27">
      <c r="AA10622" t="s">
        <v>2795</v>
      </c>
    </row>
    <row r="10623" spans="27:27">
      <c r="AA10623" t="s">
        <v>11625</v>
      </c>
    </row>
    <row r="10624" spans="27:27">
      <c r="AA10624" t="s">
        <v>11626</v>
      </c>
    </row>
    <row r="10625" spans="27:27">
      <c r="AA10625" t="s">
        <v>11627</v>
      </c>
    </row>
    <row r="10626" spans="27:27">
      <c r="AA10626" t="s">
        <v>11628</v>
      </c>
    </row>
    <row r="10627" spans="27:27">
      <c r="AA10627" t="s">
        <v>11629</v>
      </c>
    </row>
    <row r="10628" spans="27:27">
      <c r="AA10628" t="s">
        <v>11630</v>
      </c>
    </row>
    <row r="10629" spans="27:27">
      <c r="AA10629" t="s">
        <v>11631</v>
      </c>
    </row>
    <row r="10630" spans="27:27">
      <c r="AA10630" t="s">
        <v>11632</v>
      </c>
    </row>
    <row r="10631" spans="27:27">
      <c r="AA10631" t="s">
        <v>11633</v>
      </c>
    </row>
    <row r="10632" spans="27:27">
      <c r="AA10632" t="s">
        <v>11634</v>
      </c>
    </row>
    <row r="10633" spans="27:27">
      <c r="AA10633" t="s">
        <v>11635</v>
      </c>
    </row>
    <row r="10634" spans="27:27">
      <c r="AA10634" t="s">
        <v>11636</v>
      </c>
    </row>
    <row r="10635" spans="27:27">
      <c r="AA10635" t="s">
        <v>11637</v>
      </c>
    </row>
    <row r="10636" spans="27:27">
      <c r="AA10636" t="s">
        <v>11638</v>
      </c>
    </row>
    <row r="10637" spans="27:27">
      <c r="AA10637" t="s">
        <v>11639</v>
      </c>
    </row>
    <row r="10638" spans="27:27">
      <c r="AA10638" t="s">
        <v>11640</v>
      </c>
    </row>
    <row r="10639" spans="27:27">
      <c r="AA10639" t="s">
        <v>11641</v>
      </c>
    </row>
    <row r="10640" spans="27:27">
      <c r="AA10640" t="s">
        <v>11642</v>
      </c>
    </row>
    <row r="10641" spans="27:27">
      <c r="AA10641" t="s">
        <v>11643</v>
      </c>
    </row>
    <row r="10642" spans="27:27">
      <c r="AA10642" t="s">
        <v>11644</v>
      </c>
    </row>
    <row r="10643" spans="27:27">
      <c r="AA10643" t="s">
        <v>11645</v>
      </c>
    </row>
    <row r="10644" spans="27:27">
      <c r="AA10644" t="s">
        <v>11646</v>
      </c>
    </row>
    <row r="10645" spans="27:27">
      <c r="AA10645" t="s">
        <v>11647</v>
      </c>
    </row>
    <row r="10646" spans="27:27">
      <c r="AA10646" t="s">
        <v>2796</v>
      </c>
    </row>
    <row r="10647" spans="27:27">
      <c r="AA10647" t="s">
        <v>11648</v>
      </c>
    </row>
    <row r="10648" spans="27:27">
      <c r="AA10648" t="s">
        <v>11649</v>
      </c>
    </row>
    <row r="10649" spans="27:27">
      <c r="AA10649" t="s">
        <v>11650</v>
      </c>
    </row>
    <row r="10650" spans="27:27">
      <c r="AA10650" t="s">
        <v>11651</v>
      </c>
    </row>
    <row r="10651" spans="27:27">
      <c r="AA10651" t="s">
        <v>11652</v>
      </c>
    </row>
    <row r="10652" spans="27:27">
      <c r="AA10652" t="s">
        <v>11653</v>
      </c>
    </row>
    <row r="10653" spans="27:27">
      <c r="AA10653" t="s">
        <v>11654</v>
      </c>
    </row>
    <row r="10654" spans="27:27">
      <c r="AA10654" t="s">
        <v>11655</v>
      </c>
    </row>
    <row r="10655" spans="27:27">
      <c r="AA10655" t="s">
        <v>2797</v>
      </c>
    </row>
    <row r="10656" spans="27:27">
      <c r="AA10656" t="s">
        <v>11656</v>
      </c>
    </row>
    <row r="10657" spans="27:27">
      <c r="AA10657" t="s">
        <v>11657</v>
      </c>
    </row>
    <row r="10658" spans="27:27">
      <c r="AA10658" t="s">
        <v>11658</v>
      </c>
    </row>
    <row r="10659" spans="27:27">
      <c r="AA10659" t="s">
        <v>11659</v>
      </c>
    </row>
    <row r="10660" spans="27:27">
      <c r="AA10660" t="s">
        <v>2798</v>
      </c>
    </row>
    <row r="10661" spans="27:27">
      <c r="AA10661" t="s">
        <v>11660</v>
      </c>
    </row>
    <row r="10662" spans="27:27">
      <c r="AA10662" t="s">
        <v>11661</v>
      </c>
    </row>
    <row r="10663" spans="27:27">
      <c r="AA10663" t="s">
        <v>2799</v>
      </c>
    </row>
    <row r="10664" spans="27:27">
      <c r="AA10664" t="s">
        <v>3903</v>
      </c>
    </row>
    <row r="10665" spans="27:27">
      <c r="AA10665" t="s">
        <v>2800</v>
      </c>
    </row>
    <row r="10666" spans="27:27">
      <c r="AA10666" t="s">
        <v>11662</v>
      </c>
    </row>
    <row r="10667" spans="27:27">
      <c r="AA10667" t="s">
        <v>11663</v>
      </c>
    </row>
    <row r="10668" spans="27:27">
      <c r="AA10668" t="s">
        <v>11664</v>
      </c>
    </row>
    <row r="10669" spans="27:27">
      <c r="AA10669" t="s">
        <v>11665</v>
      </c>
    </row>
    <row r="10670" spans="27:27">
      <c r="AA10670" t="s">
        <v>11666</v>
      </c>
    </row>
    <row r="10671" spans="27:27">
      <c r="AA10671" t="s">
        <v>11667</v>
      </c>
    </row>
    <row r="10672" spans="27:27">
      <c r="AA10672" t="s">
        <v>11668</v>
      </c>
    </row>
    <row r="10673" spans="27:27">
      <c r="AA10673" t="s">
        <v>11669</v>
      </c>
    </row>
    <row r="10674" spans="27:27">
      <c r="AA10674" t="s">
        <v>11670</v>
      </c>
    </row>
    <row r="10675" spans="27:27">
      <c r="AA10675" t="s">
        <v>11671</v>
      </c>
    </row>
    <row r="10676" spans="27:27">
      <c r="AA10676" t="s">
        <v>11672</v>
      </c>
    </row>
    <row r="10677" spans="27:27">
      <c r="AA10677" t="s">
        <v>11673</v>
      </c>
    </row>
    <row r="10678" spans="27:27">
      <c r="AA10678" t="s">
        <v>11674</v>
      </c>
    </row>
    <row r="10679" spans="27:27">
      <c r="AA10679" t="s">
        <v>11675</v>
      </c>
    </row>
    <row r="10680" spans="27:27">
      <c r="AA10680" t="s">
        <v>11676</v>
      </c>
    </row>
    <row r="10681" spans="27:27">
      <c r="AA10681" t="s">
        <v>11677</v>
      </c>
    </row>
    <row r="10682" spans="27:27">
      <c r="AA10682" t="s">
        <v>11678</v>
      </c>
    </row>
    <row r="10683" spans="27:27">
      <c r="AA10683" t="s">
        <v>11679</v>
      </c>
    </row>
    <row r="10684" spans="27:27">
      <c r="AA10684" t="s">
        <v>11680</v>
      </c>
    </row>
    <row r="10685" spans="27:27">
      <c r="AA10685" t="s">
        <v>11681</v>
      </c>
    </row>
    <row r="10686" spans="27:27">
      <c r="AA10686" t="s">
        <v>11682</v>
      </c>
    </row>
    <row r="10687" spans="27:27">
      <c r="AA10687" t="s">
        <v>11683</v>
      </c>
    </row>
    <row r="10688" spans="27:27">
      <c r="AA10688" t="s">
        <v>11684</v>
      </c>
    </row>
    <row r="10689" spans="27:27">
      <c r="AA10689" t="s">
        <v>2801</v>
      </c>
    </row>
    <row r="10690" spans="27:27">
      <c r="AA10690" t="s">
        <v>11685</v>
      </c>
    </row>
    <row r="10691" spans="27:27">
      <c r="AA10691" t="s">
        <v>11686</v>
      </c>
    </row>
    <row r="10692" spans="27:27">
      <c r="AA10692" t="s">
        <v>11687</v>
      </c>
    </row>
    <row r="10693" spans="27:27">
      <c r="AA10693" t="s">
        <v>11688</v>
      </c>
    </row>
    <row r="10694" spans="27:27">
      <c r="AA10694" t="s">
        <v>1077</v>
      </c>
    </row>
    <row r="10695" spans="27:27">
      <c r="AA10695" t="s">
        <v>11689</v>
      </c>
    </row>
    <row r="10696" spans="27:27">
      <c r="AA10696" t="s">
        <v>11690</v>
      </c>
    </row>
    <row r="10697" spans="27:27">
      <c r="AA10697" t="s">
        <v>11691</v>
      </c>
    </row>
    <row r="10698" spans="27:27">
      <c r="AA10698" t="s">
        <v>1078</v>
      </c>
    </row>
    <row r="10699" spans="27:27">
      <c r="AA10699" t="s">
        <v>11692</v>
      </c>
    </row>
    <row r="10700" spans="27:27">
      <c r="AA10700" t="s">
        <v>11693</v>
      </c>
    </row>
    <row r="10701" spans="27:27">
      <c r="AA10701" t="s">
        <v>11694</v>
      </c>
    </row>
    <row r="10702" spans="27:27">
      <c r="AA10702" t="s">
        <v>1079</v>
      </c>
    </row>
    <row r="10703" spans="27:27">
      <c r="AA10703" t="s">
        <v>1080</v>
      </c>
    </row>
    <row r="10704" spans="27:27">
      <c r="AA10704" t="s">
        <v>1081</v>
      </c>
    </row>
    <row r="10705" spans="27:27">
      <c r="AA10705" t="s">
        <v>1082</v>
      </c>
    </row>
    <row r="10706" spans="27:27">
      <c r="AA10706" t="s">
        <v>1083</v>
      </c>
    </row>
    <row r="10707" spans="27:27">
      <c r="AA10707" t="s">
        <v>1084</v>
      </c>
    </row>
    <row r="10708" spans="27:27">
      <c r="AA10708" t="s">
        <v>1085</v>
      </c>
    </row>
    <row r="10709" spans="27:27">
      <c r="AA10709" t="s">
        <v>1086</v>
      </c>
    </row>
    <row r="10710" spans="27:27">
      <c r="AA10710" t="s">
        <v>2802</v>
      </c>
    </row>
    <row r="10711" spans="27:27">
      <c r="AA10711" t="s">
        <v>2803</v>
      </c>
    </row>
    <row r="10712" spans="27:27">
      <c r="AA10712" t="s">
        <v>11695</v>
      </c>
    </row>
    <row r="10713" spans="27:27">
      <c r="AA10713" t="s">
        <v>2804</v>
      </c>
    </row>
    <row r="10714" spans="27:27">
      <c r="AA10714" t="s">
        <v>3904</v>
      </c>
    </row>
    <row r="10715" spans="27:27">
      <c r="AA10715" t="s">
        <v>2805</v>
      </c>
    </row>
    <row r="10716" spans="27:27">
      <c r="AA10716" t="s">
        <v>11696</v>
      </c>
    </row>
    <row r="10717" spans="27:27">
      <c r="AA10717" t="s">
        <v>2806</v>
      </c>
    </row>
    <row r="10718" spans="27:27">
      <c r="AA10718" t="s">
        <v>11697</v>
      </c>
    </row>
    <row r="10719" spans="27:27">
      <c r="AA10719" t="s">
        <v>11698</v>
      </c>
    </row>
    <row r="10720" spans="27:27">
      <c r="AA10720" t="s">
        <v>11699</v>
      </c>
    </row>
    <row r="10721" spans="27:27">
      <c r="AA10721" t="s">
        <v>11700</v>
      </c>
    </row>
    <row r="10722" spans="27:27">
      <c r="AA10722" t="s">
        <v>11701</v>
      </c>
    </row>
    <row r="10723" spans="27:27">
      <c r="AA10723" t="s">
        <v>1087</v>
      </c>
    </row>
    <row r="10724" spans="27:27">
      <c r="AA10724" t="s">
        <v>11702</v>
      </c>
    </row>
    <row r="10725" spans="27:27">
      <c r="AA10725" t="s">
        <v>11703</v>
      </c>
    </row>
    <row r="10726" spans="27:27">
      <c r="AA10726" t="s">
        <v>11704</v>
      </c>
    </row>
    <row r="10727" spans="27:27">
      <c r="AA10727" t="s">
        <v>1088</v>
      </c>
    </row>
    <row r="10728" spans="27:27">
      <c r="AA10728" t="s">
        <v>11705</v>
      </c>
    </row>
    <row r="10729" spans="27:27">
      <c r="AA10729" t="s">
        <v>11706</v>
      </c>
    </row>
    <row r="10730" spans="27:27">
      <c r="AA10730" t="s">
        <v>11707</v>
      </c>
    </row>
    <row r="10731" spans="27:27">
      <c r="AA10731" t="s">
        <v>11708</v>
      </c>
    </row>
    <row r="10732" spans="27:27">
      <c r="AA10732" t="s">
        <v>11709</v>
      </c>
    </row>
    <row r="10733" spans="27:27">
      <c r="AA10733" t="s">
        <v>11710</v>
      </c>
    </row>
    <row r="10734" spans="27:27">
      <c r="AA10734" t="s">
        <v>11711</v>
      </c>
    </row>
    <row r="10735" spans="27:27">
      <c r="AA10735" t="s">
        <v>11712</v>
      </c>
    </row>
    <row r="10736" spans="27:27">
      <c r="AA10736" t="s">
        <v>11713</v>
      </c>
    </row>
    <row r="10737" spans="27:27">
      <c r="AA10737" t="s">
        <v>11714</v>
      </c>
    </row>
    <row r="10738" spans="27:27">
      <c r="AA10738" t="s">
        <v>11715</v>
      </c>
    </row>
    <row r="10739" spans="27:27">
      <c r="AA10739" t="s">
        <v>11716</v>
      </c>
    </row>
    <row r="10740" spans="27:27">
      <c r="AA10740" t="s">
        <v>11717</v>
      </c>
    </row>
    <row r="10741" spans="27:27">
      <c r="AA10741" t="s">
        <v>11718</v>
      </c>
    </row>
    <row r="10742" spans="27:27">
      <c r="AA10742" t="s">
        <v>11719</v>
      </c>
    </row>
    <row r="10743" spans="27:27">
      <c r="AA10743" t="s">
        <v>11720</v>
      </c>
    </row>
    <row r="10744" spans="27:27">
      <c r="AA10744" t="s">
        <v>11721</v>
      </c>
    </row>
    <row r="10745" spans="27:27">
      <c r="AA10745" t="s">
        <v>11722</v>
      </c>
    </row>
    <row r="10746" spans="27:27">
      <c r="AA10746" t="s">
        <v>11723</v>
      </c>
    </row>
    <row r="10747" spans="27:27">
      <c r="AA10747" t="s">
        <v>11724</v>
      </c>
    </row>
    <row r="10748" spans="27:27">
      <c r="AA10748" t="s">
        <v>11725</v>
      </c>
    </row>
    <row r="10749" spans="27:27">
      <c r="AA10749" t="s">
        <v>11726</v>
      </c>
    </row>
    <row r="10750" spans="27:27">
      <c r="AA10750" t="s">
        <v>11727</v>
      </c>
    </row>
    <row r="10751" spans="27:27">
      <c r="AA10751" t="s">
        <v>11728</v>
      </c>
    </row>
    <row r="10752" spans="27:27">
      <c r="AA10752" t="s">
        <v>11729</v>
      </c>
    </row>
    <row r="10753" spans="27:27">
      <c r="AA10753" t="s">
        <v>11730</v>
      </c>
    </row>
    <row r="10754" spans="27:27">
      <c r="AA10754" t="s">
        <v>11731</v>
      </c>
    </row>
    <row r="10755" spans="27:27">
      <c r="AA10755" t="s">
        <v>11732</v>
      </c>
    </row>
    <row r="10756" spans="27:27">
      <c r="AA10756" t="s">
        <v>11733</v>
      </c>
    </row>
    <row r="10757" spans="27:27">
      <c r="AA10757" t="s">
        <v>11734</v>
      </c>
    </row>
    <row r="10758" spans="27:27">
      <c r="AA10758" t="s">
        <v>11735</v>
      </c>
    </row>
    <row r="10759" spans="27:27">
      <c r="AA10759" t="s">
        <v>11736</v>
      </c>
    </row>
    <row r="10760" spans="27:27">
      <c r="AA10760" t="s">
        <v>11737</v>
      </c>
    </row>
    <row r="10761" spans="27:27">
      <c r="AA10761" t="s">
        <v>11738</v>
      </c>
    </row>
    <row r="10762" spans="27:27">
      <c r="AA10762" t="s">
        <v>11739</v>
      </c>
    </row>
    <row r="10763" spans="27:27">
      <c r="AA10763" t="s">
        <v>11740</v>
      </c>
    </row>
    <row r="10764" spans="27:27">
      <c r="AA10764" t="s">
        <v>11741</v>
      </c>
    </row>
    <row r="10765" spans="27:27">
      <c r="AA10765" t="s">
        <v>11742</v>
      </c>
    </row>
    <row r="10766" spans="27:27">
      <c r="AA10766" t="s">
        <v>11743</v>
      </c>
    </row>
    <row r="10767" spans="27:27">
      <c r="AA10767" t="s">
        <v>11744</v>
      </c>
    </row>
    <row r="10768" spans="27:27">
      <c r="AA10768" t="s">
        <v>11745</v>
      </c>
    </row>
    <row r="10769" spans="27:27">
      <c r="AA10769" t="s">
        <v>11746</v>
      </c>
    </row>
    <row r="10770" spans="27:27">
      <c r="AA10770" t="s">
        <v>11747</v>
      </c>
    </row>
    <row r="10771" spans="27:27">
      <c r="AA10771" t="s">
        <v>11748</v>
      </c>
    </row>
    <row r="10772" spans="27:27">
      <c r="AA10772" t="s">
        <v>11749</v>
      </c>
    </row>
    <row r="10773" spans="27:27">
      <c r="AA10773" t="s">
        <v>11750</v>
      </c>
    </row>
    <row r="10774" spans="27:27">
      <c r="AA10774" t="s">
        <v>11751</v>
      </c>
    </row>
    <row r="10775" spans="27:27">
      <c r="AA10775" t="s">
        <v>11752</v>
      </c>
    </row>
    <row r="10776" spans="27:27">
      <c r="AA10776" t="s">
        <v>11753</v>
      </c>
    </row>
    <row r="10777" spans="27:27">
      <c r="AA10777" t="s">
        <v>11754</v>
      </c>
    </row>
    <row r="10778" spans="27:27">
      <c r="AA10778" t="s">
        <v>3905</v>
      </c>
    </row>
    <row r="10779" spans="27:27">
      <c r="AA10779" t="s">
        <v>11755</v>
      </c>
    </row>
    <row r="10780" spans="27:27">
      <c r="AA10780" t="s">
        <v>11756</v>
      </c>
    </row>
    <row r="10781" spans="27:27">
      <c r="AA10781" t="s">
        <v>11757</v>
      </c>
    </row>
    <row r="10782" spans="27:27">
      <c r="AA10782" t="s">
        <v>11758</v>
      </c>
    </row>
    <row r="10783" spans="27:27">
      <c r="AA10783" t="s">
        <v>1089</v>
      </c>
    </row>
    <row r="10784" spans="27:27">
      <c r="AA10784" t="s">
        <v>11759</v>
      </c>
    </row>
    <row r="10785" spans="27:27">
      <c r="AA10785" t="s">
        <v>11760</v>
      </c>
    </row>
    <row r="10786" spans="27:27">
      <c r="AA10786" t="s">
        <v>11761</v>
      </c>
    </row>
    <row r="10787" spans="27:27">
      <c r="AA10787" t="s">
        <v>1090</v>
      </c>
    </row>
    <row r="10788" spans="27:27">
      <c r="AA10788" t="s">
        <v>11762</v>
      </c>
    </row>
    <row r="10789" spans="27:27">
      <c r="AA10789" t="s">
        <v>11763</v>
      </c>
    </row>
    <row r="10790" spans="27:27">
      <c r="AA10790" t="s">
        <v>3906</v>
      </c>
    </row>
    <row r="10791" spans="27:27">
      <c r="AA10791" t="s">
        <v>2807</v>
      </c>
    </row>
    <row r="10792" spans="27:27">
      <c r="AA10792" t="s">
        <v>11764</v>
      </c>
    </row>
    <row r="10793" spans="27:27">
      <c r="AA10793" t="s">
        <v>11765</v>
      </c>
    </row>
    <row r="10794" spans="27:27">
      <c r="AA10794" t="s">
        <v>11766</v>
      </c>
    </row>
    <row r="10795" spans="27:27">
      <c r="AA10795" t="s">
        <v>11767</v>
      </c>
    </row>
    <row r="10796" spans="27:27">
      <c r="AA10796" t="s">
        <v>11768</v>
      </c>
    </row>
    <row r="10797" spans="27:27">
      <c r="AA10797" t="s">
        <v>11769</v>
      </c>
    </row>
    <row r="10798" spans="27:27">
      <c r="AA10798" t="s">
        <v>2808</v>
      </c>
    </row>
    <row r="10799" spans="27:27">
      <c r="AA10799" t="s">
        <v>3907</v>
      </c>
    </row>
    <row r="10800" spans="27:27">
      <c r="AA10800" t="s">
        <v>11770</v>
      </c>
    </row>
    <row r="10801" spans="27:27">
      <c r="AA10801" t="s">
        <v>11771</v>
      </c>
    </row>
    <row r="10802" spans="27:27">
      <c r="AA10802" t="s">
        <v>2809</v>
      </c>
    </row>
    <row r="10803" spans="27:27">
      <c r="AA10803" t="s">
        <v>11772</v>
      </c>
    </row>
    <row r="10804" spans="27:27">
      <c r="AA10804" t="s">
        <v>11773</v>
      </c>
    </row>
    <row r="10805" spans="27:27">
      <c r="AA10805" t="s">
        <v>11774</v>
      </c>
    </row>
    <row r="10806" spans="27:27">
      <c r="AA10806" t="s">
        <v>2810</v>
      </c>
    </row>
    <row r="10807" spans="27:27">
      <c r="AA10807" t="s">
        <v>11775</v>
      </c>
    </row>
    <row r="10808" spans="27:27">
      <c r="AA10808" t="s">
        <v>11776</v>
      </c>
    </row>
    <row r="10809" spans="27:27">
      <c r="AA10809" t="s">
        <v>1091</v>
      </c>
    </row>
    <row r="10810" spans="27:27">
      <c r="AA10810" t="s">
        <v>11777</v>
      </c>
    </row>
    <row r="10811" spans="27:27">
      <c r="AA10811" t="s">
        <v>11778</v>
      </c>
    </row>
    <row r="10812" spans="27:27">
      <c r="AA10812" t="s">
        <v>11779</v>
      </c>
    </row>
    <row r="10813" spans="27:27">
      <c r="AA10813" t="s">
        <v>11780</v>
      </c>
    </row>
    <row r="10814" spans="27:27">
      <c r="AA10814" t="s">
        <v>11781</v>
      </c>
    </row>
    <row r="10815" spans="27:27">
      <c r="AA10815" t="s">
        <v>11782</v>
      </c>
    </row>
    <row r="10816" spans="27:27">
      <c r="AA10816" t="s">
        <v>11783</v>
      </c>
    </row>
    <row r="10817" spans="27:27">
      <c r="AA10817" t="s">
        <v>11784</v>
      </c>
    </row>
    <row r="10818" spans="27:27">
      <c r="AA10818" t="s">
        <v>11785</v>
      </c>
    </row>
    <row r="10819" spans="27:27">
      <c r="AA10819" t="s">
        <v>11786</v>
      </c>
    </row>
    <row r="10820" spans="27:27">
      <c r="AA10820" t="s">
        <v>11787</v>
      </c>
    </row>
    <row r="10821" spans="27:27">
      <c r="AA10821" t="s">
        <v>11788</v>
      </c>
    </row>
    <row r="10822" spans="27:27">
      <c r="AA10822" t="s">
        <v>2811</v>
      </c>
    </row>
    <row r="10823" spans="27:27">
      <c r="AA10823" t="s">
        <v>11789</v>
      </c>
    </row>
    <row r="10824" spans="27:27">
      <c r="AA10824" t="s">
        <v>11790</v>
      </c>
    </row>
    <row r="10825" spans="27:27">
      <c r="AA10825" t="s">
        <v>11791</v>
      </c>
    </row>
    <row r="10826" spans="27:27">
      <c r="AA10826" t="s">
        <v>11792</v>
      </c>
    </row>
    <row r="10827" spans="27:27">
      <c r="AA10827" t="s">
        <v>2812</v>
      </c>
    </row>
    <row r="10828" spans="27:27">
      <c r="AA10828" t="s">
        <v>11793</v>
      </c>
    </row>
    <row r="10829" spans="27:27">
      <c r="AA10829" t="s">
        <v>11794</v>
      </c>
    </row>
    <row r="10830" spans="27:27">
      <c r="AA10830" t="s">
        <v>11795</v>
      </c>
    </row>
    <row r="10831" spans="27:27">
      <c r="AA10831" t="s">
        <v>2813</v>
      </c>
    </row>
    <row r="10832" spans="27:27">
      <c r="AA10832" t="s">
        <v>11796</v>
      </c>
    </row>
    <row r="10833" spans="27:27">
      <c r="AA10833" t="s">
        <v>11797</v>
      </c>
    </row>
    <row r="10834" spans="27:27">
      <c r="AA10834" t="s">
        <v>11798</v>
      </c>
    </row>
    <row r="10835" spans="27:27">
      <c r="AA10835" t="s">
        <v>2814</v>
      </c>
    </row>
    <row r="10836" spans="27:27">
      <c r="AA10836" t="s">
        <v>11799</v>
      </c>
    </row>
    <row r="10837" spans="27:27">
      <c r="AA10837" t="s">
        <v>11800</v>
      </c>
    </row>
    <row r="10838" spans="27:27">
      <c r="AA10838" t="s">
        <v>11801</v>
      </c>
    </row>
    <row r="10839" spans="27:27">
      <c r="AA10839" t="s">
        <v>2815</v>
      </c>
    </row>
    <row r="10840" spans="27:27">
      <c r="AA10840" t="s">
        <v>11802</v>
      </c>
    </row>
    <row r="10841" spans="27:27">
      <c r="AA10841" t="s">
        <v>2816</v>
      </c>
    </row>
    <row r="10842" spans="27:27">
      <c r="AA10842" t="s">
        <v>3908</v>
      </c>
    </row>
    <row r="10843" spans="27:27">
      <c r="AA10843" t="s">
        <v>11803</v>
      </c>
    </row>
    <row r="10844" spans="27:27">
      <c r="AA10844" t="s">
        <v>11804</v>
      </c>
    </row>
    <row r="10845" spans="27:27">
      <c r="AA10845" t="s">
        <v>11805</v>
      </c>
    </row>
    <row r="10846" spans="27:27">
      <c r="AA10846" t="s">
        <v>11806</v>
      </c>
    </row>
    <row r="10847" spans="27:27">
      <c r="AA10847" t="s">
        <v>11807</v>
      </c>
    </row>
    <row r="10848" spans="27:27">
      <c r="AA10848" t="s">
        <v>11808</v>
      </c>
    </row>
    <row r="10849" spans="27:27">
      <c r="AA10849" t="s">
        <v>2817</v>
      </c>
    </row>
    <row r="10850" spans="27:27">
      <c r="AA10850" t="s">
        <v>11809</v>
      </c>
    </row>
    <row r="10851" spans="27:27">
      <c r="AA10851" t="s">
        <v>1092</v>
      </c>
    </row>
    <row r="10852" spans="27:27">
      <c r="AA10852" t="s">
        <v>11810</v>
      </c>
    </row>
    <row r="10853" spans="27:27">
      <c r="AA10853" t="s">
        <v>11811</v>
      </c>
    </row>
    <row r="10854" spans="27:27">
      <c r="AA10854" t="s">
        <v>1093</v>
      </c>
    </row>
    <row r="10855" spans="27:27">
      <c r="AA10855" t="s">
        <v>1094</v>
      </c>
    </row>
    <row r="10856" spans="27:27">
      <c r="AA10856" t="s">
        <v>11812</v>
      </c>
    </row>
    <row r="10857" spans="27:27">
      <c r="AA10857" t="s">
        <v>11813</v>
      </c>
    </row>
    <row r="10858" spans="27:27">
      <c r="AA10858" t="s">
        <v>11814</v>
      </c>
    </row>
    <row r="10859" spans="27:27">
      <c r="AA10859" t="s">
        <v>11815</v>
      </c>
    </row>
    <row r="10860" spans="27:27">
      <c r="AA10860" t="s">
        <v>11816</v>
      </c>
    </row>
    <row r="10861" spans="27:27">
      <c r="AA10861" t="s">
        <v>11817</v>
      </c>
    </row>
    <row r="10862" spans="27:27">
      <c r="AA10862" t="s">
        <v>11818</v>
      </c>
    </row>
    <row r="10863" spans="27:27">
      <c r="AA10863" t="s">
        <v>11819</v>
      </c>
    </row>
    <row r="10864" spans="27:27">
      <c r="AA10864" t="s">
        <v>11820</v>
      </c>
    </row>
    <row r="10865" spans="27:27">
      <c r="AA10865" t="s">
        <v>11821</v>
      </c>
    </row>
    <row r="10866" spans="27:27">
      <c r="AA10866" t="s">
        <v>11822</v>
      </c>
    </row>
    <row r="10867" spans="27:27">
      <c r="AA10867" t="s">
        <v>11823</v>
      </c>
    </row>
    <row r="10868" spans="27:27">
      <c r="AA10868" t="s">
        <v>11824</v>
      </c>
    </row>
    <row r="10869" spans="27:27">
      <c r="AA10869" t="s">
        <v>11825</v>
      </c>
    </row>
    <row r="10870" spans="27:27">
      <c r="AA10870" t="s">
        <v>11826</v>
      </c>
    </row>
    <row r="10871" spans="27:27">
      <c r="AA10871" t="s">
        <v>11827</v>
      </c>
    </row>
    <row r="10872" spans="27:27">
      <c r="AA10872" t="s">
        <v>11828</v>
      </c>
    </row>
    <row r="10873" spans="27:27">
      <c r="AA10873" t="s">
        <v>2818</v>
      </c>
    </row>
    <row r="10874" spans="27:27">
      <c r="AA10874" t="s">
        <v>3909</v>
      </c>
    </row>
    <row r="10875" spans="27:27">
      <c r="AA10875" t="s">
        <v>2819</v>
      </c>
    </row>
    <row r="10876" spans="27:27">
      <c r="AA10876" t="s">
        <v>11829</v>
      </c>
    </row>
    <row r="10877" spans="27:27">
      <c r="AA10877" t="s">
        <v>11830</v>
      </c>
    </row>
    <row r="10878" spans="27:27">
      <c r="AA10878" t="s">
        <v>11831</v>
      </c>
    </row>
    <row r="10879" spans="27:27">
      <c r="AA10879" t="s">
        <v>11832</v>
      </c>
    </row>
    <row r="10880" spans="27:27">
      <c r="AA10880" t="s">
        <v>11833</v>
      </c>
    </row>
    <row r="10881" spans="27:27">
      <c r="AA10881" t="s">
        <v>11834</v>
      </c>
    </row>
    <row r="10882" spans="27:27">
      <c r="AA10882" t="s">
        <v>11835</v>
      </c>
    </row>
    <row r="10883" spans="27:27">
      <c r="AA10883" t="s">
        <v>11836</v>
      </c>
    </row>
    <row r="10884" spans="27:27">
      <c r="AA10884" t="s">
        <v>2820</v>
      </c>
    </row>
    <row r="10885" spans="27:27">
      <c r="AA10885" t="s">
        <v>3910</v>
      </c>
    </row>
    <row r="10886" spans="27:27">
      <c r="AA10886" t="s">
        <v>2821</v>
      </c>
    </row>
    <row r="10887" spans="27:27">
      <c r="AA10887" t="s">
        <v>2822</v>
      </c>
    </row>
    <row r="10888" spans="27:27">
      <c r="AA10888" t="s">
        <v>2823</v>
      </c>
    </row>
    <row r="10889" spans="27:27">
      <c r="AA10889" t="s">
        <v>11837</v>
      </c>
    </row>
    <row r="10890" spans="27:27">
      <c r="AA10890" t="s">
        <v>11838</v>
      </c>
    </row>
    <row r="10891" spans="27:27">
      <c r="AA10891" t="s">
        <v>11839</v>
      </c>
    </row>
    <row r="10892" spans="27:27">
      <c r="AA10892" t="s">
        <v>11840</v>
      </c>
    </row>
    <row r="10893" spans="27:27">
      <c r="AA10893" t="s">
        <v>11841</v>
      </c>
    </row>
    <row r="10894" spans="27:27">
      <c r="AA10894" t="s">
        <v>11842</v>
      </c>
    </row>
    <row r="10895" spans="27:27">
      <c r="AA10895" t="s">
        <v>11843</v>
      </c>
    </row>
    <row r="10896" spans="27:27">
      <c r="AA10896" t="s">
        <v>11844</v>
      </c>
    </row>
    <row r="10897" spans="27:27">
      <c r="AA10897" t="s">
        <v>11845</v>
      </c>
    </row>
    <row r="10898" spans="27:27">
      <c r="AA10898" t="s">
        <v>11846</v>
      </c>
    </row>
    <row r="10899" spans="27:27">
      <c r="AA10899" t="s">
        <v>11847</v>
      </c>
    </row>
    <row r="10900" spans="27:27">
      <c r="AA10900" t="s">
        <v>11848</v>
      </c>
    </row>
    <row r="10901" spans="27:27">
      <c r="AA10901" t="s">
        <v>11849</v>
      </c>
    </row>
    <row r="10902" spans="27:27">
      <c r="AA10902" t="s">
        <v>11850</v>
      </c>
    </row>
    <row r="10903" spans="27:27">
      <c r="AA10903" t="s">
        <v>11851</v>
      </c>
    </row>
    <row r="10904" spans="27:27">
      <c r="AA10904" t="s">
        <v>11852</v>
      </c>
    </row>
    <row r="10905" spans="27:27">
      <c r="AA10905" t="s">
        <v>11853</v>
      </c>
    </row>
    <row r="10906" spans="27:27">
      <c r="AA10906" t="s">
        <v>11854</v>
      </c>
    </row>
    <row r="10907" spans="27:27">
      <c r="AA10907" t="s">
        <v>11855</v>
      </c>
    </row>
    <row r="10908" spans="27:27">
      <c r="AA10908" t="s">
        <v>11856</v>
      </c>
    </row>
    <row r="10909" spans="27:27">
      <c r="AA10909" t="s">
        <v>11857</v>
      </c>
    </row>
    <row r="10910" spans="27:27">
      <c r="AA10910" t="s">
        <v>11858</v>
      </c>
    </row>
    <row r="10911" spans="27:27">
      <c r="AA10911" t="s">
        <v>11859</v>
      </c>
    </row>
    <row r="10912" spans="27:27">
      <c r="AA10912" t="s">
        <v>11860</v>
      </c>
    </row>
    <row r="10913" spans="27:27">
      <c r="AA10913" t="s">
        <v>11861</v>
      </c>
    </row>
    <row r="10914" spans="27:27">
      <c r="AA10914" t="s">
        <v>11862</v>
      </c>
    </row>
    <row r="10915" spans="27:27">
      <c r="AA10915" t="s">
        <v>11863</v>
      </c>
    </row>
    <row r="10916" spans="27:27">
      <c r="AA10916" t="s">
        <v>11864</v>
      </c>
    </row>
    <row r="10917" spans="27:27">
      <c r="AA10917" t="s">
        <v>11865</v>
      </c>
    </row>
    <row r="10918" spans="27:27">
      <c r="AA10918" t="s">
        <v>11866</v>
      </c>
    </row>
    <row r="10919" spans="27:27">
      <c r="AA10919" t="s">
        <v>11867</v>
      </c>
    </row>
    <row r="10920" spans="27:27">
      <c r="AA10920" t="s">
        <v>11868</v>
      </c>
    </row>
    <row r="10921" spans="27:27">
      <c r="AA10921" t="s">
        <v>11869</v>
      </c>
    </row>
    <row r="10922" spans="27:27">
      <c r="AA10922" t="s">
        <v>11870</v>
      </c>
    </row>
    <row r="10923" spans="27:27">
      <c r="AA10923" t="s">
        <v>2824</v>
      </c>
    </row>
    <row r="10924" spans="27:27">
      <c r="AA10924" t="s">
        <v>2825</v>
      </c>
    </row>
    <row r="10925" spans="27:27">
      <c r="AA10925" t="s">
        <v>11871</v>
      </c>
    </row>
    <row r="10926" spans="27:27">
      <c r="AA10926" t="s">
        <v>11872</v>
      </c>
    </row>
    <row r="10927" spans="27:27">
      <c r="AA10927" t="s">
        <v>11873</v>
      </c>
    </row>
    <row r="10928" spans="27:27">
      <c r="AA10928" t="s">
        <v>11874</v>
      </c>
    </row>
    <row r="10929" spans="27:27">
      <c r="AA10929" t="s">
        <v>2826</v>
      </c>
    </row>
    <row r="10930" spans="27:27">
      <c r="AA10930" t="s">
        <v>2827</v>
      </c>
    </row>
    <row r="10931" spans="27:27">
      <c r="AA10931" t="s">
        <v>11875</v>
      </c>
    </row>
    <row r="10932" spans="27:27">
      <c r="AA10932" t="s">
        <v>11876</v>
      </c>
    </row>
    <row r="10933" spans="27:27">
      <c r="AA10933" t="s">
        <v>11877</v>
      </c>
    </row>
    <row r="10934" spans="27:27">
      <c r="AA10934" t="s">
        <v>11878</v>
      </c>
    </row>
    <row r="10935" spans="27:27">
      <c r="AA10935" t="s">
        <v>11879</v>
      </c>
    </row>
    <row r="10936" spans="27:27">
      <c r="AA10936" t="s">
        <v>11880</v>
      </c>
    </row>
    <row r="10937" spans="27:27">
      <c r="AA10937" t="s">
        <v>2828</v>
      </c>
    </row>
    <row r="10938" spans="27:27">
      <c r="AA10938" t="s">
        <v>11881</v>
      </c>
    </row>
    <row r="10939" spans="27:27">
      <c r="AA10939" t="s">
        <v>2829</v>
      </c>
    </row>
    <row r="10940" spans="27:27">
      <c r="AA10940" t="s">
        <v>11882</v>
      </c>
    </row>
    <row r="10941" spans="27:27">
      <c r="AA10941" t="s">
        <v>11883</v>
      </c>
    </row>
    <row r="10942" spans="27:27">
      <c r="AA10942" t="s">
        <v>11884</v>
      </c>
    </row>
    <row r="10943" spans="27:27">
      <c r="AA10943" t="s">
        <v>11885</v>
      </c>
    </row>
    <row r="10944" spans="27:27">
      <c r="AA10944" t="s">
        <v>11886</v>
      </c>
    </row>
    <row r="10945" spans="27:27">
      <c r="AA10945" t="s">
        <v>11887</v>
      </c>
    </row>
    <row r="10946" spans="27:27">
      <c r="AA10946" t="s">
        <v>11888</v>
      </c>
    </row>
    <row r="10947" spans="27:27">
      <c r="AA10947" t="s">
        <v>11889</v>
      </c>
    </row>
    <row r="10948" spans="27:27">
      <c r="AA10948" t="s">
        <v>11890</v>
      </c>
    </row>
    <row r="10949" spans="27:27">
      <c r="AA10949" t="s">
        <v>11891</v>
      </c>
    </row>
    <row r="10950" spans="27:27">
      <c r="AA10950" t="s">
        <v>11892</v>
      </c>
    </row>
    <row r="10951" spans="27:27">
      <c r="AA10951" t="s">
        <v>11893</v>
      </c>
    </row>
    <row r="10952" spans="27:27">
      <c r="AA10952" t="s">
        <v>11894</v>
      </c>
    </row>
    <row r="10953" spans="27:27">
      <c r="AA10953" t="s">
        <v>11895</v>
      </c>
    </row>
    <row r="10954" spans="27:27">
      <c r="AA10954" t="s">
        <v>11896</v>
      </c>
    </row>
    <row r="10955" spans="27:27">
      <c r="AA10955" t="s">
        <v>11897</v>
      </c>
    </row>
    <row r="10956" spans="27:27">
      <c r="AA10956" t="s">
        <v>11898</v>
      </c>
    </row>
    <row r="10957" spans="27:27">
      <c r="AA10957" t="s">
        <v>11899</v>
      </c>
    </row>
    <row r="10958" spans="27:27">
      <c r="AA10958" t="s">
        <v>11900</v>
      </c>
    </row>
    <row r="10959" spans="27:27">
      <c r="AA10959" t="s">
        <v>11901</v>
      </c>
    </row>
    <row r="10960" spans="27:27">
      <c r="AA10960" t="s">
        <v>11902</v>
      </c>
    </row>
    <row r="10961" spans="27:27">
      <c r="AA10961" t="s">
        <v>11903</v>
      </c>
    </row>
    <row r="10962" spans="27:27">
      <c r="AA10962" t="s">
        <v>11904</v>
      </c>
    </row>
    <row r="10963" spans="27:27">
      <c r="AA10963" t="s">
        <v>11905</v>
      </c>
    </row>
    <row r="10964" spans="27:27">
      <c r="AA10964" t="s">
        <v>11906</v>
      </c>
    </row>
    <row r="10965" spans="27:27">
      <c r="AA10965" t="s">
        <v>11907</v>
      </c>
    </row>
    <row r="10966" spans="27:27">
      <c r="AA10966" t="s">
        <v>11908</v>
      </c>
    </row>
    <row r="10967" spans="27:27">
      <c r="AA10967" t="s">
        <v>11909</v>
      </c>
    </row>
    <row r="10968" spans="27:27">
      <c r="AA10968" t="s">
        <v>11910</v>
      </c>
    </row>
    <row r="10969" spans="27:27">
      <c r="AA10969" t="s">
        <v>11911</v>
      </c>
    </row>
    <row r="10970" spans="27:27">
      <c r="AA10970" t="s">
        <v>11912</v>
      </c>
    </row>
    <row r="10971" spans="27:27">
      <c r="AA10971" t="s">
        <v>11913</v>
      </c>
    </row>
    <row r="10972" spans="27:27">
      <c r="AA10972" t="s">
        <v>11914</v>
      </c>
    </row>
    <row r="10973" spans="27:27">
      <c r="AA10973" t="s">
        <v>11915</v>
      </c>
    </row>
    <row r="10974" spans="27:27">
      <c r="AA10974" t="s">
        <v>11916</v>
      </c>
    </row>
    <row r="10975" spans="27:27">
      <c r="AA10975" t="s">
        <v>11917</v>
      </c>
    </row>
    <row r="10976" spans="27:27">
      <c r="AA10976" t="s">
        <v>11918</v>
      </c>
    </row>
    <row r="10977" spans="27:27">
      <c r="AA10977" t="s">
        <v>2830</v>
      </c>
    </row>
    <row r="10978" spans="27:27">
      <c r="AA10978" t="s">
        <v>11919</v>
      </c>
    </row>
    <row r="10979" spans="27:27">
      <c r="AA10979" t="s">
        <v>2831</v>
      </c>
    </row>
    <row r="10980" spans="27:27">
      <c r="AA10980" t="s">
        <v>11920</v>
      </c>
    </row>
    <row r="10981" spans="27:27">
      <c r="AA10981" t="s">
        <v>2832</v>
      </c>
    </row>
    <row r="10982" spans="27:27">
      <c r="AA10982" t="s">
        <v>11921</v>
      </c>
    </row>
    <row r="10983" spans="27:27">
      <c r="AA10983" t="s">
        <v>2833</v>
      </c>
    </row>
    <row r="10984" spans="27:27">
      <c r="AA10984" t="s">
        <v>3911</v>
      </c>
    </row>
    <row r="10985" spans="27:27">
      <c r="AA10985" t="s">
        <v>2834</v>
      </c>
    </row>
    <row r="10986" spans="27:27">
      <c r="AA10986" t="s">
        <v>11922</v>
      </c>
    </row>
    <row r="10987" spans="27:27">
      <c r="AA10987" t="s">
        <v>11923</v>
      </c>
    </row>
    <row r="10988" spans="27:27">
      <c r="AA10988" t="s">
        <v>11924</v>
      </c>
    </row>
    <row r="10989" spans="27:27">
      <c r="AA10989" t="s">
        <v>11925</v>
      </c>
    </row>
    <row r="10990" spans="27:27">
      <c r="AA10990" t="s">
        <v>2835</v>
      </c>
    </row>
    <row r="10991" spans="27:27">
      <c r="AA10991" t="s">
        <v>11926</v>
      </c>
    </row>
    <row r="10992" spans="27:27">
      <c r="AA10992" t="s">
        <v>2836</v>
      </c>
    </row>
    <row r="10993" spans="27:27">
      <c r="AA10993" t="s">
        <v>3912</v>
      </c>
    </row>
    <row r="10994" spans="27:27">
      <c r="AA10994" t="s">
        <v>2837</v>
      </c>
    </row>
    <row r="10995" spans="27:27">
      <c r="AA10995" t="s">
        <v>11927</v>
      </c>
    </row>
    <row r="10996" spans="27:27">
      <c r="AA10996" t="s">
        <v>2838</v>
      </c>
    </row>
    <row r="10997" spans="27:27">
      <c r="AA10997" t="s">
        <v>11928</v>
      </c>
    </row>
    <row r="10998" spans="27:27">
      <c r="AA10998" t="s">
        <v>11929</v>
      </c>
    </row>
    <row r="10999" spans="27:27">
      <c r="AA10999" t="s">
        <v>11930</v>
      </c>
    </row>
    <row r="11000" spans="27:27">
      <c r="AA11000" t="s">
        <v>11931</v>
      </c>
    </row>
    <row r="11001" spans="27:27">
      <c r="AA11001" t="s">
        <v>11932</v>
      </c>
    </row>
    <row r="11002" spans="27:27">
      <c r="AA11002" t="s">
        <v>11933</v>
      </c>
    </row>
    <row r="11003" spans="27:27">
      <c r="AA11003" t="s">
        <v>3913</v>
      </c>
    </row>
    <row r="11004" spans="27:27">
      <c r="AA11004" t="s">
        <v>2839</v>
      </c>
    </row>
    <row r="11005" spans="27:27">
      <c r="AA11005" t="s">
        <v>11934</v>
      </c>
    </row>
    <row r="11006" spans="27:27">
      <c r="AA11006" t="s">
        <v>11935</v>
      </c>
    </row>
    <row r="11007" spans="27:27">
      <c r="AA11007" t="s">
        <v>11936</v>
      </c>
    </row>
    <row r="11008" spans="27:27">
      <c r="AA11008" t="s">
        <v>11937</v>
      </c>
    </row>
    <row r="11009" spans="27:27">
      <c r="AA11009" t="s">
        <v>11938</v>
      </c>
    </row>
    <row r="11010" spans="27:27">
      <c r="AA11010" t="s">
        <v>11939</v>
      </c>
    </row>
    <row r="11011" spans="27:27">
      <c r="AA11011" t="s">
        <v>11940</v>
      </c>
    </row>
    <row r="11012" spans="27:27">
      <c r="AA11012" t="s">
        <v>11941</v>
      </c>
    </row>
    <row r="11013" spans="27:27">
      <c r="AA11013" t="s">
        <v>11942</v>
      </c>
    </row>
    <row r="11014" spans="27:27">
      <c r="AA11014" t="s">
        <v>11943</v>
      </c>
    </row>
    <row r="11015" spans="27:27">
      <c r="AA11015" t="s">
        <v>2840</v>
      </c>
    </row>
    <row r="11016" spans="27:27">
      <c r="AA11016" t="s">
        <v>11944</v>
      </c>
    </row>
    <row r="11017" spans="27:27">
      <c r="AA11017" t="s">
        <v>11945</v>
      </c>
    </row>
    <row r="11018" spans="27:27">
      <c r="AA11018" t="s">
        <v>11946</v>
      </c>
    </row>
    <row r="11019" spans="27:27">
      <c r="AA11019" t="s">
        <v>11947</v>
      </c>
    </row>
    <row r="11020" spans="27:27">
      <c r="AA11020" t="s">
        <v>11948</v>
      </c>
    </row>
    <row r="11021" spans="27:27">
      <c r="AA11021" t="s">
        <v>11949</v>
      </c>
    </row>
    <row r="11022" spans="27:27">
      <c r="AA11022" t="s">
        <v>2841</v>
      </c>
    </row>
    <row r="11023" spans="27:27">
      <c r="AA11023" t="s">
        <v>1095</v>
      </c>
    </row>
    <row r="11024" spans="27:27">
      <c r="AA11024" t="s">
        <v>11950</v>
      </c>
    </row>
    <row r="11025" spans="27:27">
      <c r="AA11025" t="s">
        <v>11951</v>
      </c>
    </row>
    <row r="11026" spans="27:27">
      <c r="AA11026" t="s">
        <v>11952</v>
      </c>
    </row>
    <row r="11027" spans="27:27">
      <c r="AA11027" t="s">
        <v>11953</v>
      </c>
    </row>
    <row r="11028" spans="27:27">
      <c r="AA11028" t="s">
        <v>1096</v>
      </c>
    </row>
    <row r="11029" spans="27:27">
      <c r="AA11029" t="s">
        <v>11954</v>
      </c>
    </row>
    <row r="11030" spans="27:27">
      <c r="AA11030" t="s">
        <v>1097</v>
      </c>
    </row>
    <row r="11031" spans="27:27">
      <c r="AA11031" t="s">
        <v>1098</v>
      </c>
    </row>
    <row r="11032" spans="27:27">
      <c r="AA11032" t="s">
        <v>11955</v>
      </c>
    </row>
    <row r="11033" spans="27:27">
      <c r="AA11033" t="s">
        <v>11956</v>
      </c>
    </row>
    <row r="11034" spans="27:27">
      <c r="AA11034" t="s">
        <v>11957</v>
      </c>
    </row>
    <row r="11035" spans="27:27">
      <c r="AA11035" t="s">
        <v>11958</v>
      </c>
    </row>
    <row r="11036" spans="27:27">
      <c r="AA11036" t="s">
        <v>11959</v>
      </c>
    </row>
    <row r="11037" spans="27:27">
      <c r="AA11037" t="s">
        <v>11960</v>
      </c>
    </row>
    <row r="11038" spans="27:27">
      <c r="AA11038" t="s">
        <v>11961</v>
      </c>
    </row>
    <row r="11039" spans="27:27">
      <c r="AA11039" t="s">
        <v>11962</v>
      </c>
    </row>
    <row r="11040" spans="27:27">
      <c r="AA11040" t="s">
        <v>11963</v>
      </c>
    </row>
    <row r="11041" spans="27:27">
      <c r="AA11041" t="s">
        <v>11964</v>
      </c>
    </row>
    <row r="11042" spans="27:27">
      <c r="AA11042" t="s">
        <v>11965</v>
      </c>
    </row>
    <row r="11043" spans="27:27">
      <c r="AA11043" t="s">
        <v>11966</v>
      </c>
    </row>
    <row r="11044" spans="27:27">
      <c r="AA11044" t="s">
        <v>11967</v>
      </c>
    </row>
    <row r="11045" spans="27:27">
      <c r="AA11045" t="s">
        <v>11968</v>
      </c>
    </row>
    <row r="11046" spans="27:27">
      <c r="AA11046" t="s">
        <v>11969</v>
      </c>
    </row>
    <row r="11047" spans="27:27">
      <c r="AA11047" t="s">
        <v>11970</v>
      </c>
    </row>
    <row r="11048" spans="27:27">
      <c r="AA11048" t="s">
        <v>11971</v>
      </c>
    </row>
    <row r="11049" spans="27:27">
      <c r="AA11049" t="s">
        <v>11972</v>
      </c>
    </row>
    <row r="11050" spans="27:27">
      <c r="AA11050" t="s">
        <v>2842</v>
      </c>
    </row>
    <row r="11051" spans="27:27">
      <c r="AA11051" t="s">
        <v>11973</v>
      </c>
    </row>
    <row r="11052" spans="27:27">
      <c r="AA11052" t="s">
        <v>11974</v>
      </c>
    </row>
    <row r="11053" spans="27:27">
      <c r="AA11053" t="s">
        <v>1099</v>
      </c>
    </row>
    <row r="11054" spans="27:27">
      <c r="AA11054" t="s">
        <v>11975</v>
      </c>
    </row>
    <row r="11055" spans="27:27">
      <c r="AA11055" t="s">
        <v>11976</v>
      </c>
    </row>
    <row r="11056" spans="27:27">
      <c r="AA11056" t="s">
        <v>11977</v>
      </c>
    </row>
    <row r="11057" spans="27:27">
      <c r="AA11057" t="s">
        <v>11978</v>
      </c>
    </row>
    <row r="11058" spans="27:27">
      <c r="AA11058" t="s">
        <v>11979</v>
      </c>
    </row>
    <row r="11059" spans="27:27">
      <c r="AA11059" t="s">
        <v>11980</v>
      </c>
    </row>
    <row r="11060" spans="27:27">
      <c r="AA11060" t="s">
        <v>11981</v>
      </c>
    </row>
    <row r="11061" spans="27:27">
      <c r="AA11061" t="s">
        <v>11982</v>
      </c>
    </row>
    <row r="11062" spans="27:27">
      <c r="AA11062" t="s">
        <v>11983</v>
      </c>
    </row>
    <row r="11063" spans="27:27">
      <c r="AA11063" t="s">
        <v>11984</v>
      </c>
    </row>
    <row r="11064" spans="27:27">
      <c r="AA11064" t="s">
        <v>11985</v>
      </c>
    </row>
    <row r="11065" spans="27:27">
      <c r="AA11065" t="s">
        <v>11986</v>
      </c>
    </row>
    <row r="11066" spans="27:27">
      <c r="AA11066" t="s">
        <v>11987</v>
      </c>
    </row>
    <row r="11067" spans="27:27">
      <c r="AA11067" t="s">
        <v>1100</v>
      </c>
    </row>
    <row r="11068" spans="27:27">
      <c r="AA11068" t="s">
        <v>1101</v>
      </c>
    </row>
    <row r="11069" spans="27:27">
      <c r="AA11069" t="s">
        <v>1102</v>
      </c>
    </row>
    <row r="11070" spans="27:27">
      <c r="AA11070" t="s">
        <v>11988</v>
      </c>
    </row>
    <row r="11071" spans="27:27">
      <c r="AA11071" t="s">
        <v>1103</v>
      </c>
    </row>
    <row r="11072" spans="27:27">
      <c r="AA11072" t="s">
        <v>11989</v>
      </c>
    </row>
    <row r="11073" spans="27:27">
      <c r="AA11073" t="s">
        <v>11990</v>
      </c>
    </row>
    <row r="11074" spans="27:27">
      <c r="AA11074" t="s">
        <v>1104</v>
      </c>
    </row>
    <row r="11075" spans="27:27">
      <c r="AA11075" t="s">
        <v>11991</v>
      </c>
    </row>
    <row r="11076" spans="27:27">
      <c r="AA11076" t="s">
        <v>11992</v>
      </c>
    </row>
    <row r="11077" spans="27:27">
      <c r="AA11077" t="s">
        <v>11993</v>
      </c>
    </row>
    <row r="11078" spans="27:27">
      <c r="AA11078" t="s">
        <v>11994</v>
      </c>
    </row>
    <row r="11079" spans="27:27">
      <c r="AA11079" t="s">
        <v>11995</v>
      </c>
    </row>
    <row r="11080" spans="27:27">
      <c r="AA11080" t="s">
        <v>11996</v>
      </c>
    </row>
    <row r="11081" spans="27:27">
      <c r="AA11081" t="s">
        <v>11997</v>
      </c>
    </row>
    <row r="11082" spans="27:27">
      <c r="AA11082" t="s">
        <v>11998</v>
      </c>
    </row>
    <row r="11083" spans="27:27">
      <c r="AA11083" t="s">
        <v>11999</v>
      </c>
    </row>
    <row r="11084" spans="27:27">
      <c r="AA11084" t="s">
        <v>12000</v>
      </c>
    </row>
    <row r="11085" spans="27:27">
      <c r="AA11085" t="s">
        <v>12001</v>
      </c>
    </row>
    <row r="11086" spans="27:27">
      <c r="AA11086" t="s">
        <v>1105</v>
      </c>
    </row>
    <row r="11087" spans="27:27">
      <c r="AA11087" t="s">
        <v>3914</v>
      </c>
    </row>
    <row r="11088" spans="27:27">
      <c r="AA11088" t="s">
        <v>12002</v>
      </c>
    </row>
    <row r="11089" spans="27:27">
      <c r="AA11089" t="s">
        <v>1106</v>
      </c>
    </row>
    <row r="11090" spans="27:27">
      <c r="AA11090" t="s">
        <v>1107</v>
      </c>
    </row>
    <row r="11091" spans="27:27">
      <c r="AA11091" t="s">
        <v>1108</v>
      </c>
    </row>
    <row r="11092" spans="27:27">
      <c r="AA11092" t="s">
        <v>12003</v>
      </c>
    </row>
    <row r="11093" spans="27:27">
      <c r="AA11093" t="s">
        <v>1109</v>
      </c>
    </row>
    <row r="11094" spans="27:27">
      <c r="AA11094" t="s">
        <v>12004</v>
      </c>
    </row>
    <row r="11095" spans="27:27">
      <c r="AA11095" t="s">
        <v>1110</v>
      </c>
    </row>
    <row r="11096" spans="27:27">
      <c r="AA11096" t="s">
        <v>12005</v>
      </c>
    </row>
    <row r="11097" spans="27:27">
      <c r="AA11097" t="s">
        <v>12006</v>
      </c>
    </row>
    <row r="11098" spans="27:27">
      <c r="AA11098" t="s">
        <v>12007</v>
      </c>
    </row>
    <row r="11099" spans="27:27">
      <c r="AA11099" t="s">
        <v>12008</v>
      </c>
    </row>
    <row r="11100" spans="27:27">
      <c r="AA11100" t="s">
        <v>12009</v>
      </c>
    </row>
    <row r="11101" spans="27:27">
      <c r="AA11101" t="s">
        <v>12010</v>
      </c>
    </row>
    <row r="11102" spans="27:27">
      <c r="AA11102" t="s">
        <v>12011</v>
      </c>
    </row>
    <row r="11103" spans="27:27">
      <c r="AA11103" t="s">
        <v>12012</v>
      </c>
    </row>
    <row r="11104" spans="27:27">
      <c r="AA11104" t="s">
        <v>12013</v>
      </c>
    </row>
    <row r="11105" spans="27:27">
      <c r="AA11105" t="s">
        <v>12014</v>
      </c>
    </row>
    <row r="11106" spans="27:27">
      <c r="AA11106" t="s">
        <v>12015</v>
      </c>
    </row>
    <row r="11107" spans="27:27">
      <c r="AA11107" t="s">
        <v>12016</v>
      </c>
    </row>
    <row r="11108" spans="27:27">
      <c r="AA11108" t="s">
        <v>12017</v>
      </c>
    </row>
    <row r="11109" spans="27:27">
      <c r="AA11109" t="s">
        <v>12018</v>
      </c>
    </row>
    <row r="11110" spans="27:27">
      <c r="AA11110" t="s">
        <v>12019</v>
      </c>
    </row>
    <row r="11111" spans="27:27">
      <c r="AA11111" t="s">
        <v>12020</v>
      </c>
    </row>
    <row r="11112" spans="27:27">
      <c r="AA11112" t="s">
        <v>1111</v>
      </c>
    </row>
    <row r="11113" spans="27:27">
      <c r="AA11113" t="s">
        <v>1112</v>
      </c>
    </row>
    <row r="11114" spans="27:27">
      <c r="AA11114" t="s">
        <v>12021</v>
      </c>
    </row>
    <row r="11115" spans="27:27">
      <c r="AA11115" t="s">
        <v>12022</v>
      </c>
    </row>
    <row r="11116" spans="27:27">
      <c r="AA11116" t="s">
        <v>12023</v>
      </c>
    </row>
    <row r="11117" spans="27:27">
      <c r="AA11117" t="s">
        <v>12024</v>
      </c>
    </row>
    <row r="11118" spans="27:27">
      <c r="AA11118" t="s">
        <v>12025</v>
      </c>
    </row>
    <row r="11119" spans="27:27">
      <c r="AA11119" t="s">
        <v>12026</v>
      </c>
    </row>
    <row r="11120" spans="27:27">
      <c r="AA11120" t="s">
        <v>12027</v>
      </c>
    </row>
    <row r="11121" spans="27:27">
      <c r="AA11121" t="s">
        <v>12028</v>
      </c>
    </row>
    <row r="11122" spans="27:27">
      <c r="AA11122" t="s">
        <v>1113</v>
      </c>
    </row>
    <row r="11123" spans="27:27">
      <c r="AA11123" t="s">
        <v>12029</v>
      </c>
    </row>
    <row r="11124" spans="27:27">
      <c r="AA11124" t="s">
        <v>12030</v>
      </c>
    </row>
    <row r="11125" spans="27:27">
      <c r="AA11125" t="s">
        <v>1114</v>
      </c>
    </row>
    <row r="11126" spans="27:27">
      <c r="AA11126" t="s">
        <v>1115</v>
      </c>
    </row>
    <row r="11127" spans="27:27">
      <c r="AA11127" t="s">
        <v>12031</v>
      </c>
    </row>
    <row r="11128" spans="27:27">
      <c r="AA11128" t="s">
        <v>1116</v>
      </c>
    </row>
    <row r="11129" spans="27:27">
      <c r="AA11129" t="s">
        <v>12032</v>
      </c>
    </row>
    <row r="11130" spans="27:27">
      <c r="AA11130" t="s">
        <v>12033</v>
      </c>
    </row>
    <row r="11131" spans="27:27">
      <c r="AA11131" t="s">
        <v>12034</v>
      </c>
    </row>
    <row r="11132" spans="27:27">
      <c r="AA11132" t="s">
        <v>12035</v>
      </c>
    </row>
    <row r="11133" spans="27:27">
      <c r="AA11133" t="s">
        <v>12036</v>
      </c>
    </row>
    <row r="11134" spans="27:27">
      <c r="AA11134" t="s">
        <v>12037</v>
      </c>
    </row>
    <row r="11135" spans="27:27">
      <c r="AA11135" t="s">
        <v>12038</v>
      </c>
    </row>
    <row r="11136" spans="27:27">
      <c r="AA11136" t="s">
        <v>12039</v>
      </c>
    </row>
    <row r="11137" spans="27:27">
      <c r="AA11137" t="s">
        <v>12040</v>
      </c>
    </row>
    <row r="11138" spans="27:27">
      <c r="AA11138" t="s">
        <v>12041</v>
      </c>
    </row>
    <row r="11139" spans="27:27">
      <c r="AA11139" t="s">
        <v>12042</v>
      </c>
    </row>
    <row r="11140" spans="27:27">
      <c r="AA11140" t="s">
        <v>12043</v>
      </c>
    </row>
    <row r="11141" spans="27:27">
      <c r="AA11141" t="s">
        <v>1117</v>
      </c>
    </row>
    <row r="11142" spans="27:27">
      <c r="AA11142" t="s">
        <v>12044</v>
      </c>
    </row>
    <row r="11143" spans="27:27">
      <c r="AA11143" t="s">
        <v>12045</v>
      </c>
    </row>
    <row r="11144" spans="27:27">
      <c r="AA11144" t="s">
        <v>12046</v>
      </c>
    </row>
    <row r="11145" spans="27:27">
      <c r="AA11145" t="s">
        <v>12047</v>
      </c>
    </row>
    <row r="11146" spans="27:27">
      <c r="AA11146" t="s">
        <v>12048</v>
      </c>
    </row>
    <row r="11147" spans="27:27">
      <c r="AA11147" t="s">
        <v>12049</v>
      </c>
    </row>
    <row r="11148" spans="27:27">
      <c r="AA11148" t="s">
        <v>12050</v>
      </c>
    </row>
    <row r="11149" spans="27:27">
      <c r="AA11149" t="s">
        <v>12051</v>
      </c>
    </row>
    <row r="11150" spans="27:27">
      <c r="AA11150" t="s">
        <v>1118</v>
      </c>
    </row>
    <row r="11151" spans="27:27">
      <c r="AA11151" t="s">
        <v>12052</v>
      </c>
    </row>
    <row r="11152" spans="27:27">
      <c r="AA11152" t="s">
        <v>12053</v>
      </c>
    </row>
    <row r="11153" spans="27:27">
      <c r="AA11153" t="s">
        <v>12054</v>
      </c>
    </row>
    <row r="11154" spans="27:27">
      <c r="AA11154" t="s">
        <v>12055</v>
      </c>
    </row>
    <row r="11155" spans="27:27">
      <c r="AA11155" t="s">
        <v>3915</v>
      </c>
    </row>
    <row r="11156" spans="27:27">
      <c r="AA11156" t="s">
        <v>1119</v>
      </c>
    </row>
    <row r="11157" spans="27:27">
      <c r="AA11157" t="s">
        <v>1120</v>
      </c>
    </row>
    <row r="11158" spans="27:27">
      <c r="AA11158" t="s">
        <v>1121</v>
      </c>
    </row>
    <row r="11159" spans="27:27">
      <c r="AA11159" t="s">
        <v>12056</v>
      </c>
    </row>
    <row r="11160" spans="27:27">
      <c r="AA11160" t="s">
        <v>2843</v>
      </c>
    </row>
    <row r="11161" spans="27:27">
      <c r="AA11161" t="s">
        <v>3916</v>
      </c>
    </row>
    <row r="11162" spans="27:27">
      <c r="AA11162" t="s">
        <v>12057</v>
      </c>
    </row>
    <row r="11163" spans="27:27">
      <c r="AA11163" t="s">
        <v>2844</v>
      </c>
    </row>
    <row r="11164" spans="27:27">
      <c r="AA11164" t="s">
        <v>1122</v>
      </c>
    </row>
    <row r="11165" spans="27:27">
      <c r="AA11165" t="s">
        <v>2845</v>
      </c>
    </row>
    <row r="11166" spans="27:27">
      <c r="AA11166" t="s">
        <v>12058</v>
      </c>
    </row>
    <row r="11167" spans="27:27">
      <c r="AA11167" t="s">
        <v>12059</v>
      </c>
    </row>
    <row r="11168" spans="27:27">
      <c r="AA11168" t="s">
        <v>12060</v>
      </c>
    </row>
    <row r="11169" spans="27:27">
      <c r="AA11169" t="s">
        <v>12061</v>
      </c>
    </row>
    <row r="11170" spans="27:27">
      <c r="AA11170" t="s">
        <v>12062</v>
      </c>
    </row>
    <row r="11171" spans="27:27">
      <c r="AA11171" t="s">
        <v>12063</v>
      </c>
    </row>
    <row r="11172" spans="27:27">
      <c r="AA11172" t="s">
        <v>12064</v>
      </c>
    </row>
    <row r="11173" spans="27:27">
      <c r="AA11173" t="s">
        <v>12065</v>
      </c>
    </row>
    <row r="11174" spans="27:27">
      <c r="AA11174" t="s">
        <v>12066</v>
      </c>
    </row>
    <row r="11175" spans="27:27">
      <c r="AA11175" t="s">
        <v>12067</v>
      </c>
    </row>
    <row r="11176" spans="27:27">
      <c r="AA11176" t="s">
        <v>12068</v>
      </c>
    </row>
    <row r="11177" spans="27:27">
      <c r="AA11177" t="s">
        <v>12069</v>
      </c>
    </row>
    <row r="11178" spans="27:27">
      <c r="AA11178" t="s">
        <v>12070</v>
      </c>
    </row>
    <row r="11179" spans="27:27">
      <c r="AA11179" t="s">
        <v>12071</v>
      </c>
    </row>
    <row r="11180" spans="27:27">
      <c r="AA11180" t="s">
        <v>12072</v>
      </c>
    </row>
    <row r="11181" spans="27:27">
      <c r="AA11181" t="s">
        <v>12073</v>
      </c>
    </row>
    <row r="11182" spans="27:27">
      <c r="AA11182" t="s">
        <v>12074</v>
      </c>
    </row>
    <row r="11183" spans="27:27">
      <c r="AA11183" t="s">
        <v>12075</v>
      </c>
    </row>
    <row r="11184" spans="27:27">
      <c r="AA11184" t="s">
        <v>12076</v>
      </c>
    </row>
    <row r="11185" spans="27:27">
      <c r="AA11185" t="s">
        <v>12077</v>
      </c>
    </row>
    <row r="11186" spans="27:27">
      <c r="AA11186" t="s">
        <v>12078</v>
      </c>
    </row>
    <row r="11187" spans="27:27">
      <c r="AA11187" t="s">
        <v>12079</v>
      </c>
    </row>
    <row r="11188" spans="27:27">
      <c r="AA11188" t="s">
        <v>12080</v>
      </c>
    </row>
    <row r="11189" spans="27:27">
      <c r="AA11189" t="s">
        <v>12081</v>
      </c>
    </row>
    <row r="11190" spans="27:27">
      <c r="AA11190" t="s">
        <v>12082</v>
      </c>
    </row>
    <row r="11191" spans="27:27">
      <c r="AA11191" t="s">
        <v>12083</v>
      </c>
    </row>
    <row r="11192" spans="27:27">
      <c r="AA11192" t="s">
        <v>1123</v>
      </c>
    </row>
    <row r="11193" spans="27:27">
      <c r="AA11193" t="s">
        <v>1124</v>
      </c>
    </row>
    <row r="11194" spans="27:27">
      <c r="AA11194" t="s">
        <v>1125</v>
      </c>
    </row>
    <row r="11195" spans="27:27">
      <c r="AA11195" t="s">
        <v>12084</v>
      </c>
    </row>
    <row r="11196" spans="27:27">
      <c r="AA11196" t="s">
        <v>1126</v>
      </c>
    </row>
    <row r="11197" spans="27:27">
      <c r="AA11197" t="s">
        <v>12085</v>
      </c>
    </row>
    <row r="11198" spans="27:27">
      <c r="AA11198" t="s">
        <v>12086</v>
      </c>
    </row>
    <row r="11199" spans="27:27">
      <c r="AA11199" t="s">
        <v>12087</v>
      </c>
    </row>
    <row r="11200" spans="27:27">
      <c r="AA11200" t="s">
        <v>12088</v>
      </c>
    </row>
    <row r="11201" spans="27:27">
      <c r="AA11201" t="s">
        <v>12089</v>
      </c>
    </row>
    <row r="11202" spans="27:27">
      <c r="AA11202" t="s">
        <v>2846</v>
      </c>
    </row>
    <row r="11203" spans="27:27">
      <c r="AA11203" t="s">
        <v>2847</v>
      </c>
    </row>
    <row r="11204" spans="27:27">
      <c r="AA11204" t="s">
        <v>1127</v>
      </c>
    </row>
    <row r="11205" spans="27:27">
      <c r="AA11205" t="s">
        <v>1128</v>
      </c>
    </row>
    <row r="11206" spans="27:27">
      <c r="AA11206" t="s">
        <v>1129</v>
      </c>
    </row>
    <row r="11207" spans="27:27">
      <c r="AA11207" t="s">
        <v>1130</v>
      </c>
    </row>
    <row r="11208" spans="27:27">
      <c r="AA11208" t="s">
        <v>1131</v>
      </c>
    </row>
    <row r="11209" spans="27:27">
      <c r="AA11209" t="s">
        <v>1132</v>
      </c>
    </row>
    <row r="11210" spans="27:27">
      <c r="AA11210" t="s">
        <v>12090</v>
      </c>
    </row>
    <row r="11211" spans="27:27">
      <c r="AA11211" t="s">
        <v>12091</v>
      </c>
    </row>
    <row r="11212" spans="27:27">
      <c r="AA11212" t="s">
        <v>12092</v>
      </c>
    </row>
    <row r="11213" spans="27:27">
      <c r="AA11213" t="s">
        <v>12093</v>
      </c>
    </row>
    <row r="11214" spans="27:27">
      <c r="AA11214" t="s">
        <v>12094</v>
      </c>
    </row>
    <row r="11215" spans="27:27">
      <c r="AA11215" t="s">
        <v>12095</v>
      </c>
    </row>
    <row r="11216" spans="27:27">
      <c r="AA11216" t="s">
        <v>12096</v>
      </c>
    </row>
    <row r="11217" spans="27:27">
      <c r="AA11217" t="s">
        <v>12097</v>
      </c>
    </row>
    <row r="11218" spans="27:27">
      <c r="AA11218" t="s">
        <v>12098</v>
      </c>
    </row>
    <row r="11219" spans="27:27">
      <c r="AA11219" t="s">
        <v>12099</v>
      </c>
    </row>
    <row r="11220" spans="27:27">
      <c r="AA11220" t="s">
        <v>1133</v>
      </c>
    </row>
    <row r="11221" spans="27:27">
      <c r="AA11221" t="s">
        <v>1134</v>
      </c>
    </row>
    <row r="11222" spans="27:27">
      <c r="AA11222" t="s">
        <v>1135</v>
      </c>
    </row>
    <row r="11223" spans="27:27">
      <c r="AA11223" t="s">
        <v>12100</v>
      </c>
    </row>
    <row r="11224" spans="27:27">
      <c r="AA11224" t="s">
        <v>12101</v>
      </c>
    </row>
    <row r="11225" spans="27:27">
      <c r="AA11225" t="s">
        <v>12102</v>
      </c>
    </row>
    <row r="11226" spans="27:27">
      <c r="AA11226" t="s">
        <v>1136</v>
      </c>
    </row>
    <row r="11227" spans="27:27">
      <c r="AA11227" t="s">
        <v>12103</v>
      </c>
    </row>
    <row r="11228" spans="27:27">
      <c r="AA11228" t="s">
        <v>12104</v>
      </c>
    </row>
    <row r="11229" spans="27:27">
      <c r="AA11229" t="s">
        <v>1137</v>
      </c>
    </row>
    <row r="11230" spans="27:27">
      <c r="AA11230" t="s">
        <v>1138</v>
      </c>
    </row>
    <row r="11231" spans="27:27">
      <c r="AA11231" t="s">
        <v>1139</v>
      </c>
    </row>
    <row r="11232" spans="27:27">
      <c r="AA11232" t="s">
        <v>12105</v>
      </c>
    </row>
    <row r="11233" spans="27:27">
      <c r="AA11233" t="s">
        <v>12106</v>
      </c>
    </row>
    <row r="11234" spans="27:27">
      <c r="AA11234" t="s">
        <v>12107</v>
      </c>
    </row>
    <row r="11235" spans="27:27">
      <c r="AA11235" t="s">
        <v>12108</v>
      </c>
    </row>
    <row r="11236" spans="27:27">
      <c r="AA11236" t="s">
        <v>12109</v>
      </c>
    </row>
    <row r="11237" spans="27:27">
      <c r="AA11237" t="s">
        <v>1140</v>
      </c>
    </row>
    <row r="11238" spans="27:27">
      <c r="AA11238" t="s">
        <v>12110</v>
      </c>
    </row>
    <row r="11239" spans="27:27">
      <c r="AA11239" t="s">
        <v>12111</v>
      </c>
    </row>
    <row r="11240" spans="27:27">
      <c r="AA11240" t="s">
        <v>12112</v>
      </c>
    </row>
    <row r="11241" spans="27:27">
      <c r="AA11241" t="s">
        <v>12113</v>
      </c>
    </row>
    <row r="11242" spans="27:27">
      <c r="AA11242" t="s">
        <v>12114</v>
      </c>
    </row>
    <row r="11243" spans="27:27">
      <c r="AA11243" t="s">
        <v>12115</v>
      </c>
    </row>
    <row r="11244" spans="27:27">
      <c r="AA11244" t="s">
        <v>3917</v>
      </c>
    </row>
    <row r="11245" spans="27:27">
      <c r="AA11245" t="s">
        <v>12116</v>
      </c>
    </row>
    <row r="11246" spans="27:27">
      <c r="AA11246" t="s">
        <v>12117</v>
      </c>
    </row>
    <row r="11247" spans="27:27">
      <c r="AA11247" t="s">
        <v>12118</v>
      </c>
    </row>
    <row r="11248" spans="27:27">
      <c r="AA11248" t="s">
        <v>12119</v>
      </c>
    </row>
    <row r="11249" spans="27:27">
      <c r="AA11249" t="s">
        <v>12120</v>
      </c>
    </row>
    <row r="11250" spans="27:27">
      <c r="AA11250" t="s">
        <v>12121</v>
      </c>
    </row>
    <row r="11251" spans="27:27">
      <c r="AA11251" t="s">
        <v>12122</v>
      </c>
    </row>
    <row r="11252" spans="27:27">
      <c r="AA11252" t="s">
        <v>12123</v>
      </c>
    </row>
    <row r="11253" spans="27:27">
      <c r="AA11253" t="s">
        <v>12124</v>
      </c>
    </row>
    <row r="11254" spans="27:27">
      <c r="AA11254" t="s">
        <v>1141</v>
      </c>
    </row>
    <row r="11255" spans="27:27">
      <c r="AA11255" t="s">
        <v>12125</v>
      </c>
    </row>
    <row r="11256" spans="27:27">
      <c r="AA11256" t="s">
        <v>12126</v>
      </c>
    </row>
    <row r="11257" spans="27:27">
      <c r="AA11257" t="s">
        <v>12127</v>
      </c>
    </row>
    <row r="11258" spans="27:27">
      <c r="AA11258" t="s">
        <v>1142</v>
      </c>
    </row>
    <row r="11259" spans="27:27">
      <c r="AA11259" t="s">
        <v>12128</v>
      </c>
    </row>
    <row r="11260" spans="27:27">
      <c r="AA11260" t="s">
        <v>12129</v>
      </c>
    </row>
    <row r="11261" spans="27:27">
      <c r="AA11261" t="s">
        <v>1143</v>
      </c>
    </row>
    <row r="11262" spans="27:27">
      <c r="AA11262" t="s">
        <v>12130</v>
      </c>
    </row>
    <row r="11263" spans="27:27">
      <c r="AA11263" t="s">
        <v>12131</v>
      </c>
    </row>
    <row r="11264" spans="27:27">
      <c r="AA11264" t="s">
        <v>1144</v>
      </c>
    </row>
    <row r="11265" spans="27:27">
      <c r="AA11265" t="s">
        <v>12132</v>
      </c>
    </row>
    <row r="11266" spans="27:27">
      <c r="AA11266" t="s">
        <v>12133</v>
      </c>
    </row>
    <row r="11267" spans="27:27">
      <c r="AA11267" t="s">
        <v>1145</v>
      </c>
    </row>
    <row r="11268" spans="27:27">
      <c r="AA11268" t="s">
        <v>3918</v>
      </c>
    </row>
    <row r="11269" spans="27:27">
      <c r="AA11269" t="s">
        <v>1146</v>
      </c>
    </row>
    <row r="11270" spans="27:27">
      <c r="AA11270" t="s">
        <v>1147</v>
      </c>
    </row>
    <row r="11271" spans="27:27">
      <c r="AA11271" t="s">
        <v>3919</v>
      </c>
    </row>
    <row r="11272" spans="27:27">
      <c r="AA11272" t="s">
        <v>1148</v>
      </c>
    </row>
    <row r="11273" spans="27:27">
      <c r="AA11273" t="s">
        <v>3920</v>
      </c>
    </row>
    <row r="11274" spans="27:27">
      <c r="AA11274" t="s">
        <v>1149</v>
      </c>
    </row>
    <row r="11275" spans="27:27">
      <c r="AA11275" t="s">
        <v>1150</v>
      </c>
    </row>
    <row r="11276" spans="27:27">
      <c r="AA11276" t="s">
        <v>12134</v>
      </c>
    </row>
    <row r="11277" spans="27:27">
      <c r="AA11277" t="s">
        <v>12135</v>
      </c>
    </row>
    <row r="11278" spans="27:27">
      <c r="AA11278" t="s">
        <v>1151</v>
      </c>
    </row>
    <row r="11279" spans="27:27">
      <c r="AA11279" t="s">
        <v>12136</v>
      </c>
    </row>
    <row r="11280" spans="27:27">
      <c r="AA11280" t="s">
        <v>12137</v>
      </c>
    </row>
    <row r="11281" spans="27:27">
      <c r="AA11281" t="s">
        <v>1152</v>
      </c>
    </row>
    <row r="11282" spans="27:27">
      <c r="AA11282" t="s">
        <v>12138</v>
      </c>
    </row>
    <row r="11283" spans="27:27">
      <c r="AA11283" t="s">
        <v>12139</v>
      </c>
    </row>
    <row r="11284" spans="27:27">
      <c r="AA11284" t="s">
        <v>1153</v>
      </c>
    </row>
    <row r="11285" spans="27:27">
      <c r="AA11285" t="s">
        <v>12140</v>
      </c>
    </row>
    <row r="11286" spans="27:27">
      <c r="AA11286" t="s">
        <v>12141</v>
      </c>
    </row>
    <row r="11287" spans="27:27">
      <c r="AA11287" t="s">
        <v>1154</v>
      </c>
    </row>
    <row r="11288" spans="27:27">
      <c r="AA11288" t="s">
        <v>2848</v>
      </c>
    </row>
    <row r="11289" spans="27:27">
      <c r="AA11289" t="s">
        <v>1155</v>
      </c>
    </row>
    <row r="11290" spans="27:27">
      <c r="AA11290" t="s">
        <v>1156</v>
      </c>
    </row>
    <row r="11291" spans="27:27">
      <c r="AA11291" t="s">
        <v>12142</v>
      </c>
    </row>
    <row r="11292" spans="27:27">
      <c r="AA11292" t="s">
        <v>12143</v>
      </c>
    </row>
    <row r="11293" spans="27:27">
      <c r="AA11293" t="s">
        <v>12144</v>
      </c>
    </row>
    <row r="11294" spans="27:27">
      <c r="AA11294" t="s">
        <v>12145</v>
      </c>
    </row>
    <row r="11295" spans="27:27">
      <c r="AA11295" t="s">
        <v>12146</v>
      </c>
    </row>
    <row r="11296" spans="27:27">
      <c r="AA11296" t="s">
        <v>12147</v>
      </c>
    </row>
    <row r="11297" spans="27:27">
      <c r="AA11297" t="s">
        <v>12148</v>
      </c>
    </row>
    <row r="11298" spans="27:27">
      <c r="AA11298" t="s">
        <v>12149</v>
      </c>
    </row>
    <row r="11299" spans="27:27">
      <c r="AA11299" t="s">
        <v>12150</v>
      </c>
    </row>
    <row r="11300" spans="27:27">
      <c r="AA11300" t="s">
        <v>12151</v>
      </c>
    </row>
    <row r="11301" spans="27:27">
      <c r="AA11301" t="s">
        <v>12152</v>
      </c>
    </row>
    <row r="11302" spans="27:27">
      <c r="AA11302" t="s">
        <v>12153</v>
      </c>
    </row>
    <row r="11303" spans="27:27">
      <c r="AA11303" t="s">
        <v>12154</v>
      </c>
    </row>
    <row r="11304" spans="27:27">
      <c r="AA11304" t="s">
        <v>12155</v>
      </c>
    </row>
    <row r="11305" spans="27:27">
      <c r="AA11305" t="s">
        <v>12156</v>
      </c>
    </row>
    <row r="11306" spans="27:27">
      <c r="AA11306" t="s">
        <v>12157</v>
      </c>
    </row>
    <row r="11307" spans="27:27">
      <c r="AA11307" t="s">
        <v>12158</v>
      </c>
    </row>
    <row r="11308" spans="27:27">
      <c r="AA11308" t="s">
        <v>2849</v>
      </c>
    </row>
    <row r="11309" spans="27:27">
      <c r="AA11309" t="s">
        <v>3921</v>
      </c>
    </row>
    <row r="11310" spans="27:27">
      <c r="AA11310" t="s">
        <v>12159</v>
      </c>
    </row>
    <row r="11311" spans="27:27">
      <c r="AA11311" t="s">
        <v>12160</v>
      </c>
    </row>
    <row r="11312" spans="27:27">
      <c r="AA11312" t="s">
        <v>12161</v>
      </c>
    </row>
    <row r="11313" spans="27:27">
      <c r="AA11313" t="s">
        <v>1157</v>
      </c>
    </row>
    <row r="11314" spans="27:27">
      <c r="AA11314" t="s">
        <v>1158</v>
      </c>
    </row>
    <row r="11315" spans="27:27">
      <c r="AA11315" t="s">
        <v>2850</v>
      </c>
    </row>
    <row r="11316" spans="27:27">
      <c r="AA11316" t="s">
        <v>2851</v>
      </c>
    </row>
    <row r="11317" spans="27:27">
      <c r="AA11317" t="s">
        <v>2852</v>
      </c>
    </row>
    <row r="11318" spans="27:27">
      <c r="AA11318" t="s">
        <v>2853</v>
      </c>
    </row>
    <row r="11319" spans="27:27">
      <c r="AA11319" t="s">
        <v>2854</v>
      </c>
    </row>
    <row r="11320" spans="27:27">
      <c r="AA11320" t="s">
        <v>2855</v>
      </c>
    </row>
    <row r="11321" spans="27:27">
      <c r="AA11321" t="s">
        <v>2856</v>
      </c>
    </row>
    <row r="11322" spans="27:27">
      <c r="AA11322" t="s">
        <v>3922</v>
      </c>
    </row>
    <row r="11323" spans="27:27">
      <c r="AA11323" t="s">
        <v>12162</v>
      </c>
    </row>
    <row r="11324" spans="27:27">
      <c r="AA11324" t="s">
        <v>12163</v>
      </c>
    </row>
    <row r="11325" spans="27:27">
      <c r="AA11325" t="s">
        <v>12164</v>
      </c>
    </row>
    <row r="11326" spans="27:27">
      <c r="AA11326" t="s">
        <v>2857</v>
      </c>
    </row>
    <row r="11327" spans="27:27">
      <c r="AA11327" t="s">
        <v>2858</v>
      </c>
    </row>
    <row r="11328" spans="27:27">
      <c r="AA11328" t="s">
        <v>12165</v>
      </c>
    </row>
    <row r="11329" spans="27:27">
      <c r="AA11329" t="s">
        <v>12166</v>
      </c>
    </row>
    <row r="11330" spans="27:27">
      <c r="AA11330" t="s">
        <v>12167</v>
      </c>
    </row>
    <row r="11331" spans="27:27">
      <c r="AA11331" t="s">
        <v>12168</v>
      </c>
    </row>
    <row r="11332" spans="27:27">
      <c r="AA11332" t="s">
        <v>2859</v>
      </c>
    </row>
    <row r="11333" spans="27:27">
      <c r="AA11333" t="s">
        <v>3923</v>
      </c>
    </row>
    <row r="11334" spans="27:27">
      <c r="AA11334" t="s">
        <v>12169</v>
      </c>
    </row>
    <row r="11335" spans="27:27">
      <c r="AA11335" t="s">
        <v>12170</v>
      </c>
    </row>
    <row r="11336" spans="27:27">
      <c r="AA11336" t="s">
        <v>2860</v>
      </c>
    </row>
    <row r="11337" spans="27:27">
      <c r="AA11337" t="s">
        <v>2861</v>
      </c>
    </row>
    <row r="11338" spans="27:27">
      <c r="AA11338" t="s">
        <v>2862</v>
      </c>
    </row>
    <row r="11339" spans="27:27">
      <c r="AA11339" t="s">
        <v>2863</v>
      </c>
    </row>
    <row r="11340" spans="27:27">
      <c r="AA11340" t="s">
        <v>2864</v>
      </c>
    </row>
    <row r="11341" spans="27:27">
      <c r="AA11341" t="s">
        <v>2865</v>
      </c>
    </row>
    <row r="11342" spans="27:27">
      <c r="AA11342" t="s">
        <v>3924</v>
      </c>
    </row>
    <row r="11343" spans="27:27">
      <c r="AA11343" t="s">
        <v>12171</v>
      </c>
    </row>
    <row r="11344" spans="27:27">
      <c r="AA11344" t="s">
        <v>12172</v>
      </c>
    </row>
    <row r="11345" spans="27:27">
      <c r="AA11345" t="s">
        <v>12173</v>
      </c>
    </row>
    <row r="11346" spans="27:27">
      <c r="AA11346" t="s">
        <v>2866</v>
      </c>
    </row>
    <row r="11347" spans="27:27">
      <c r="AA11347" t="s">
        <v>2867</v>
      </c>
    </row>
    <row r="11348" spans="27:27">
      <c r="AA11348" t="s">
        <v>12174</v>
      </c>
    </row>
    <row r="11349" spans="27:27">
      <c r="AA11349" t="s">
        <v>12175</v>
      </c>
    </row>
    <row r="11350" spans="27:27">
      <c r="AA11350" t="s">
        <v>12176</v>
      </c>
    </row>
    <row r="11351" spans="27:27">
      <c r="AA11351" t="s">
        <v>12177</v>
      </c>
    </row>
    <row r="11352" spans="27:27">
      <c r="AA11352" t="s">
        <v>2868</v>
      </c>
    </row>
    <row r="11353" spans="27:27">
      <c r="AA11353" t="s">
        <v>3925</v>
      </c>
    </row>
    <row r="11354" spans="27:27">
      <c r="AA11354" t="s">
        <v>2869</v>
      </c>
    </row>
    <row r="11355" spans="27:27">
      <c r="AA11355" t="s">
        <v>13918</v>
      </c>
    </row>
    <row r="11356" spans="27:27">
      <c r="AA11356" t="s">
        <v>12178</v>
      </c>
    </row>
    <row r="11357" spans="27:27">
      <c r="AA11357" t="s">
        <v>12179</v>
      </c>
    </row>
    <row r="11358" spans="27:27">
      <c r="AA11358" t="s">
        <v>12180</v>
      </c>
    </row>
    <row r="11359" spans="27:27">
      <c r="AA11359" t="s">
        <v>12181</v>
      </c>
    </row>
    <row r="11360" spans="27:27">
      <c r="AA11360" t="s">
        <v>12182</v>
      </c>
    </row>
    <row r="11361" spans="27:27">
      <c r="AA11361" t="s">
        <v>13651</v>
      </c>
    </row>
    <row r="11362" spans="27:27">
      <c r="AA11362" t="s">
        <v>12184</v>
      </c>
    </row>
    <row r="11363" spans="27:27">
      <c r="AA11363" t="s">
        <v>12185</v>
      </c>
    </row>
    <row r="11364" spans="27:27">
      <c r="AA11364" t="s">
        <v>12186</v>
      </c>
    </row>
    <row r="11365" spans="27:27">
      <c r="AA11365" t="s">
        <v>12187</v>
      </c>
    </row>
    <row r="11366" spans="27:27">
      <c r="AA11366" t="s">
        <v>12188</v>
      </c>
    </row>
    <row r="11367" spans="27:27">
      <c r="AA11367" t="s">
        <v>12189</v>
      </c>
    </row>
    <row r="11368" spans="27:27">
      <c r="AA11368" t="s">
        <v>2870</v>
      </c>
    </row>
    <row r="11369" spans="27:27">
      <c r="AA11369" t="s">
        <v>12190</v>
      </c>
    </row>
    <row r="11370" spans="27:27">
      <c r="AA11370" t="s">
        <v>12191</v>
      </c>
    </row>
    <row r="11371" spans="27:27">
      <c r="AA11371" t="s">
        <v>12192</v>
      </c>
    </row>
    <row r="11372" spans="27:27">
      <c r="AA11372" t="s">
        <v>12193</v>
      </c>
    </row>
    <row r="11373" spans="27:27">
      <c r="AA11373" t="s">
        <v>2871</v>
      </c>
    </row>
    <row r="11374" spans="27:27">
      <c r="AA11374" t="s">
        <v>12194</v>
      </c>
    </row>
    <row r="11375" spans="27:27">
      <c r="AA11375" t="s">
        <v>12195</v>
      </c>
    </row>
    <row r="11376" spans="27:27">
      <c r="AA11376" t="s">
        <v>12196</v>
      </c>
    </row>
    <row r="11377" spans="27:27">
      <c r="AA11377" t="s">
        <v>12197</v>
      </c>
    </row>
    <row r="11378" spans="27:27">
      <c r="AA11378" t="s">
        <v>12198</v>
      </c>
    </row>
    <row r="11379" spans="27:27">
      <c r="AA11379" t="s">
        <v>12199</v>
      </c>
    </row>
    <row r="11380" spans="27:27">
      <c r="AA11380" t="s">
        <v>2872</v>
      </c>
    </row>
    <row r="11381" spans="27:27">
      <c r="AA11381" t="s">
        <v>2873</v>
      </c>
    </row>
    <row r="11382" spans="27:27">
      <c r="AA11382" t="s">
        <v>2874</v>
      </c>
    </row>
    <row r="11383" spans="27:27">
      <c r="AA11383" t="s">
        <v>3927</v>
      </c>
    </row>
    <row r="11384" spans="27:27">
      <c r="AA11384" t="s">
        <v>12200</v>
      </c>
    </row>
    <row r="11385" spans="27:27">
      <c r="AA11385" t="s">
        <v>12201</v>
      </c>
    </row>
    <row r="11386" spans="27:27">
      <c r="AA11386" t="s">
        <v>2875</v>
      </c>
    </row>
    <row r="11387" spans="27:27">
      <c r="AA11387" t="s">
        <v>12202</v>
      </c>
    </row>
    <row r="11388" spans="27:27">
      <c r="AA11388" t="s">
        <v>12203</v>
      </c>
    </row>
    <row r="11389" spans="27:27">
      <c r="AA11389" t="s">
        <v>2876</v>
      </c>
    </row>
    <row r="11390" spans="27:27">
      <c r="AA11390" t="s">
        <v>12204</v>
      </c>
    </row>
    <row r="11391" spans="27:27">
      <c r="AA11391" t="s">
        <v>2877</v>
      </c>
    </row>
    <row r="11392" spans="27:27">
      <c r="AA11392" t="s">
        <v>2878</v>
      </c>
    </row>
    <row r="11393" spans="27:27">
      <c r="AA11393" t="s">
        <v>2879</v>
      </c>
    </row>
    <row r="11394" spans="27:27">
      <c r="AA11394" t="s">
        <v>12205</v>
      </c>
    </row>
    <row r="11395" spans="27:27">
      <c r="AA11395" t="s">
        <v>12206</v>
      </c>
    </row>
    <row r="11396" spans="27:27">
      <c r="AA11396" t="s">
        <v>12207</v>
      </c>
    </row>
    <row r="11397" spans="27:27">
      <c r="AA11397" t="s">
        <v>12208</v>
      </c>
    </row>
    <row r="11398" spans="27:27">
      <c r="AA11398" t="s">
        <v>12209</v>
      </c>
    </row>
    <row r="11399" spans="27:27">
      <c r="AA11399" t="s">
        <v>2880</v>
      </c>
    </row>
    <row r="11400" spans="27:27">
      <c r="AA11400" t="s">
        <v>12210</v>
      </c>
    </row>
    <row r="11401" spans="27:27">
      <c r="AA11401" t="s">
        <v>12211</v>
      </c>
    </row>
    <row r="11402" spans="27:27">
      <c r="AA11402" t="s">
        <v>2881</v>
      </c>
    </row>
    <row r="11403" spans="27:27">
      <c r="AA11403" t="s">
        <v>2882</v>
      </c>
    </row>
    <row r="11404" spans="27:27">
      <c r="AA11404" t="s">
        <v>12212</v>
      </c>
    </row>
    <row r="11405" spans="27:27">
      <c r="AA11405" t="s">
        <v>2883</v>
      </c>
    </row>
    <row r="11406" spans="27:27">
      <c r="AA11406" t="s">
        <v>3928</v>
      </c>
    </row>
    <row r="11407" spans="27:27">
      <c r="AA11407" t="s">
        <v>12213</v>
      </c>
    </row>
    <row r="11408" spans="27:27">
      <c r="AA11408" t="s">
        <v>2884</v>
      </c>
    </row>
    <row r="11409" spans="27:27">
      <c r="AA11409" t="s">
        <v>2885</v>
      </c>
    </row>
    <row r="11410" spans="27:27">
      <c r="AA11410" t="s">
        <v>3929</v>
      </c>
    </row>
    <row r="11411" spans="27:27">
      <c r="AA11411" t="s">
        <v>12214</v>
      </c>
    </row>
    <row r="11412" spans="27:27">
      <c r="AA11412" t="s">
        <v>12215</v>
      </c>
    </row>
    <row r="11413" spans="27:27">
      <c r="AA11413" t="s">
        <v>12216</v>
      </c>
    </row>
    <row r="11414" spans="27:27">
      <c r="AA11414" t="s">
        <v>12217</v>
      </c>
    </row>
    <row r="11415" spans="27:27">
      <c r="AA11415" t="s">
        <v>12218</v>
      </c>
    </row>
    <row r="11416" spans="27:27">
      <c r="AA11416" t="s">
        <v>12219</v>
      </c>
    </row>
    <row r="11417" spans="27:27">
      <c r="AA11417" t="s">
        <v>2886</v>
      </c>
    </row>
    <row r="11418" spans="27:27">
      <c r="AA11418" t="s">
        <v>12220</v>
      </c>
    </row>
    <row r="11419" spans="27:27">
      <c r="AA11419" t="s">
        <v>12221</v>
      </c>
    </row>
    <row r="11420" spans="27:27">
      <c r="AA11420" t="s">
        <v>12222</v>
      </c>
    </row>
    <row r="11421" spans="27:27">
      <c r="AA11421" t="s">
        <v>12223</v>
      </c>
    </row>
    <row r="11422" spans="27:27">
      <c r="AA11422" t="s">
        <v>12224</v>
      </c>
    </row>
    <row r="11423" spans="27:27">
      <c r="AA11423" t="s">
        <v>12225</v>
      </c>
    </row>
    <row r="11424" spans="27:27">
      <c r="AA11424" t="s">
        <v>12226</v>
      </c>
    </row>
    <row r="11425" spans="27:27">
      <c r="AA11425" t="s">
        <v>2887</v>
      </c>
    </row>
    <row r="11426" spans="27:27">
      <c r="AA11426" t="s">
        <v>12227</v>
      </c>
    </row>
    <row r="11427" spans="27:27">
      <c r="AA11427" t="s">
        <v>12228</v>
      </c>
    </row>
    <row r="11428" spans="27:27">
      <c r="AA11428" t="s">
        <v>12229</v>
      </c>
    </row>
    <row r="11429" spans="27:27">
      <c r="AA11429" t="s">
        <v>2888</v>
      </c>
    </row>
    <row r="11430" spans="27:27">
      <c r="AA11430" t="s">
        <v>12230</v>
      </c>
    </row>
    <row r="11431" spans="27:27">
      <c r="AA11431" t="s">
        <v>12231</v>
      </c>
    </row>
    <row r="11432" spans="27:27">
      <c r="AA11432" t="s">
        <v>12232</v>
      </c>
    </row>
    <row r="11433" spans="27:27">
      <c r="AA11433" t="s">
        <v>12233</v>
      </c>
    </row>
    <row r="11434" spans="27:27">
      <c r="AA11434" t="s">
        <v>12234</v>
      </c>
    </row>
    <row r="11435" spans="27:27">
      <c r="AA11435" t="s">
        <v>12235</v>
      </c>
    </row>
    <row r="11436" spans="27:27">
      <c r="AA11436" t="s">
        <v>12236</v>
      </c>
    </row>
    <row r="11437" spans="27:27">
      <c r="AA11437" t="s">
        <v>12237</v>
      </c>
    </row>
    <row r="11438" spans="27:27">
      <c r="AA11438" t="s">
        <v>2889</v>
      </c>
    </row>
    <row r="11439" spans="27:27">
      <c r="AA11439" t="s">
        <v>12238</v>
      </c>
    </row>
    <row r="11440" spans="27:27">
      <c r="AA11440" t="s">
        <v>12239</v>
      </c>
    </row>
    <row r="11441" spans="27:27">
      <c r="AA11441" t="s">
        <v>12240</v>
      </c>
    </row>
    <row r="11442" spans="27:27">
      <c r="AA11442" t="s">
        <v>12241</v>
      </c>
    </row>
    <row r="11443" spans="27:27">
      <c r="AA11443" t="s">
        <v>12242</v>
      </c>
    </row>
    <row r="11444" spans="27:27">
      <c r="AA11444" t="s">
        <v>12243</v>
      </c>
    </row>
    <row r="11445" spans="27:27">
      <c r="AA11445" t="s">
        <v>12244</v>
      </c>
    </row>
    <row r="11446" spans="27:27">
      <c r="AA11446" t="s">
        <v>12245</v>
      </c>
    </row>
    <row r="11447" spans="27:27">
      <c r="AA11447" t="s">
        <v>2890</v>
      </c>
    </row>
    <row r="11448" spans="27:27">
      <c r="AA11448" t="s">
        <v>3930</v>
      </c>
    </row>
    <row r="11449" spans="27:27">
      <c r="AA11449" t="s">
        <v>2891</v>
      </c>
    </row>
    <row r="11450" spans="27:27">
      <c r="AA11450" t="s">
        <v>12246</v>
      </c>
    </row>
    <row r="11451" spans="27:27">
      <c r="AA11451" t="s">
        <v>12247</v>
      </c>
    </row>
    <row r="11452" spans="27:27">
      <c r="AA11452" t="s">
        <v>12248</v>
      </c>
    </row>
    <row r="11453" spans="27:27">
      <c r="AA11453" t="s">
        <v>12249</v>
      </c>
    </row>
    <row r="11454" spans="27:27">
      <c r="AA11454" t="s">
        <v>12250</v>
      </c>
    </row>
    <row r="11455" spans="27:27">
      <c r="AA11455" t="s">
        <v>12251</v>
      </c>
    </row>
    <row r="11456" spans="27:27">
      <c r="AA11456" t="s">
        <v>12252</v>
      </c>
    </row>
    <row r="11457" spans="27:27">
      <c r="AA11457" t="s">
        <v>12253</v>
      </c>
    </row>
    <row r="11458" spans="27:27">
      <c r="AA11458" t="s">
        <v>12254</v>
      </c>
    </row>
    <row r="11459" spans="27:27">
      <c r="AA11459" t="s">
        <v>12255</v>
      </c>
    </row>
    <row r="11460" spans="27:27">
      <c r="AA11460" t="s">
        <v>2892</v>
      </c>
    </row>
    <row r="11461" spans="27:27">
      <c r="AA11461" t="s">
        <v>2893</v>
      </c>
    </row>
    <row r="11462" spans="27:27">
      <c r="AA11462" t="s">
        <v>12256</v>
      </c>
    </row>
    <row r="11463" spans="27:27">
      <c r="AA11463" t="s">
        <v>3931</v>
      </c>
    </row>
    <row r="11464" spans="27:27">
      <c r="AA11464" t="s">
        <v>12257</v>
      </c>
    </row>
    <row r="11465" spans="27:27">
      <c r="AA11465" t="s">
        <v>12258</v>
      </c>
    </row>
    <row r="11466" spans="27:27">
      <c r="AA11466" t="s">
        <v>2894</v>
      </c>
    </row>
    <row r="11467" spans="27:27">
      <c r="AA11467" t="s">
        <v>12259</v>
      </c>
    </row>
    <row r="11468" spans="27:27">
      <c r="AA11468" t="s">
        <v>12260</v>
      </c>
    </row>
    <row r="11469" spans="27:27">
      <c r="AA11469" t="s">
        <v>12261</v>
      </c>
    </row>
    <row r="11470" spans="27:27">
      <c r="AA11470" t="s">
        <v>12262</v>
      </c>
    </row>
    <row r="11471" spans="27:27">
      <c r="AA11471" t="s">
        <v>12263</v>
      </c>
    </row>
    <row r="11472" spans="27:27">
      <c r="AA11472" t="s">
        <v>12264</v>
      </c>
    </row>
    <row r="11473" spans="27:27">
      <c r="AA11473" t="s">
        <v>12265</v>
      </c>
    </row>
    <row r="11474" spans="27:27">
      <c r="AA11474" t="s">
        <v>12266</v>
      </c>
    </row>
    <row r="11475" spans="27:27">
      <c r="AA11475" t="s">
        <v>12267</v>
      </c>
    </row>
    <row r="11476" spans="27:27">
      <c r="AA11476" t="s">
        <v>12268</v>
      </c>
    </row>
    <row r="11477" spans="27:27">
      <c r="AA11477" t="s">
        <v>12269</v>
      </c>
    </row>
    <row r="11478" spans="27:27">
      <c r="AA11478" t="s">
        <v>12270</v>
      </c>
    </row>
    <row r="11479" spans="27:27">
      <c r="AA11479" t="s">
        <v>12271</v>
      </c>
    </row>
    <row r="11480" spans="27:27">
      <c r="AA11480" t="s">
        <v>12272</v>
      </c>
    </row>
    <row r="11481" spans="27:27">
      <c r="AA11481" t="s">
        <v>12273</v>
      </c>
    </row>
    <row r="11482" spans="27:27">
      <c r="AA11482" t="s">
        <v>2895</v>
      </c>
    </row>
    <row r="11483" spans="27:27">
      <c r="AA11483" t="s">
        <v>3932</v>
      </c>
    </row>
    <row r="11484" spans="27:27">
      <c r="AA11484" t="s">
        <v>12274</v>
      </c>
    </row>
    <row r="11485" spans="27:27">
      <c r="AA11485" t="s">
        <v>12275</v>
      </c>
    </row>
    <row r="11486" spans="27:27">
      <c r="AA11486" t="s">
        <v>12276</v>
      </c>
    </row>
    <row r="11487" spans="27:27">
      <c r="AA11487" t="s">
        <v>2896</v>
      </c>
    </row>
    <row r="11488" spans="27:27">
      <c r="AA11488" t="s">
        <v>12277</v>
      </c>
    </row>
    <row r="11489" spans="27:27">
      <c r="AA11489" t="s">
        <v>12278</v>
      </c>
    </row>
    <row r="11490" spans="27:27">
      <c r="AA11490" t="s">
        <v>12279</v>
      </c>
    </row>
    <row r="11491" spans="27:27">
      <c r="AA11491" t="s">
        <v>12280</v>
      </c>
    </row>
    <row r="11492" spans="27:27">
      <c r="AA11492" t="s">
        <v>12281</v>
      </c>
    </row>
    <row r="11493" spans="27:27">
      <c r="AA11493" t="s">
        <v>12282</v>
      </c>
    </row>
    <row r="11494" spans="27:27">
      <c r="AA11494" t="s">
        <v>12283</v>
      </c>
    </row>
    <row r="11495" spans="27:27">
      <c r="AA11495" t="s">
        <v>12284</v>
      </c>
    </row>
    <row r="11496" spans="27:27">
      <c r="AA11496" t="s">
        <v>12285</v>
      </c>
    </row>
    <row r="11497" spans="27:27">
      <c r="AA11497" t="s">
        <v>12286</v>
      </c>
    </row>
    <row r="11498" spans="27:27">
      <c r="AA11498" t="s">
        <v>2897</v>
      </c>
    </row>
    <row r="11499" spans="27:27">
      <c r="AA11499" t="s">
        <v>2898</v>
      </c>
    </row>
    <row r="11500" spans="27:27">
      <c r="AA11500" t="s">
        <v>2899</v>
      </c>
    </row>
    <row r="11501" spans="27:27">
      <c r="AA11501" t="s">
        <v>2900</v>
      </c>
    </row>
    <row r="11502" spans="27:27">
      <c r="AA11502" t="s">
        <v>2901</v>
      </c>
    </row>
    <row r="11503" spans="27:27">
      <c r="AA11503" t="s">
        <v>2902</v>
      </c>
    </row>
    <row r="11504" spans="27:27">
      <c r="AA11504" t="s">
        <v>2903</v>
      </c>
    </row>
    <row r="11505" spans="27:27">
      <c r="AA11505" t="s">
        <v>2904</v>
      </c>
    </row>
    <row r="11506" spans="27:27">
      <c r="AA11506" t="s">
        <v>2905</v>
      </c>
    </row>
    <row r="11507" spans="27:27">
      <c r="AA11507" t="s">
        <v>2906</v>
      </c>
    </row>
    <row r="11508" spans="27:27">
      <c r="AA11508" t="s">
        <v>2907</v>
      </c>
    </row>
    <row r="11509" spans="27:27">
      <c r="AA11509" t="s">
        <v>2908</v>
      </c>
    </row>
    <row r="11510" spans="27:27">
      <c r="AA11510" t="s">
        <v>2909</v>
      </c>
    </row>
    <row r="11511" spans="27:27">
      <c r="AA11511" t="s">
        <v>12287</v>
      </c>
    </row>
    <row r="11512" spans="27:27">
      <c r="AA11512" t="s">
        <v>12288</v>
      </c>
    </row>
    <row r="11513" spans="27:27">
      <c r="AA11513" t="s">
        <v>12289</v>
      </c>
    </row>
    <row r="11514" spans="27:27">
      <c r="AA11514" t="s">
        <v>12290</v>
      </c>
    </row>
    <row r="11515" spans="27:27">
      <c r="AA11515" t="s">
        <v>12291</v>
      </c>
    </row>
    <row r="11516" spans="27:27">
      <c r="AA11516" t="s">
        <v>12292</v>
      </c>
    </row>
    <row r="11517" spans="27:27">
      <c r="AA11517" t="s">
        <v>12293</v>
      </c>
    </row>
    <row r="11518" spans="27:27">
      <c r="AA11518" t="s">
        <v>12294</v>
      </c>
    </row>
    <row r="11519" spans="27:27">
      <c r="AA11519" t="s">
        <v>12295</v>
      </c>
    </row>
    <row r="11520" spans="27:27">
      <c r="AA11520" t="s">
        <v>12296</v>
      </c>
    </row>
    <row r="11521" spans="27:27">
      <c r="AA11521" t="s">
        <v>12297</v>
      </c>
    </row>
    <row r="11522" spans="27:27">
      <c r="AA11522" t="s">
        <v>2910</v>
      </c>
    </row>
    <row r="11523" spans="27:27">
      <c r="AA11523" t="s">
        <v>2911</v>
      </c>
    </row>
    <row r="11524" spans="27:27">
      <c r="AA11524" t="s">
        <v>2912</v>
      </c>
    </row>
    <row r="11525" spans="27:27">
      <c r="AA11525" t="s">
        <v>2913</v>
      </c>
    </row>
    <row r="11526" spans="27:27">
      <c r="AA11526" t="s">
        <v>2914</v>
      </c>
    </row>
    <row r="11527" spans="27:27">
      <c r="AA11527" t="s">
        <v>2915</v>
      </c>
    </row>
    <row r="11528" spans="27:27">
      <c r="AA11528" t="s">
        <v>2916</v>
      </c>
    </row>
    <row r="11529" spans="27:27">
      <c r="AA11529" t="s">
        <v>2917</v>
      </c>
    </row>
    <row r="11530" spans="27:27">
      <c r="AA11530" t="s">
        <v>2918</v>
      </c>
    </row>
    <row r="11531" spans="27:27">
      <c r="AA11531" t="s">
        <v>2919</v>
      </c>
    </row>
    <row r="11532" spans="27:27">
      <c r="AA11532" t="s">
        <v>2920</v>
      </c>
    </row>
    <row r="11533" spans="27:27">
      <c r="AA11533" t="s">
        <v>2921</v>
      </c>
    </row>
    <row r="11534" spans="27:27">
      <c r="AA11534" t="s">
        <v>2922</v>
      </c>
    </row>
    <row r="11535" spans="27:27">
      <c r="AA11535" t="s">
        <v>2923</v>
      </c>
    </row>
    <row r="11536" spans="27:27">
      <c r="AA11536" t="s">
        <v>2924</v>
      </c>
    </row>
    <row r="11537" spans="27:27">
      <c r="AA11537" t="s">
        <v>2925</v>
      </c>
    </row>
    <row r="11538" spans="27:27">
      <c r="AA11538" t="s">
        <v>2926</v>
      </c>
    </row>
    <row r="11539" spans="27:27">
      <c r="AA11539" t="s">
        <v>2927</v>
      </c>
    </row>
    <row r="11540" spans="27:27">
      <c r="AA11540" t="s">
        <v>2928</v>
      </c>
    </row>
    <row r="11541" spans="27:27">
      <c r="AA11541" t="s">
        <v>2929</v>
      </c>
    </row>
    <row r="11542" spans="27:27">
      <c r="AA11542" t="s">
        <v>2930</v>
      </c>
    </row>
    <row r="11543" spans="27:27">
      <c r="AA11543" t="s">
        <v>2931</v>
      </c>
    </row>
    <row r="11544" spans="27:27">
      <c r="AA11544" t="s">
        <v>2932</v>
      </c>
    </row>
    <row r="11545" spans="27:27">
      <c r="AA11545" t="s">
        <v>2933</v>
      </c>
    </row>
    <row r="11546" spans="27:27">
      <c r="AA11546" t="s">
        <v>2934</v>
      </c>
    </row>
    <row r="11547" spans="27:27">
      <c r="AA11547" t="s">
        <v>2935</v>
      </c>
    </row>
    <row r="11548" spans="27:27">
      <c r="AA11548" t="s">
        <v>2936</v>
      </c>
    </row>
    <row r="11549" spans="27:27">
      <c r="AA11549" t="s">
        <v>2937</v>
      </c>
    </row>
    <row r="11550" spans="27:27">
      <c r="AA11550" t="s">
        <v>2938</v>
      </c>
    </row>
    <row r="11551" spans="27:27">
      <c r="AA11551" t="s">
        <v>2939</v>
      </c>
    </row>
    <row r="11552" spans="27:27">
      <c r="AA11552" t="s">
        <v>2940</v>
      </c>
    </row>
    <row r="11553" spans="27:27">
      <c r="AA11553" t="s">
        <v>2941</v>
      </c>
    </row>
    <row r="11554" spans="27:27">
      <c r="AA11554" t="s">
        <v>2942</v>
      </c>
    </row>
    <row r="11555" spans="27:27">
      <c r="AA11555" t="s">
        <v>2943</v>
      </c>
    </row>
    <row r="11556" spans="27:27">
      <c r="AA11556" t="s">
        <v>2944</v>
      </c>
    </row>
    <row r="11557" spans="27:27">
      <c r="AA11557" t="s">
        <v>3933</v>
      </c>
    </row>
    <row r="11558" spans="27:27">
      <c r="AA11558" t="s">
        <v>12298</v>
      </c>
    </row>
    <row r="11559" spans="27:27">
      <c r="AA11559" t="s">
        <v>12299</v>
      </c>
    </row>
    <row r="11560" spans="27:27">
      <c r="AA11560" t="s">
        <v>12300</v>
      </c>
    </row>
    <row r="11561" spans="27:27">
      <c r="AA11561" t="s">
        <v>12301</v>
      </c>
    </row>
    <row r="11562" spans="27:27">
      <c r="AA11562" t="s">
        <v>3934</v>
      </c>
    </row>
    <row r="11563" spans="27:27">
      <c r="AA11563" t="s">
        <v>12302</v>
      </c>
    </row>
    <row r="11564" spans="27:27">
      <c r="AA11564" t="s">
        <v>3935</v>
      </c>
    </row>
    <row r="11565" spans="27:27">
      <c r="AA11565" t="s">
        <v>12303</v>
      </c>
    </row>
    <row r="11566" spans="27:27">
      <c r="AA11566" t="s">
        <v>3936</v>
      </c>
    </row>
    <row r="11567" spans="27:27">
      <c r="AA11567" t="s">
        <v>2945</v>
      </c>
    </row>
    <row r="11568" spans="27:27">
      <c r="AA11568" t="s">
        <v>2946</v>
      </c>
    </row>
    <row r="11569" spans="27:27">
      <c r="AA11569" t="s">
        <v>2947</v>
      </c>
    </row>
    <row r="11570" spans="27:27">
      <c r="AA11570" t="s">
        <v>12304</v>
      </c>
    </row>
    <row r="11571" spans="27:27">
      <c r="AA11571" t="s">
        <v>2948</v>
      </c>
    </row>
    <row r="11572" spans="27:27">
      <c r="AA11572" t="s">
        <v>2949</v>
      </c>
    </row>
    <row r="11573" spans="27:27">
      <c r="AA11573" t="s">
        <v>2950</v>
      </c>
    </row>
    <row r="11574" spans="27:27">
      <c r="AA11574" t="s">
        <v>2951</v>
      </c>
    </row>
    <row r="11575" spans="27:27">
      <c r="AA11575" t="s">
        <v>2952</v>
      </c>
    </row>
    <row r="11576" spans="27:27">
      <c r="AA11576" t="s">
        <v>2953</v>
      </c>
    </row>
    <row r="11577" spans="27:27">
      <c r="AA11577" t="s">
        <v>2954</v>
      </c>
    </row>
    <row r="11578" spans="27:27">
      <c r="AA11578" t="s">
        <v>2955</v>
      </c>
    </row>
    <row r="11579" spans="27:27">
      <c r="AA11579" t="s">
        <v>2956</v>
      </c>
    </row>
    <row r="11580" spans="27:27">
      <c r="AA11580" t="s">
        <v>2957</v>
      </c>
    </row>
    <row r="11581" spans="27:27">
      <c r="AA11581" t="s">
        <v>3937</v>
      </c>
    </row>
    <row r="11582" spans="27:27">
      <c r="AA11582" t="s">
        <v>2958</v>
      </c>
    </row>
    <row r="11583" spans="27:27">
      <c r="AA11583" t="s">
        <v>2959</v>
      </c>
    </row>
    <row r="11584" spans="27:27">
      <c r="AA11584" t="s">
        <v>12305</v>
      </c>
    </row>
    <row r="11585" spans="27:27">
      <c r="AA11585" t="s">
        <v>2960</v>
      </c>
    </row>
    <row r="11586" spans="27:27">
      <c r="AA11586" t="s">
        <v>12306</v>
      </c>
    </row>
    <row r="11587" spans="27:27">
      <c r="AA11587" t="s">
        <v>12307</v>
      </c>
    </row>
    <row r="11588" spans="27:27">
      <c r="AA11588" t="s">
        <v>12308</v>
      </c>
    </row>
    <row r="11589" spans="27:27">
      <c r="AA11589" t="s">
        <v>12309</v>
      </c>
    </row>
    <row r="11590" spans="27:27">
      <c r="AA11590" t="s">
        <v>3938</v>
      </c>
    </row>
    <row r="11591" spans="27:27">
      <c r="AA11591" t="s">
        <v>2961</v>
      </c>
    </row>
    <row r="11592" spans="27:27">
      <c r="AA11592" t="s">
        <v>3939</v>
      </c>
    </row>
    <row r="11593" spans="27:27">
      <c r="AA11593" t="s">
        <v>2962</v>
      </c>
    </row>
    <row r="11594" spans="27:27">
      <c r="AA11594" t="s">
        <v>2963</v>
      </c>
    </row>
    <row r="11595" spans="27:27">
      <c r="AA11595" t="s">
        <v>2964</v>
      </c>
    </row>
    <row r="11596" spans="27:27">
      <c r="AA11596" t="s">
        <v>12310</v>
      </c>
    </row>
    <row r="11597" spans="27:27">
      <c r="AA11597" t="s">
        <v>2965</v>
      </c>
    </row>
    <row r="11598" spans="27:27">
      <c r="AA11598" t="s">
        <v>3940</v>
      </c>
    </row>
    <row r="11599" spans="27:27">
      <c r="AA11599" t="s">
        <v>12311</v>
      </c>
    </row>
    <row r="11600" spans="27:27">
      <c r="AA11600" t="s">
        <v>2966</v>
      </c>
    </row>
    <row r="11601" spans="27:27">
      <c r="AA11601" t="s">
        <v>3941</v>
      </c>
    </row>
    <row r="11602" spans="27:27">
      <c r="AA11602" t="s">
        <v>12312</v>
      </c>
    </row>
    <row r="11603" spans="27:27">
      <c r="AA11603" t="s">
        <v>2967</v>
      </c>
    </row>
    <row r="11604" spans="27:27">
      <c r="AA11604" t="s">
        <v>3942</v>
      </c>
    </row>
    <row r="11605" spans="27:27">
      <c r="AA11605" t="s">
        <v>2968</v>
      </c>
    </row>
    <row r="11606" spans="27:27">
      <c r="AA11606" t="s">
        <v>3943</v>
      </c>
    </row>
    <row r="11607" spans="27:27">
      <c r="AA11607" t="s">
        <v>2969</v>
      </c>
    </row>
    <row r="11608" spans="27:27">
      <c r="AA11608" t="s">
        <v>2970</v>
      </c>
    </row>
    <row r="11609" spans="27:27">
      <c r="AA11609" t="s">
        <v>1159</v>
      </c>
    </row>
    <row r="11610" spans="27:27">
      <c r="AA11610" t="s">
        <v>1160</v>
      </c>
    </row>
    <row r="11611" spans="27:27">
      <c r="AA11611" t="s">
        <v>1161</v>
      </c>
    </row>
    <row r="11612" spans="27:27">
      <c r="AA11612" t="s">
        <v>1162</v>
      </c>
    </row>
    <row r="11613" spans="27:27">
      <c r="AA11613" t="s">
        <v>2971</v>
      </c>
    </row>
    <row r="11614" spans="27:27">
      <c r="AA11614" t="s">
        <v>3944</v>
      </c>
    </row>
    <row r="11615" spans="27:27">
      <c r="AA11615" t="s">
        <v>2972</v>
      </c>
    </row>
    <row r="11616" spans="27:27">
      <c r="AA11616" t="s">
        <v>3945</v>
      </c>
    </row>
    <row r="11617" spans="27:27">
      <c r="AA11617" t="s">
        <v>2973</v>
      </c>
    </row>
    <row r="11618" spans="27:27">
      <c r="AA11618" t="s">
        <v>3946</v>
      </c>
    </row>
    <row r="11619" spans="27:27">
      <c r="AA11619" t="s">
        <v>2974</v>
      </c>
    </row>
    <row r="11620" spans="27:27">
      <c r="AA11620" t="s">
        <v>12313</v>
      </c>
    </row>
    <row r="11621" spans="27:27">
      <c r="AA11621" t="s">
        <v>12314</v>
      </c>
    </row>
    <row r="11622" spans="27:27">
      <c r="AA11622" t="s">
        <v>12315</v>
      </c>
    </row>
    <row r="11623" spans="27:27">
      <c r="AA11623" t="s">
        <v>3947</v>
      </c>
    </row>
    <row r="11624" spans="27:27">
      <c r="AA11624" t="s">
        <v>2975</v>
      </c>
    </row>
    <row r="11625" spans="27:27">
      <c r="AA11625" t="s">
        <v>3948</v>
      </c>
    </row>
    <row r="11626" spans="27:27">
      <c r="AA11626" t="s">
        <v>2976</v>
      </c>
    </row>
    <row r="11627" spans="27:27">
      <c r="AA11627" t="s">
        <v>2977</v>
      </c>
    </row>
    <row r="11628" spans="27:27">
      <c r="AA11628" t="s">
        <v>2978</v>
      </c>
    </row>
    <row r="11629" spans="27:27">
      <c r="AA11629" t="s">
        <v>2979</v>
      </c>
    </row>
    <row r="11630" spans="27:27">
      <c r="AA11630" t="s">
        <v>2980</v>
      </c>
    </row>
    <row r="11631" spans="27:27">
      <c r="AA11631" t="s">
        <v>2981</v>
      </c>
    </row>
    <row r="11632" spans="27:27">
      <c r="AA11632" t="s">
        <v>12316</v>
      </c>
    </row>
    <row r="11633" spans="27:27">
      <c r="AA11633" t="s">
        <v>12317</v>
      </c>
    </row>
    <row r="11634" spans="27:27">
      <c r="AA11634" t="s">
        <v>12318</v>
      </c>
    </row>
    <row r="11635" spans="27:27">
      <c r="AA11635" t="s">
        <v>12319</v>
      </c>
    </row>
    <row r="11636" spans="27:27">
      <c r="AA11636" t="s">
        <v>2982</v>
      </c>
    </row>
    <row r="11637" spans="27:27">
      <c r="AA11637" t="s">
        <v>12320</v>
      </c>
    </row>
    <row r="11638" spans="27:27">
      <c r="AA11638" t="s">
        <v>12321</v>
      </c>
    </row>
    <row r="11639" spans="27:27">
      <c r="AA11639" t="s">
        <v>12322</v>
      </c>
    </row>
    <row r="11640" spans="27:27">
      <c r="AA11640" t="s">
        <v>3949</v>
      </c>
    </row>
    <row r="11641" spans="27:27">
      <c r="AA11641" t="s">
        <v>2983</v>
      </c>
    </row>
    <row r="11642" spans="27:27">
      <c r="AA11642" t="s">
        <v>3950</v>
      </c>
    </row>
    <row r="11643" spans="27:27">
      <c r="AA11643" t="s">
        <v>12323</v>
      </c>
    </row>
    <row r="11644" spans="27:27">
      <c r="AA11644" t="s">
        <v>12324</v>
      </c>
    </row>
    <row r="11645" spans="27:27">
      <c r="AA11645" t="s">
        <v>12325</v>
      </c>
    </row>
    <row r="11646" spans="27:27">
      <c r="AA11646" t="s">
        <v>3951</v>
      </c>
    </row>
    <row r="11647" spans="27:27">
      <c r="AA11647" t="s">
        <v>12326</v>
      </c>
    </row>
    <row r="11648" spans="27:27">
      <c r="AA11648" t="s">
        <v>12327</v>
      </c>
    </row>
    <row r="11649" spans="27:27">
      <c r="AA11649" t="s">
        <v>2984</v>
      </c>
    </row>
    <row r="11650" spans="27:27">
      <c r="AA11650" t="s">
        <v>12328</v>
      </c>
    </row>
    <row r="11651" spans="27:27">
      <c r="AA11651" t="s">
        <v>3952</v>
      </c>
    </row>
    <row r="11652" spans="27:27">
      <c r="AA11652" t="s">
        <v>12329</v>
      </c>
    </row>
    <row r="11653" spans="27:27">
      <c r="AA11653" t="s">
        <v>12330</v>
      </c>
    </row>
    <row r="11654" spans="27:27">
      <c r="AA11654" t="s">
        <v>2985</v>
      </c>
    </row>
    <row r="11655" spans="27:27">
      <c r="AA11655" t="s">
        <v>12331</v>
      </c>
    </row>
    <row r="11656" spans="27:27">
      <c r="AA11656" t="s">
        <v>3953</v>
      </c>
    </row>
    <row r="11657" spans="27:27">
      <c r="AA11657" t="s">
        <v>12332</v>
      </c>
    </row>
    <row r="11658" spans="27:27">
      <c r="AA11658" t="s">
        <v>12333</v>
      </c>
    </row>
    <row r="11659" spans="27:27">
      <c r="AA11659" t="s">
        <v>2986</v>
      </c>
    </row>
    <row r="11660" spans="27:27">
      <c r="AA11660" t="s">
        <v>12334</v>
      </c>
    </row>
    <row r="11661" spans="27:27">
      <c r="AA11661" t="s">
        <v>3954</v>
      </c>
    </row>
    <row r="11662" spans="27:27">
      <c r="AA11662" t="s">
        <v>12335</v>
      </c>
    </row>
    <row r="11663" spans="27:27">
      <c r="AA11663" t="s">
        <v>12336</v>
      </c>
    </row>
    <row r="11664" spans="27:27">
      <c r="AA11664" t="s">
        <v>2987</v>
      </c>
    </row>
    <row r="11665" spans="27:27">
      <c r="AA11665" t="s">
        <v>12337</v>
      </c>
    </row>
    <row r="11666" spans="27:27">
      <c r="AA11666" t="s">
        <v>3955</v>
      </c>
    </row>
    <row r="11667" spans="27:27">
      <c r="AA11667" t="s">
        <v>12338</v>
      </c>
    </row>
    <row r="11668" spans="27:27">
      <c r="AA11668" t="s">
        <v>12339</v>
      </c>
    </row>
    <row r="11669" spans="27:27">
      <c r="AA11669" t="s">
        <v>2988</v>
      </c>
    </row>
    <row r="11670" spans="27:27">
      <c r="AA11670" t="s">
        <v>12340</v>
      </c>
    </row>
    <row r="11671" spans="27:27">
      <c r="AA11671" t="s">
        <v>3956</v>
      </c>
    </row>
    <row r="11672" spans="27:27">
      <c r="AA11672" t="s">
        <v>12341</v>
      </c>
    </row>
    <row r="11673" spans="27:27">
      <c r="AA11673" t="s">
        <v>12342</v>
      </c>
    </row>
    <row r="11674" spans="27:27">
      <c r="AA11674" t="s">
        <v>12343</v>
      </c>
    </row>
    <row r="11675" spans="27:27">
      <c r="AA11675" t="s">
        <v>3957</v>
      </c>
    </row>
    <row r="11676" spans="27:27">
      <c r="AA11676" t="s">
        <v>12344</v>
      </c>
    </row>
    <row r="11677" spans="27:27">
      <c r="AA11677" t="s">
        <v>12345</v>
      </c>
    </row>
    <row r="11678" spans="27:27">
      <c r="AA11678" t="s">
        <v>2989</v>
      </c>
    </row>
    <row r="11679" spans="27:27">
      <c r="AA11679" t="s">
        <v>12346</v>
      </c>
    </row>
    <row r="11680" spans="27:27">
      <c r="AA11680" t="s">
        <v>12347</v>
      </c>
    </row>
    <row r="11681" spans="27:27">
      <c r="AA11681" t="s">
        <v>2990</v>
      </c>
    </row>
    <row r="11682" spans="27:27">
      <c r="AA11682" t="s">
        <v>12348</v>
      </c>
    </row>
    <row r="11683" spans="27:27">
      <c r="AA11683" t="s">
        <v>12349</v>
      </c>
    </row>
    <row r="11684" spans="27:27">
      <c r="AA11684" t="s">
        <v>12350</v>
      </c>
    </row>
    <row r="11685" spans="27:27">
      <c r="AA11685" t="s">
        <v>12351</v>
      </c>
    </row>
    <row r="11686" spans="27:27">
      <c r="AA11686" t="s">
        <v>12352</v>
      </c>
    </row>
    <row r="11687" spans="27:27">
      <c r="AA11687" t="s">
        <v>12353</v>
      </c>
    </row>
    <row r="11688" spans="27:27">
      <c r="AA11688" t="s">
        <v>3958</v>
      </c>
    </row>
    <row r="11689" spans="27:27">
      <c r="AA11689" t="s">
        <v>2991</v>
      </c>
    </row>
    <row r="11690" spans="27:27">
      <c r="AA11690" t="s">
        <v>3959</v>
      </c>
    </row>
    <row r="11691" spans="27:27">
      <c r="AA11691" t="s">
        <v>12354</v>
      </c>
    </row>
    <row r="11692" spans="27:27">
      <c r="AA11692" t="s">
        <v>12355</v>
      </c>
    </row>
    <row r="11693" spans="27:27">
      <c r="AA11693" t="s">
        <v>12356</v>
      </c>
    </row>
    <row r="11694" spans="27:27">
      <c r="AA11694" t="s">
        <v>2992</v>
      </c>
    </row>
    <row r="11695" spans="27:27">
      <c r="AA11695" t="s">
        <v>3960</v>
      </c>
    </row>
    <row r="11696" spans="27:27">
      <c r="AA11696" t="s">
        <v>12357</v>
      </c>
    </row>
    <row r="11697" spans="27:27">
      <c r="AA11697" t="s">
        <v>12358</v>
      </c>
    </row>
    <row r="11698" spans="27:27">
      <c r="AA11698" t="s">
        <v>2993</v>
      </c>
    </row>
    <row r="11699" spans="27:27">
      <c r="AA11699" t="s">
        <v>12359</v>
      </c>
    </row>
    <row r="11700" spans="27:27">
      <c r="AA11700" t="s">
        <v>3961</v>
      </c>
    </row>
    <row r="11701" spans="27:27">
      <c r="AA11701" t="s">
        <v>12360</v>
      </c>
    </row>
    <row r="11702" spans="27:27">
      <c r="AA11702" t="s">
        <v>12361</v>
      </c>
    </row>
    <row r="11703" spans="27:27">
      <c r="AA11703" t="s">
        <v>2994</v>
      </c>
    </row>
    <row r="11704" spans="27:27">
      <c r="AA11704" t="s">
        <v>12362</v>
      </c>
    </row>
    <row r="11705" spans="27:27">
      <c r="AA11705" t="s">
        <v>3962</v>
      </c>
    </row>
    <row r="11706" spans="27:27">
      <c r="AA11706" t="s">
        <v>12363</v>
      </c>
    </row>
    <row r="11707" spans="27:27">
      <c r="AA11707" t="s">
        <v>12364</v>
      </c>
    </row>
    <row r="11708" spans="27:27">
      <c r="AA11708" t="s">
        <v>2995</v>
      </c>
    </row>
    <row r="11709" spans="27:27">
      <c r="AA11709" t="s">
        <v>12365</v>
      </c>
    </row>
    <row r="11710" spans="27:27">
      <c r="AA11710" t="s">
        <v>3963</v>
      </c>
    </row>
    <row r="11711" spans="27:27">
      <c r="AA11711" t="s">
        <v>12366</v>
      </c>
    </row>
    <row r="11712" spans="27:27">
      <c r="AA11712" t="s">
        <v>12367</v>
      </c>
    </row>
    <row r="11713" spans="27:27">
      <c r="AA11713" t="s">
        <v>2996</v>
      </c>
    </row>
    <row r="11714" spans="27:27">
      <c r="AA11714" t="s">
        <v>2997</v>
      </c>
    </row>
    <row r="11715" spans="27:27">
      <c r="AA11715" t="s">
        <v>2998</v>
      </c>
    </row>
    <row r="11716" spans="27:27">
      <c r="AA11716" t="s">
        <v>3964</v>
      </c>
    </row>
    <row r="11717" spans="27:27">
      <c r="AA11717" t="s">
        <v>12368</v>
      </c>
    </row>
    <row r="11718" spans="27:27">
      <c r="AA11718" t="s">
        <v>3357</v>
      </c>
    </row>
    <row r="11719" spans="27:27">
      <c r="AA11719" t="s">
        <v>12369</v>
      </c>
    </row>
    <row r="11720" spans="27:27">
      <c r="AA11720" t="s">
        <v>2999</v>
      </c>
    </row>
    <row r="11721" spans="27:27">
      <c r="AA11721" t="s">
        <v>12370</v>
      </c>
    </row>
    <row r="11722" spans="27:27">
      <c r="AA11722" t="s">
        <v>12371</v>
      </c>
    </row>
    <row r="11723" spans="27:27">
      <c r="AA11723" t="s">
        <v>12372</v>
      </c>
    </row>
    <row r="11724" spans="27:27">
      <c r="AA11724" t="s">
        <v>12373</v>
      </c>
    </row>
    <row r="11725" spans="27:27">
      <c r="AA11725" t="s">
        <v>12374</v>
      </c>
    </row>
    <row r="11726" spans="27:27">
      <c r="AA11726" t="s">
        <v>3000</v>
      </c>
    </row>
    <row r="11727" spans="27:27">
      <c r="AA11727" t="s">
        <v>3001</v>
      </c>
    </row>
    <row r="11728" spans="27:27">
      <c r="AA11728" t="s">
        <v>3002</v>
      </c>
    </row>
    <row r="11729" spans="27:27">
      <c r="AA11729" t="s">
        <v>12375</v>
      </c>
    </row>
    <row r="11730" spans="27:27">
      <c r="AA11730" t="s">
        <v>12376</v>
      </c>
    </row>
    <row r="11731" spans="27:27">
      <c r="AA11731" t="s">
        <v>3003</v>
      </c>
    </row>
    <row r="11732" spans="27:27">
      <c r="AA11732" t="s">
        <v>12377</v>
      </c>
    </row>
    <row r="11733" spans="27:27">
      <c r="AA11733" t="s">
        <v>3004</v>
      </c>
    </row>
    <row r="11734" spans="27:27">
      <c r="AA11734" t="s">
        <v>3005</v>
      </c>
    </row>
    <row r="11735" spans="27:27">
      <c r="AA11735" t="s">
        <v>3006</v>
      </c>
    </row>
    <row r="11736" spans="27:27">
      <c r="AA11736" t="s">
        <v>1163</v>
      </c>
    </row>
    <row r="11737" spans="27:27">
      <c r="AA11737" t="s">
        <v>3007</v>
      </c>
    </row>
    <row r="11738" spans="27:27">
      <c r="AA11738" t="s">
        <v>3965</v>
      </c>
    </row>
    <row r="11739" spans="27:27">
      <c r="AA11739" t="s">
        <v>12378</v>
      </c>
    </row>
    <row r="11740" spans="27:27">
      <c r="AA11740" t="s">
        <v>12379</v>
      </c>
    </row>
    <row r="11741" spans="27:27">
      <c r="AA11741" t="s">
        <v>12380</v>
      </c>
    </row>
    <row r="11742" spans="27:27">
      <c r="AA11742" t="s">
        <v>3008</v>
      </c>
    </row>
    <row r="11743" spans="27:27">
      <c r="AA11743" t="s">
        <v>3966</v>
      </c>
    </row>
    <row r="11744" spans="27:27">
      <c r="AA11744" t="s">
        <v>12381</v>
      </c>
    </row>
    <row r="11745" spans="27:27">
      <c r="AA11745" t="s">
        <v>12382</v>
      </c>
    </row>
    <row r="11746" spans="27:27">
      <c r="AA11746" t="s">
        <v>12383</v>
      </c>
    </row>
    <row r="11747" spans="27:27">
      <c r="AA11747" t="s">
        <v>3009</v>
      </c>
    </row>
    <row r="11748" spans="27:27">
      <c r="AA11748" t="s">
        <v>12384</v>
      </c>
    </row>
    <row r="11749" spans="27:27">
      <c r="AA11749" t="s">
        <v>12385</v>
      </c>
    </row>
    <row r="11750" spans="27:27">
      <c r="AA11750" t="s">
        <v>12386</v>
      </c>
    </row>
    <row r="11751" spans="27:27">
      <c r="AA11751" t="s">
        <v>12387</v>
      </c>
    </row>
    <row r="11752" spans="27:27">
      <c r="AA11752" t="s">
        <v>3010</v>
      </c>
    </row>
    <row r="11753" spans="27:27">
      <c r="AA11753" t="s">
        <v>3967</v>
      </c>
    </row>
    <row r="11754" spans="27:27">
      <c r="AA11754" t="s">
        <v>12388</v>
      </c>
    </row>
    <row r="11755" spans="27:27">
      <c r="AA11755" t="s">
        <v>12389</v>
      </c>
    </row>
    <row r="11756" spans="27:27">
      <c r="AA11756" t="s">
        <v>12390</v>
      </c>
    </row>
    <row r="11757" spans="27:27">
      <c r="AA11757" t="s">
        <v>12391</v>
      </c>
    </row>
    <row r="11758" spans="27:27">
      <c r="AA11758" t="s">
        <v>3011</v>
      </c>
    </row>
    <row r="11759" spans="27:27">
      <c r="AA11759" t="s">
        <v>3968</v>
      </c>
    </row>
    <row r="11760" spans="27:27">
      <c r="AA11760" t="s">
        <v>12392</v>
      </c>
    </row>
    <row r="11761" spans="27:27">
      <c r="AA11761" t="s">
        <v>12393</v>
      </c>
    </row>
    <row r="11762" spans="27:27">
      <c r="AA11762" t="s">
        <v>12394</v>
      </c>
    </row>
    <row r="11763" spans="27:27">
      <c r="AA11763" t="s">
        <v>3012</v>
      </c>
    </row>
    <row r="11764" spans="27:27">
      <c r="AA11764" t="s">
        <v>12395</v>
      </c>
    </row>
    <row r="11765" spans="27:27">
      <c r="AA11765" t="s">
        <v>12396</v>
      </c>
    </row>
    <row r="11766" spans="27:27">
      <c r="AA11766" t="s">
        <v>12397</v>
      </c>
    </row>
    <row r="11767" spans="27:27">
      <c r="AA11767" t="s">
        <v>3013</v>
      </c>
    </row>
    <row r="11768" spans="27:27">
      <c r="AA11768" t="s">
        <v>3014</v>
      </c>
    </row>
    <row r="11769" spans="27:27">
      <c r="AA11769" t="s">
        <v>12398</v>
      </c>
    </row>
    <row r="11770" spans="27:27">
      <c r="AA11770" t="s">
        <v>12399</v>
      </c>
    </row>
    <row r="11771" spans="27:27">
      <c r="AA11771" t="s">
        <v>12400</v>
      </c>
    </row>
    <row r="11772" spans="27:27">
      <c r="AA11772" t="s">
        <v>12401</v>
      </c>
    </row>
    <row r="11773" spans="27:27">
      <c r="AA11773" t="s">
        <v>12402</v>
      </c>
    </row>
    <row r="11774" spans="27:27">
      <c r="AA11774" t="s">
        <v>12403</v>
      </c>
    </row>
    <row r="11775" spans="27:27">
      <c r="AA11775" t="s">
        <v>3015</v>
      </c>
    </row>
    <row r="11776" spans="27:27">
      <c r="AA11776" t="s">
        <v>12404</v>
      </c>
    </row>
    <row r="11777" spans="27:27">
      <c r="AA11777" t="s">
        <v>3016</v>
      </c>
    </row>
    <row r="11778" spans="27:27">
      <c r="AA11778" t="s">
        <v>3017</v>
      </c>
    </row>
    <row r="11779" spans="27:27">
      <c r="AA11779" t="s">
        <v>3018</v>
      </c>
    </row>
    <row r="11780" spans="27:27">
      <c r="AA11780" t="s">
        <v>12405</v>
      </c>
    </row>
    <row r="11781" spans="27:27">
      <c r="AA11781" t="s">
        <v>12406</v>
      </c>
    </row>
    <row r="11782" spans="27:27">
      <c r="AA11782" t="s">
        <v>12407</v>
      </c>
    </row>
    <row r="11783" spans="27:27">
      <c r="AA11783" t="s">
        <v>12408</v>
      </c>
    </row>
    <row r="11784" spans="27:27">
      <c r="AA11784" t="s">
        <v>12409</v>
      </c>
    </row>
    <row r="11785" spans="27:27">
      <c r="AA11785" t="s">
        <v>3019</v>
      </c>
    </row>
    <row r="11786" spans="27:27">
      <c r="AA11786" t="s">
        <v>3358</v>
      </c>
    </row>
    <row r="11787" spans="27:27">
      <c r="AA11787" t="s">
        <v>12410</v>
      </c>
    </row>
    <row r="11788" spans="27:27">
      <c r="AA11788" t="s">
        <v>12411</v>
      </c>
    </row>
    <row r="11789" spans="27:27">
      <c r="AA11789" t="s">
        <v>12412</v>
      </c>
    </row>
    <row r="11790" spans="27:27">
      <c r="AA11790" t="s">
        <v>12413</v>
      </c>
    </row>
    <row r="11791" spans="27:27">
      <c r="AA11791" t="s">
        <v>3020</v>
      </c>
    </row>
    <row r="11792" spans="27:27">
      <c r="AA11792" t="s">
        <v>3021</v>
      </c>
    </row>
    <row r="11793" spans="15:27">
      <c r="AA11793" t="s">
        <v>3969</v>
      </c>
    </row>
    <row r="11794" spans="15:27">
      <c r="AA11794" t="s">
        <v>3022</v>
      </c>
    </row>
    <row r="11795" spans="15:27">
      <c r="AA11795" t="s">
        <v>12414</v>
      </c>
    </row>
    <row r="11796" spans="15:27">
      <c r="AA11796" t="s">
        <v>12415</v>
      </c>
    </row>
    <row r="11797" spans="15:27">
      <c r="AA11797" t="s">
        <v>3023</v>
      </c>
    </row>
    <row r="11798" spans="15:27">
      <c r="AA11798" t="s">
        <v>12416</v>
      </c>
    </row>
    <row r="11799" spans="15:27">
      <c r="AA11799" t="s">
        <v>12417</v>
      </c>
    </row>
    <row r="11800" spans="15:27">
      <c r="AA11800" t="s">
        <v>12418</v>
      </c>
    </row>
    <row r="11801" spans="15:27">
      <c r="AA11801" t="s">
        <v>3024</v>
      </c>
    </row>
    <row r="11802" spans="15:27">
      <c r="AA11802" t="s">
        <v>12419</v>
      </c>
    </row>
    <row r="11803" spans="15:27">
      <c r="AA11803" t="s">
        <v>12420</v>
      </c>
    </row>
    <row r="11804" spans="15:27">
      <c r="AA11804" t="s">
        <v>12421</v>
      </c>
    </row>
    <row r="11805" spans="15:27">
      <c r="AA11805" t="s">
        <v>12422</v>
      </c>
    </row>
    <row r="11806" spans="15:27">
      <c r="O11806" t="s">
        <v>13923</v>
      </c>
      <c r="S11806" s="75">
        <f>B10</f>
        <v>180.10400000000001</v>
      </c>
      <c r="V11806" t="s">
        <v>13676</v>
      </c>
      <c r="Y11806" s="76"/>
      <c r="AA11806" t="str">
        <f>IF(G4="PELATORE",CONCATENATE(O11806,S11806),V11806)</f>
        <v>105280        LABEL USING "6D.3D";180.104</v>
      </c>
    </row>
    <row r="11807" spans="15:27">
      <c r="AA11807" t="s">
        <v>12424</v>
      </c>
    </row>
    <row r="11808" spans="15:27">
      <c r="O11808" t="s">
        <v>13925</v>
      </c>
      <c r="S11808" s="75">
        <f>B11</f>
        <v>173.3</v>
      </c>
      <c r="V11808" t="s">
        <v>13677</v>
      </c>
      <c r="AA11808" t="str">
        <f>IF(G4="PELATORE",CONCATENATE(O11808,S11808),V11808)</f>
        <v>105300        LABEL USING "6D.3D";173.3</v>
      </c>
    </row>
    <row r="11809" spans="15:27">
      <c r="AA11809" t="s">
        <v>12426</v>
      </c>
    </row>
    <row r="11810" spans="15:27">
      <c r="AA11810" t="s">
        <v>12427</v>
      </c>
    </row>
    <row r="11811" spans="15:27">
      <c r="O11811" t="s">
        <v>13926</v>
      </c>
      <c r="S11811" s="58">
        <f>B13</f>
        <v>0</v>
      </c>
      <c r="V11811" t="s">
        <v>13678</v>
      </c>
      <c r="AA11811" t="str">
        <f>IF(G4="PELATORE",CONCATENATE(O11811,S11811),V11811)</f>
        <v>105330                   LABEL USING "6D.2D";0</v>
      </c>
    </row>
    <row r="11812" spans="15:27">
      <c r="AA11812" t="s">
        <v>12429</v>
      </c>
    </row>
    <row r="11813" spans="15:27">
      <c r="AA11813" t="s">
        <v>12430</v>
      </c>
    </row>
    <row r="11814" spans="15:27">
      <c r="O11814" t="s">
        <v>13679</v>
      </c>
      <c r="V11814" t="s">
        <v>13679</v>
      </c>
      <c r="AA11814" t="str">
        <f>IF(G4="PELATORE","105360     !",V11814)</f>
        <v>105360     !</v>
      </c>
    </row>
    <row r="11815" spans="15:27">
      <c r="AA11815" t="s">
        <v>12432</v>
      </c>
    </row>
    <row r="11816" spans="15:27">
      <c r="AA11816" t="s">
        <v>3025</v>
      </c>
    </row>
    <row r="11817" spans="15:27">
      <c r="AA11817" t="s">
        <v>12433</v>
      </c>
    </row>
    <row r="11818" spans="15:27">
      <c r="AA11818" t="s">
        <v>12434</v>
      </c>
    </row>
    <row r="11819" spans="15:27">
      <c r="O11819" t="s">
        <v>13927</v>
      </c>
      <c r="S11819" s="75">
        <f>B12</f>
        <v>0</v>
      </c>
      <c r="V11819" t="s">
        <v>13680</v>
      </c>
      <c r="AA11819" t="str">
        <f>IF(G4="PELATORE",CONCATENATE(O11819,S11819),V11819)</f>
        <v>105410                   LABEL USING "6D.2D";0</v>
      </c>
    </row>
    <row r="11820" spans="15:27">
      <c r="AA11820" t="s">
        <v>12436</v>
      </c>
    </row>
    <row r="11821" spans="15:27">
      <c r="AA11821" t="s">
        <v>12437</v>
      </c>
    </row>
    <row r="11822" spans="15:27">
      <c r="AA11822" t="s">
        <v>12438</v>
      </c>
    </row>
    <row r="11823" spans="15:27">
      <c r="AA11823" t="s">
        <v>12439</v>
      </c>
    </row>
    <row r="11824" spans="15:27">
      <c r="AA11824" t="s">
        <v>12440</v>
      </c>
    </row>
    <row r="11825" spans="15:27">
      <c r="AA11825" t="s">
        <v>13681</v>
      </c>
    </row>
    <row r="11826" spans="15:27">
      <c r="AA11826" t="s">
        <v>12442</v>
      </c>
    </row>
    <row r="11827" spans="15:27">
      <c r="AA11827" t="s">
        <v>12443</v>
      </c>
    </row>
    <row r="11828" spans="15:27">
      <c r="AA11828" t="s">
        <v>12444</v>
      </c>
    </row>
    <row r="11829" spans="15:27">
      <c r="AA11829" t="s">
        <v>12445</v>
      </c>
    </row>
    <row r="11830" spans="15:27">
      <c r="AA11830" t="s">
        <v>12446</v>
      </c>
    </row>
    <row r="11831" spans="15:27">
      <c r="AA11831" t="s">
        <v>13682</v>
      </c>
    </row>
    <row r="11832" spans="15:27">
      <c r="AA11832" t="s">
        <v>12448</v>
      </c>
    </row>
    <row r="11833" spans="15:27">
      <c r="AA11833" t="s">
        <v>3026</v>
      </c>
    </row>
    <row r="11834" spans="15:27">
      <c r="AA11834" t="s">
        <v>3027</v>
      </c>
    </row>
    <row r="11835" spans="15:27">
      <c r="AA11835" t="s">
        <v>3028</v>
      </c>
    </row>
    <row r="11836" spans="15:27">
      <c r="AA11836" t="s">
        <v>3029</v>
      </c>
    </row>
    <row r="11837" spans="15:27">
      <c r="AA11837" t="s">
        <v>12449</v>
      </c>
    </row>
    <row r="11838" spans="15:27">
      <c r="AA11838" t="s">
        <v>12450</v>
      </c>
    </row>
    <row r="11839" spans="15:27">
      <c r="O11839" t="s">
        <v>13924</v>
      </c>
      <c r="S11839">
        <f>B4</f>
        <v>1.3050999999999999</v>
      </c>
      <c r="V11839" t="s">
        <v>12451</v>
      </c>
      <c r="AA11839" t="str">
        <f>IF(G4="PELATORE",CONCATENATE(O11839,S11839),V11839)</f>
        <v>105610        LABEL 1.3051</v>
      </c>
    </row>
    <row r="11840" spans="15:27">
      <c r="AA11840" t="s">
        <v>12452</v>
      </c>
    </row>
    <row r="11841" spans="11:27">
      <c r="AA11841" t="s">
        <v>12453</v>
      </c>
    </row>
    <row r="11842" spans="11:27">
      <c r="AA11842" t="s">
        <v>12454</v>
      </c>
    </row>
    <row r="11843" spans="11:27">
      <c r="O11843" t="s">
        <v>13928</v>
      </c>
      <c r="V11843" t="s">
        <v>12455</v>
      </c>
      <c r="AA11843" t="str">
        <f>IF(G4="PELATORE",O11843,V11843)</f>
        <v>105650            !</v>
      </c>
    </row>
    <row r="11844" spans="11:27">
      <c r="AA11844" t="s">
        <v>12456</v>
      </c>
    </row>
    <row r="11845" spans="11:27">
      <c r="AA11845" t="s">
        <v>12457</v>
      </c>
    </row>
    <row r="11846" spans="11:27">
      <c r="AA11846" t="s">
        <v>12458</v>
      </c>
    </row>
    <row r="11847" spans="11:27">
      <c r="AA11847" t="s">
        <v>12459</v>
      </c>
    </row>
    <row r="11848" spans="11:27">
      <c r="AA11848" t="s">
        <v>12460</v>
      </c>
    </row>
    <row r="11849" spans="11:27">
      <c r="AA11849" t="s">
        <v>12461</v>
      </c>
    </row>
    <row r="11850" spans="11:27">
      <c r="K11850">
        <f>TRUNC(Q11850)</f>
        <v>22</v>
      </c>
      <c r="L11850">
        <f>TRUNC((Q11850-K11850)*60)</f>
        <v>30</v>
      </c>
      <c r="M11850">
        <f>TRUNC(((Q11850-K11850)*60-L11850)*60)</f>
        <v>0</v>
      </c>
      <c r="N11850" t="s">
        <v>13559</v>
      </c>
      <c r="O11850" s="73" t="s">
        <v>13560</v>
      </c>
      <c r="P11850" s="73" t="s">
        <v>13930</v>
      </c>
      <c r="Q11850">
        <f>B7</f>
        <v>22.5</v>
      </c>
      <c r="R11850" t="s">
        <v>13503</v>
      </c>
      <c r="S11850" t="str">
        <f>CONCATENATE(V11850,K11850,N11850,L11850,O11850,M11850,P11850,R11850)</f>
        <v>105720        LABEL "22°30'0''"</v>
      </c>
      <c r="V11850" t="s">
        <v>13929</v>
      </c>
      <c r="W11850" t="s">
        <v>12462</v>
      </c>
      <c r="AA11850" s="76" t="str">
        <f>IF(G4="PELATORE",S11850,W11850)</f>
        <v>105720        LABEL "22°30'0''"</v>
      </c>
    </row>
    <row r="11851" spans="11:27">
      <c r="AA11851" t="s">
        <v>12463</v>
      </c>
    </row>
    <row r="11852" spans="11:27">
      <c r="AA11852" t="s">
        <v>12464</v>
      </c>
    </row>
    <row r="11853" spans="11:27">
      <c r="AA11853" t="s">
        <v>12465</v>
      </c>
    </row>
    <row r="11854" spans="11:27">
      <c r="AA11854" t="s">
        <v>12466</v>
      </c>
    </row>
    <row r="11855" spans="11:27">
      <c r="AA11855" t="s">
        <v>12467</v>
      </c>
    </row>
    <row r="11856" spans="11:27">
      <c r="AA11856" t="s">
        <v>12468</v>
      </c>
    </row>
    <row r="11857" spans="27:27">
      <c r="AA11857" t="s">
        <v>12469</v>
      </c>
    </row>
    <row r="11858" spans="27:27">
      <c r="AA11858" t="s">
        <v>12470</v>
      </c>
    </row>
    <row r="11859" spans="27:27">
      <c r="AA11859" t="s">
        <v>12471</v>
      </c>
    </row>
    <row r="11860" spans="27:27">
      <c r="AA11860" t="s">
        <v>12472</v>
      </c>
    </row>
    <row r="11861" spans="27:27">
      <c r="AA11861" t="s">
        <v>12473</v>
      </c>
    </row>
    <row r="11862" spans="27:27">
      <c r="AA11862" t="s">
        <v>12474</v>
      </c>
    </row>
    <row r="11863" spans="27:27">
      <c r="AA11863" t="s">
        <v>12475</v>
      </c>
    </row>
    <row r="11864" spans="27:27">
      <c r="AA11864" t="s">
        <v>12476</v>
      </c>
    </row>
    <row r="11865" spans="27:27">
      <c r="AA11865" t="s">
        <v>12477</v>
      </c>
    </row>
    <row r="11866" spans="27:27">
      <c r="AA11866" t="s">
        <v>12478</v>
      </c>
    </row>
    <row r="11867" spans="27:27">
      <c r="AA11867" t="s">
        <v>12479</v>
      </c>
    </row>
    <row r="11868" spans="27:27">
      <c r="AA11868" t="s">
        <v>12480</v>
      </c>
    </row>
    <row r="11869" spans="27:27">
      <c r="AA11869" t="s">
        <v>12481</v>
      </c>
    </row>
    <row r="11870" spans="27:27">
      <c r="AA11870" t="s">
        <v>12482</v>
      </c>
    </row>
    <row r="11871" spans="27:27">
      <c r="AA11871" t="s">
        <v>12483</v>
      </c>
    </row>
    <row r="11872" spans="27:27">
      <c r="AA11872" t="s">
        <v>3030</v>
      </c>
    </row>
    <row r="11873" spans="27:27">
      <c r="AA11873" t="s">
        <v>12484</v>
      </c>
    </row>
    <row r="11874" spans="27:27">
      <c r="AA11874" t="s">
        <v>12485</v>
      </c>
    </row>
    <row r="11875" spans="27:27">
      <c r="AA11875" t="s">
        <v>12486</v>
      </c>
    </row>
    <row r="11876" spans="27:27">
      <c r="AA11876" t="s">
        <v>12487</v>
      </c>
    </row>
    <row r="11877" spans="27:27">
      <c r="AA11877" t="s">
        <v>12488</v>
      </c>
    </row>
    <row r="11878" spans="27:27">
      <c r="AA11878" t="s">
        <v>12489</v>
      </c>
    </row>
    <row r="11879" spans="27:27">
      <c r="AA11879" t="s">
        <v>3031</v>
      </c>
    </row>
    <row r="11880" spans="27:27">
      <c r="AA11880" t="s">
        <v>12490</v>
      </c>
    </row>
    <row r="11881" spans="27:27">
      <c r="AA11881" t="s">
        <v>3032</v>
      </c>
    </row>
    <row r="11882" spans="27:27">
      <c r="AA11882" t="s">
        <v>12491</v>
      </c>
    </row>
    <row r="11883" spans="27:27">
      <c r="AA11883" t="s">
        <v>12492</v>
      </c>
    </row>
    <row r="11884" spans="27:27">
      <c r="AA11884" t="s">
        <v>12493</v>
      </c>
    </row>
    <row r="11885" spans="27:27">
      <c r="AA11885" t="s">
        <v>12494</v>
      </c>
    </row>
    <row r="11886" spans="27:27">
      <c r="AA11886" t="s">
        <v>12495</v>
      </c>
    </row>
    <row r="11887" spans="27:27">
      <c r="AA11887" t="s">
        <v>3033</v>
      </c>
    </row>
    <row r="11888" spans="27:27">
      <c r="AA11888" t="s">
        <v>12496</v>
      </c>
    </row>
    <row r="11889" spans="27:27">
      <c r="AA11889" t="s">
        <v>3034</v>
      </c>
    </row>
    <row r="11890" spans="27:27">
      <c r="AA11890" t="s">
        <v>12497</v>
      </c>
    </row>
    <row r="11891" spans="27:27">
      <c r="AA11891" t="s">
        <v>12498</v>
      </c>
    </row>
    <row r="11892" spans="27:27">
      <c r="AA11892" t="s">
        <v>12499</v>
      </c>
    </row>
    <row r="11893" spans="27:27">
      <c r="AA11893" t="s">
        <v>12500</v>
      </c>
    </row>
    <row r="11894" spans="27:27">
      <c r="AA11894" t="s">
        <v>3035</v>
      </c>
    </row>
    <row r="11895" spans="27:27">
      <c r="AA11895" t="s">
        <v>3036</v>
      </c>
    </row>
    <row r="11896" spans="27:27">
      <c r="AA11896" t="s">
        <v>12501</v>
      </c>
    </row>
    <row r="11897" spans="27:27">
      <c r="AA11897" t="s">
        <v>3037</v>
      </c>
    </row>
    <row r="11898" spans="27:27">
      <c r="AA11898" t="s">
        <v>12502</v>
      </c>
    </row>
    <row r="11899" spans="27:27">
      <c r="AA11899" t="s">
        <v>3038</v>
      </c>
    </row>
    <row r="11900" spans="27:27">
      <c r="AA11900" t="s">
        <v>3039</v>
      </c>
    </row>
    <row r="11901" spans="27:27">
      <c r="AA11901" t="s">
        <v>12503</v>
      </c>
    </row>
    <row r="11902" spans="27:27">
      <c r="AA11902" t="s">
        <v>12504</v>
      </c>
    </row>
    <row r="11903" spans="27:27">
      <c r="AA11903" t="s">
        <v>12505</v>
      </c>
    </row>
    <row r="11904" spans="27:27">
      <c r="AA11904" t="s">
        <v>12506</v>
      </c>
    </row>
    <row r="11905" spans="27:27">
      <c r="AA11905" t="s">
        <v>12507</v>
      </c>
    </row>
    <row r="11906" spans="27:27">
      <c r="AA11906" t="s">
        <v>3040</v>
      </c>
    </row>
    <row r="11907" spans="27:27">
      <c r="AA11907" t="s">
        <v>12508</v>
      </c>
    </row>
    <row r="11908" spans="27:27">
      <c r="AA11908" t="s">
        <v>12509</v>
      </c>
    </row>
    <row r="11909" spans="27:27">
      <c r="AA11909" t="s">
        <v>12510</v>
      </c>
    </row>
    <row r="11910" spans="27:27">
      <c r="AA11910" t="s">
        <v>12511</v>
      </c>
    </row>
    <row r="11911" spans="27:27">
      <c r="AA11911" t="s">
        <v>12512</v>
      </c>
    </row>
    <row r="11912" spans="27:27">
      <c r="AA11912" t="s">
        <v>12513</v>
      </c>
    </row>
    <row r="11913" spans="27:27">
      <c r="AA11913" t="s">
        <v>3041</v>
      </c>
    </row>
    <row r="11914" spans="27:27">
      <c r="AA11914" t="s">
        <v>12514</v>
      </c>
    </row>
    <row r="11915" spans="27:27">
      <c r="AA11915" t="s">
        <v>3042</v>
      </c>
    </row>
    <row r="11916" spans="27:27">
      <c r="AA11916" t="s">
        <v>12515</v>
      </c>
    </row>
    <row r="11917" spans="27:27">
      <c r="AA11917" t="s">
        <v>12516</v>
      </c>
    </row>
    <row r="11918" spans="27:27">
      <c r="AA11918" t="s">
        <v>12517</v>
      </c>
    </row>
    <row r="11919" spans="27:27">
      <c r="AA11919" t="s">
        <v>12518</v>
      </c>
    </row>
    <row r="11920" spans="27:27">
      <c r="AA11920" t="s">
        <v>12519</v>
      </c>
    </row>
    <row r="11921" spans="27:27">
      <c r="AA11921" t="s">
        <v>12520</v>
      </c>
    </row>
    <row r="11922" spans="27:27">
      <c r="AA11922" t="s">
        <v>12521</v>
      </c>
    </row>
    <row r="11923" spans="27:27">
      <c r="AA11923" t="s">
        <v>12522</v>
      </c>
    </row>
    <row r="11924" spans="27:27">
      <c r="AA11924" t="s">
        <v>12523</v>
      </c>
    </row>
    <row r="11925" spans="27:27">
      <c r="AA11925" t="s">
        <v>12524</v>
      </c>
    </row>
    <row r="11926" spans="27:27">
      <c r="AA11926" t="s">
        <v>3043</v>
      </c>
    </row>
    <row r="11927" spans="27:27">
      <c r="AA11927" t="s">
        <v>12525</v>
      </c>
    </row>
    <row r="11928" spans="27:27">
      <c r="AA11928" t="s">
        <v>12526</v>
      </c>
    </row>
    <row r="11929" spans="27:27">
      <c r="AA11929" t="s">
        <v>12527</v>
      </c>
    </row>
    <row r="11930" spans="27:27">
      <c r="AA11930" t="s">
        <v>12528</v>
      </c>
    </row>
    <row r="11931" spans="27:27">
      <c r="AA11931" t="s">
        <v>3044</v>
      </c>
    </row>
    <row r="11932" spans="27:27">
      <c r="AA11932" t="s">
        <v>3045</v>
      </c>
    </row>
    <row r="11933" spans="27:27">
      <c r="AA11933" t="s">
        <v>3046</v>
      </c>
    </row>
    <row r="11934" spans="27:27">
      <c r="AA11934" t="s">
        <v>12529</v>
      </c>
    </row>
    <row r="11935" spans="27:27">
      <c r="AA11935" t="s">
        <v>12530</v>
      </c>
    </row>
    <row r="11936" spans="27:27">
      <c r="AA11936" t="s">
        <v>12531</v>
      </c>
    </row>
    <row r="11937" spans="27:27">
      <c r="AA11937" t="s">
        <v>12532</v>
      </c>
    </row>
    <row r="11938" spans="27:27">
      <c r="AA11938" t="s">
        <v>12533</v>
      </c>
    </row>
    <row r="11939" spans="27:27">
      <c r="AA11939" t="s">
        <v>12534</v>
      </c>
    </row>
    <row r="11940" spans="27:27">
      <c r="AA11940" t="s">
        <v>12535</v>
      </c>
    </row>
    <row r="11941" spans="27:27">
      <c r="AA11941" t="s">
        <v>3047</v>
      </c>
    </row>
    <row r="11942" spans="27:27">
      <c r="AA11942" t="s">
        <v>12536</v>
      </c>
    </row>
    <row r="11943" spans="27:27">
      <c r="AA11943" t="s">
        <v>3048</v>
      </c>
    </row>
    <row r="11944" spans="27:27">
      <c r="AA11944" t="s">
        <v>12537</v>
      </c>
    </row>
    <row r="11945" spans="27:27">
      <c r="AA11945" t="s">
        <v>12538</v>
      </c>
    </row>
    <row r="11946" spans="27:27">
      <c r="AA11946" t="s">
        <v>3049</v>
      </c>
    </row>
    <row r="11947" spans="27:27">
      <c r="AA11947" t="s">
        <v>12539</v>
      </c>
    </row>
    <row r="11948" spans="27:27">
      <c r="AA11948" t="s">
        <v>12540</v>
      </c>
    </row>
    <row r="11949" spans="27:27">
      <c r="AA11949" t="s">
        <v>3050</v>
      </c>
    </row>
    <row r="11950" spans="27:27">
      <c r="AA11950" t="s">
        <v>3051</v>
      </c>
    </row>
    <row r="11951" spans="27:27">
      <c r="AA11951" t="s">
        <v>3052</v>
      </c>
    </row>
    <row r="11952" spans="27:27">
      <c r="AA11952" t="s">
        <v>3053</v>
      </c>
    </row>
    <row r="11953" spans="27:27">
      <c r="AA11953" t="s">
        <v>3054</v>
      </c>
    </row>
    <row r="11954" spans="27:27">
      <c r="AA11954" t="s">
        <v>3359</v>
      </c>
    </row>
    <row r="11955" spans="27:27">
      <c r="AA11955" t="s">
        <v>12541</v>
      </c>
    </row>
    <row r="11956" spans="27:27">
      <c r="AA11956" t="s">
        <v>3055</v>
      </c>
    </row>
    <row r="11957" spans="27:27">
      <c r="AA11957" t="s">
        <v>3056</v>
      </c>
    </row>
    <row r="11958" spans="27:27">
      <c r="AA11958" t="s">
        <v>3057</v>
      </c>
    </row>
    <row r="11959" spans="27:27">
      <c r="AA11959" t="s">
        <v>12542</v>
      </c>
    </row>
    <row r="11960" spans="27:27">
      <c r="AA11960" t="s">
        <v>12543</v>
      </c>
    </row>
    <row r="11961" spans="27:27">
      <c r="AA11961" t="s">
        <v>3058</v>
      </c>
    </row>
    <row r="11962" spans="27:27">
      <c r="AA11962" t="s">
        <v>12544</v>
      </c>
    </row>
    <row r="11963" spans="27:27">
      <c r="AA11963" t="s">
        <v>12545</v>
      </c>
    </row>
    <row r="11964" spans="27:27">
      <c r="AA11964" t="s">
        <v>3059</v>
      </c>
    </row>
    <row r="11965" spans="27:27">
      <c r="AA11965" t="s">
        <v>12546</v>
      </c>
    </row>
    <row r="11966" spans="27:27">
      <c r="AA11966" t="s">
        <v>12547</v>
      </c>
    </row>
    <row r="11967" spans="27:27">
      <c r="AA11967" t="s">
        <v>3060</v>
      </c>
    </row>
    <row r="11968" spans="27:27">
      <c r="AA11968" t="s">
        <v>12548</v>
      </c>
    </row>
    <row r="11969" spans="27:27">
      <c r="AA11969" t="s">
        <v>12549</v>
      </c>
    </row>
    <row r="11970" spans="27:27">
      <c r="AA11970" t="s">
        <v>12550</v>
      </c>
    </row>
    <row r="11971" spans="27:27">
      <c r="AA11971" t="s">
        <v>12551</v>
      </c>
    </row>
    <row r="11972" spans="27:27">
      <c r="AA11972" t="s">
        <v>12552</v>
      </c>
    </row>
    <row r="11973" spans="27:27">
      <c r="AA11973" t="s">
        <v>12553</v>
      </c>
    </row>
    <row r="11974" spans="27:27">
      <c r="AA11974" t="s">
        <v>12554</v>
      </c>
    </row>
    <row r="11975" spans="27:27">
      <c r="AA11975" t="s">
        <v>3061</v>
      </c>
    </row>
    <row r="11976" spans="27:27">
      <c r="AA11976" t="s">
        <v>12555</v>
      </c>
    </row>
    <row r="11977" spans="27:27">
      <c r="AA11977" t="s">
        <v>12556</v>
      </c>
    </row>
    <row r="11978" spans="27:27">
      <c r="AA11978" t="s">
        <v>3062</v>
      </c>
    </row>
    <row r="11979" spans="27:27">
      <c r="AA11979" t="s">
        <v>12557</v>
      </c>
    </row>
    <row r="11980" spans="27:27">
      <c r="AA11980" t="s">
        <v>12558</v>
      </c>
    </row>
    <row r="11981" spans="27:27">
      <c r="AA11981" t="s">
        <v>12559</v>
      </c>
    </row>
    <row r="11982" spans="27:27">
      <c r="AA11982" t="s">
        <v>12560</v>
      </c>
    </row>
    <row r="11983" spans="27:27">
      <c r="AA11983" t="s">
        <v>3063</v>
      </c>
    </row>
    <row r="11984" spans="27:27">
      <c r="AA11984" t="s">
        <v>12561</v>
      </c>
    </row>
    <row r="11985" spans="27:27">
      <c r="AA11985" t="s">
        <v>12562</v>
      </c>
    </row>
    <row r="11986" spans="27:27">
      <c r="AA11986" t="s">
        <v>3064</v>
      </c>
    </row>
    <row r="11987" spans="27:27">
      <c r="AA11987" t="s">
        <v>12563</v>
      </c>
    </row>
    <row r="11988" spans="27:27">
      <c r="AA11988" t="s">
        <v>12564</v>
      </c>
    </row>
    <row r="11989" spans="27:27">
      <c r="AA11989" t="s">
        <v>3065</v>
      </c>
    </row>
    <row r="11990" spans="27:27">
      <c r="AA11990" t="s">
        <v>12565</v>
      </c>
    </row>
    <row r="11991" spans="27:27">
      <c r="AA11991" t="s">
        <v>12566</v>
      </c>
    </row>
    <row r="11992" spans="27:27">
      <c r="AA11992" t="s">
        <v>3066</v>
      </c>
    </row>
    <row r="11993" spans="27:27">
      <c r="AA11993" t="s">
        <v>3067</v>
      </c>
    </row>
    <row r="11994" spans="27:27">
      <c r="AA11994" t="s">
        <v>3068</v>
      </c>
    </row>
    <row r="11995" spans="27:27">
      <c r="AA11995" t="s">
        <v>12567</v>
      </c>
    </row>
    <row r="11996" spans="27:27">
      <c r="AA11996" t="s">
        <v>12568</v>
      </c>
    </row>
    <row r="11997" spans="27:27">
      <c r="AA11997" t="s">
        <v>3069</v>
      </c>
    </row>
    <row r="11998" spans="27:27">
      <c r="AA11998" t="s">
        <v>12569</v>
      </c>
    </row>
    <row r="11999" spans="27:27">
      <c r="AA11999" t="s">
        <v>12570</v>
      </c>
    </row>
    <row r="12000" spans="27:27">
      <c r="AA12000" t="s">
        <v>3070</v>
      </c>
    </row>
    <row r="12001" spans="27:27">
      <c r="AA12001" t="s">
        <v>12571</v>
      </c>
    </row>
    <row r="12002" spans="27:27">
      <c r="AA12002" t="s">
        <v>12572</v>
      </c>
    </row>
    <row r="12003" spans="27:27">
      <c r="AA12003" t="s">
        <v>3071</v>
      </c>
    </row>
    <row r="12004" spans="27:27">
      <c r="AA12004" t="s">
        <v>12573</v>
      </c>
    </row>
    <row r="12005" spans="27:27">
      <c r="AA12005" t="s">
        <v>12574</v>
      </c>
    </row>
    <row r="12006" spans="27:27">
      <c r="AA12006" t="s">
        <v>3072</v>
      </c>
    </row>
    <row r="12007" spans="27:27">
      <c r="AA12007" t="s">
        <v>3073</v>
      </c>
    </row>
    <row r="12008" spans="27:27">
      <c r="AA12008" t="s">
        <v>12575</v>
      </c>
    </row>
    <row r="12009" spans="27:27">
      <c r="AA12009" t="s">
        <v>1164</v>
      </c>
    </row>
    <row r="12010" spans="27:27">
      <c r="AA12010" t="s">
        <v>12576</v>
      </c>
    </row>
    <row r="12011" spans="27:27">
      <c r="AA12011" t="s">
        <v>12577</v>
      </c>
    </row>
    <row r="12012" spans="27:27">
      <c r="AA12012" t="s">
        <v>1165</v>
      </c>
    </row>
    <row r="12013" spans="27:27">
      <c r="AA12013" t="s">
        <v>12578</v>
      </c>
    </row>
    <row r="12014" spans="27:27">
      <c r="AA12014" t="s">
        <v>12579</v>
      </c>
    </row>
    <row r="12015" spans="27:27">
      <c r="AA12015" t="s">
        <v>12580</v>
      </c>
    </row>
    <row r="12016" spans="27:27">
      <c r="AA12016" t="s">
        <v>12581</v>
      </c>
    </row>
    <row r="12017" spans="27:27">
      <c r="AA12017" t="s">
        <v>12582</v>
      </c>
    </row>
    <row r="12018" spans="27:27">
      <c r="AA12018" t="s">
        <v>12583</v>
      </c>
    </row>
    <row r="12019" spans="27:27">
      <c r="AA12019" t="s">
        <v>12584</v>
      </c>
    </row>
    <row r="12020" spans="27:27">
      <c r="AA12020" t="s">
        <v>12585</v>
      </c>
    </row>
    <row r="12021" spans="27:27">
      <c r="AA12021" t="s">
        <v>12586</v>
      </c>
    </row>
    <row r="12022" spans="27:27">
      <c r="AA12022" t="s">
        <v>1166</v>
      </c>
    </row>
    <row r="12023" spans="27:27">
      <c r="AA12023" t="s">
        <v>1167</v>
      </c>
    </row>
    <row r="12024" spans="27:27">
      <c r="AA12024" t="s">
        <v>12587</v>
      </c>
    </row>
    <row r="12025" spans="27:27">
      <c r="AA12025" t="s">
        <v>12588</v>
      </c>
    </row>
    <row r="12026" spans="27:27">
      <c r="AA12026" t="s">
        <v>3074</v>
      </c>
    </row>
    <row r="12027" spans="27:27">
      <c r="AA12027" t="s">
        <v>12589</v>
      </c>
    </row>
    <row r="12028" spans="27:27">
      <c r="AA12028" t="s">
        <v>12590</v>
      </c>
    </row>
    <row r="12029" spans="27:27">
      <c r="AA12029" t="s">
        <v>12591</v>
      </c>
    </row>
    <row r="12030" spans="27:27">
      <c r="AA12030" t="s">
        <v>12592</v>
      </c>
    </row>
    <row r="12031" spans="27:27">
      <c r="AA12031" t="s">
        <v>12593</v>
      </c>
    </row>
    <row r="12032" spans="27:27">
      <c r="AA12032" t="s">
        <v>12594</v>
      </c>
    </row>
    <row r="12033" spans="27:27">
      <c r="AA12033" t="s">
        <v>12595</v>
      </c>
    </row>
    <row r="12034" spans="27:27">
      <c r="AA12034" t="s">
        <v>12596</v>
      </c>
    </row>
    <row r="12035" spans="27:27">
      <c r="AA12035" t="s">
        <v>12597</v>
      </c>
    </row>
    <row r="12036" spans="27:27">
      <c r="AA12036" t="s">
        <v>3075</v>
      </c>
    </row>
    <row r="12037" spans="27:27">
      <c r="AA12037" t="s">
        <v>3076</v>
      </c>
    </row>
    <row r="12038" spans="27:27">
      <c r="AA12038" t="s">
        <v>12598</v>
      </c>
    </row>
    <row r="12039" spans="27:27">
      <c r="AA12039" t="s">
        <v>3077</v>
      </c>
    </row>
    <row r="12040" spans="27:27">
      <c r="AA12040" t="s">
        <v>12599</v>
      </c>
    </row>
    <row r="12041" spans="27:27">
      <c r="AA12041" t="s">
        <v>3078</v>
      </c>
    </row>
    <row r="12042" spans="27:27">
      <c r="AA12042" t="s">
        <v>12600</v>
      </c>
    </row>
    <row r="12043" spans="27:27">
      <c r="AA12043" t="s">
        <v>12601</v>
      </c>
    </row>
    <row r="12044" spans="27:27">
      <c r="AA12044" t="s">
        <v>12602</v>
      </c>
    </row>
    <row r="12045" spans="27:27">
      <c r="AA12045" t="s">
        <v>12603</v>
      </c>
    </row>
    <row r="12046" spans="27:27">
      <c r="AA12046" t="s">
        <v>12604</v>
      </c>
    </row>
    <row r="12047" spans="27:27">
      <c r="AA12047" t="s">
        <v>12605</v>
      </c>
    </row>
    <row r="12048" spans="27:27">
      <c r="AA12048" t="s">
        <v>12606</v>
      </c>
    </row>
    <row r="12049" spans="27:27">
      <c r="AA12049" t="s">
        <v>12607</v>
      </c>
    </row>
    <row r="12050" spans="27:27">
      <c r="AA12050" t="s">
        <v>12608</v>
      </c>
    </row>
    <row r="12051" spans="27:27">
      <c r="AA12051" t="s">
        <v>3079</v>
      </c>
    </row>
    <row r="12052" spans="27:27">
      <c r="AA12052" t="s">
        <v>12609</v>
      </c>
    </row>
    <row r="12053" spans="27:27">
      <c r="AA12053" t="s">
        <v>3080</v>
      </c>
    </row>
    <row r="12054" spans="27:27">
      <c r="AA12054" t="s">
        <v>12610</v>
      </c>
    </row>
    <row r="12055" spans="27:27">
      <c r="AA12055" t="s">
        <v>3081</v>
      </c>
    </row>
    <row r="12056" spans="27:27">
      <c r="AA12056" t="s">
        <v>12611</v>
      </c>
    </row>
    <row r="12057" spans="27:27">
      <c r="AA12057" t="s">
        <v>12612</v>
      </c>
    </row>
    <row r="12058" spans="27:27">
      <c r="AA12058" t="s">
        <v>12613</v>
      </c>
    </row>
    <row r="12059" spans="27:27">
      <c r="AA12059" t="s">
        <v>12614</v>
      </c>
    </row>
    <row r="12060" spans="27:27">
      <c r="AA12060" t="s">
        <v>12615</v>
      </c>
    </row>
    <row r="12061" spans="27:27">
      <c r="AA12061" t="s">
        <v>12616</v>
      </c>
    </row>
    <row r="12062" spans="27:27">
      <c r="AA12062" t="s">
        <v>12617</v>
      </c>
    </row>
    <row r="12063" spans="27:27">
      <c r="AA12063" t="s">
        <v>12618</v>
      </c>
    </row>
    <row r="12064" spans="27:27">
      <c r="AA12064" t="s">
        <v>3082</v>
      </c>
    </row>
    <row r="12065" spans="27:27">
      <c r="AA12065" t="s">
        <v>12619</v>
      </c>
    </row>
    <row r="12066" spans="27:27">
      <c r="AA12066" t="s">
        <v>12620</v>
      </c>
    </row>
    <row r="12067" spans="27:27">
      <c r="AA12067" t="s">
        <v>12621</v>
      </c>
    </row>
    <row r="12068" spans="27:27">
      <c r="AA12068" t="s">
        <v>12622</v>
      </c>
    </row>
    <row r="12069" spans="27:27">
      <c r="AA12069" t="s">
        <v>3083</v>
      </c>
    </row>
    <row r="12070" spans="27:27">
      <c r="AA12070" t="s">
        <v>12623</v>
      </c>
    </row>
    <row r="12071" spans="27:27">
      <c r="AA12071" t="s">
        <v>12624</v>
      </c>
    </row>
    <row r="12072" spans="27:27">
      <c r="AA12072" t="s">
        <v>3084</v>
      </c>
    </row>
    <row r="12073" spans="27:27">
      <c r="AA12073" t="s">
        <v>3085</v>
      </c>
    </row>
    <row r="12074" spans="27:27">
      <c r="AA12074" t="s">
        <v>12625</v>
      </c>
    </row>
    <row r="12075" spans="27:27">
      <c r="AA12075" t="s">
        <v>12626</v>
      </c>
    </row>
    <row r="12076" spans="27:27">
      <c r="AA12076" t="s">
        <v>3086</v>
      </c>
    </row>
    <row r="12077" spans="27:27">
      <c r="AA12077" t="s">
        <v>12627</v>
      </c>
    </row>
    <row r="12078" spans="27:27">
      <c r="AA12078" t="s">
        <v>12628</v>
      </c>
    </row>
    <row r="12079" spans="27:27">
      <c r="AA12079" t="s">
        <v>12629</v>
      </c>
    </row>
    <row r="12080" spans="27:27">
      <c r="AA12080" t="s">
        <v>12630</v>
      </c>
    </row>
    <row r="12081" spans="27:27">
      <c r="AA12081" t="s">
        <v>12631</v>
      </c>
    </row>
    <row r="12082" spans="27:27">
      <c r="AA12082" t="s">
        <v>12632</v>
      </c>
    </row>
    <row r="12083" spans="27:27">
      <c r="AA12083" t="s">
        <v>12633</v>
      </c>
    </row>
    <row r="12084" spans="27:27">
      <c r="AA12084" t="s">
        <v>12634</v>
      </c>
    </row>
    <row r="12085" spans="27:27">
      <c r="AA12085" t="s">
        <v>12635</v>
      </c>
    </row>
    <row r="12086" spans="27:27">
      <c r="AA12086" t="s">
        <v>12636</v>
      </c>
    </row>
    <row r="12087" spans="27:27">
      <c r="AA12087" t="s">
        <v>12637</v>
      </c>
    </row>
    <row r="12088" spans="27:27">
      <c r="AA12088" t="s">
        <v>12638</v>
      </c>
    </row>
    <row r="12089" spans="27:27">
      <c r="AA12089" t="s">
        <v>12639</v>
      </c>
    </row>
    <row r="12090" spans="27:27">
      <c r="AA12090" t="s">
        <v>12640</v>
      </c>
    </row>
    <row r="12091" spans="27:27">
      <c r="AA12091" t="s">
        <v>3087</v>
      </c>
    </row>
    <row r="12092" spans="27:27">
      <c r="AA12092" t="s">
        <v>12641</v>
      </c>
    </row>
    <row r="12093" spans="27:27">
      <c r="AA12093" t="s">
        <v>12642</v>
      </c>
    </row>
    <row r="12094" spans="27:27">
      <c r="AA12094" t="s">
        <v>1168</v>
      </c>
    </row>
    <row r="12095" spans="27:27">
      <c r="AA12095" t="s">
        <v>3088</v>
      </c>
    </row>
    <row r="12096" spans="27:27">
      <c r="AA12096" t="s">
        <v>12643</v>
      </c>
    </row>
    <row r="12097" spans="27:27">
      <c r="AA12097" t="s">
        <v>3089</v>
      </c>
    </row>
    <row r="12098" spans="27:27">
      <c r="AA12098" t="s">
        <v>3090</v>
      </c>
    </row>
    <row r="12099" spans="27:27">
      <c r="AA12099" t="s">
        <v>12644</v>
      </c>
    </row>
    <row r="12100" spans="27:27">
      <c r="AA12100" t="s">
        <v>3091</v>
      </c>
    </row>
    <row r="12101" spans="27:27">
      <c r="AA12101" t="s">
        <v>12645</v>
      </c>
    </row>
    <row r="12102" spans="27:27">
      <c r="AA12102" t="s">
        <v>12646</v>
      </c>
    </row>
    <row r="12103" spans="27:27">
      <c r="AA12103" t="s">
        <v>3092</v>
      </c>
    </row>
    <row r="12104" spans="27:27">
      <c r="AA12104" t="s">
        <v>3093</v>
      </c>
    </row>
    <row r="12105" spans="27:27">
      <c r="AA12105" t="s">
        <v>3094</v>
      </c>
    </row>
    <row r="12106" spans="27:27">
      <c r="AA12106" t="s">
        <v>12647</v>
      </c>
    </row>
    <row r="12107" spans="27:27">
      <c r="AA12107" t="s">
        <v>12648</v>
      </c>
    </row>
    <row r="12108" spans="27:27">
      <c r="AA12108" t="s">
        <v>12649</v>
      </c>
    </row>
    <row r="12109" spans="27:27">
      <c r="AA12109" t="s">
        <v>12650</v>
      </c>
    </row>
    <row r="12110" spans="27:27">
      <c r="AA12110" t="s">
        <v>12651</v>
      </c>
    </row>
    <row r="12111" spans="27:27">
      <c r="AA12111" t="s">
        <v>12652</v>
      </c>
    </row>
    <row r="12112" spans="27:27">
      <c r="AA12112" t="s">
        <v>3095</v>
      </c>
    </row>
    <row r="12113" spans="27:27">
      <c r="AA12113" t="s">
        <v>12653</v>
      </c>
    </row>
    <row r="12114" spans="27:27">
      <c r="AA12114" t="s">
        <v>3096</v>
      </c>
    </row>
    <row r="12115" spans="27:27">
      <c r="AA12115" t="s">
        <v>3097</v>
      </c>
    </row>
    <row r="12116" spans="27:27">
      <c r="AA12116" t="s">
        <v>3098</v>
      </c>
    </row>
    <row r="12117" spans="27:27">
      <c r="AA12117" t="s">
        <v>12654</v>
      </c>
    </row>
    <row r="12118" spans="27:27">
      <c r="AA12118" t="s">
        <v>3099</v>
      </c>
    </row>
    <row r="12119" spans="27:27">
      <c r="AA12119" t="s">
        <v>12655</v>
      </c>
    </row>
    <row r="12120" spans="27:27">
      <c r="AA12120" t="s">
        <v>12656</v>
      </c>
    </row>
    <row r="12121" spans="27:27">
      <c r="AA12121" t="s">
        <v>12657</v>
      </c>
    </row>
    <row r="12122" spans="27:27">
      <c r="AA12122" t="s">
        <v>12658</v>
      </c>
    </row>
    <row r="12123" spans="27:27">
      <c r="AA12123" t="s">
        <v>12659</v>
      </c>
    </row>
    <row r="12124" spans="27:27">
      <c r="AA12124" t="s">
        <v>12660</v>
      </c>
    </row>
    <row r="12125" spans="27:27">
      <c r="AA12125" t="s">
        <v>3100</v>
      </c>
    </row>
    <row r="12126" spans="27:27">
      <c r="AA12126" t="s">
        <v>12661</v>
      </c>
    </row>
    <row r="12127" spans="27:27">
      <c r="AA12127" t="s">
        <v>12662</v>
      </c>
    </row>
    <row r="12128" spans="27:27">
      <c r="AA12128" t="s">
        <v>12663</v>
      </c>
    </row>
    <row r="12129" spans="27:27">
      <c r="AA12129" t="s">
        <v>3101</v>
      </c>
    </row>
    <row r="12130" spans="27:27">
      <c r="AA12130" t="s">
        <v>3102</v>
      </c>
    </row>
    <row r="12131" spans="27:27">
      <c r="AA12131" t="s">
        <v>3103</v>
      </c>
    </row>
    <row r="12132" spans="27:27">
      <c r="AA12132" t="s">
        <v>3104</v>
      </c>
    </row>
    <row r="12133" spans="27:27">
      <c r="AA12133" t="s">
        <v>12664</v>
      </c>
    </row>
    <row r="12134" spans="27:27">
      <c r="AA12134" t="s">
        <v>3105</v>
      </c>
    </row>
    <row r="12135" spans="27:27">
      <c r="AA12135" t="s">
        <v>12665</v>
      </c>
    </row>
    <row r="12136" spans="27:27">
      <c r="AA12136" t="s">
        <v>3106</v>
      </c>
    </row>
    <row r="12137" spans="27:27">
      <c r="AA12137" t="s">
        <v>12666</v>
      </c>
    </row>
    <row r="12138" spans="27:27">
      <c r="AA12138" t="s">
        <v>12667</v>
      </c>
    </row>
    <row r="12139" spans="27:27">
      <c r="AA12139" t="s">
        <v>12668</v>
      </c>
    </row>
    <row r="12140" spans="27:27">
      <c r="AA12140" t="s">
        <v>12669</v>
      </c>
    </row>
    <row r="12141" spans="27:27">
      <c r="AA12141" t="s">
        <v>12670</v>
      </c>
    </row>
    <row r="12142" spans="27:27">
      <c r="AA12142" t="s">
        <v>12671</v>
      </c>
    </row>
    <row r="12143" spans="27:27">
      <c r="AA12143" t="s">
        <v>12672</v>
      </c>
    </row>
    <row r="12144" spans="27:27">
      <c r="AA12144" t="s">
        <v>12673</v>
      </c>
    </row>
    <row r="12145" spans="27:27">
      <c r="AA12145" t="s">
        <v>3107</v>
      </c>
    </row>
    <row r="12146" spans="27:27">
      <c r="AA12146" t="s">
        <v>3108</v>
      </c>
    </row>
    <row r="12147" spans="27:27">
      <c r="AA12147" t="s">
        <v>3109</v>
      </c>
    </row>
    <row r="12148" spans="27:27">
      <c r="AA12148" t="s">
        <v>3110</v>
      </c>
    </row>
    <row r="12149" spans="27:27">
      <c r="AA12149" t="s">
        <v>3970</v>
      </c>
    </row>
    <row r="12150" spans="27:27">
      <c r="AA12150" t="s">
        <v>3111</v>
      </c>
    </row>
    <row r="12151" spans="27:27">
      <c r="AA12151" t="s">
        <v>12674</v>
      </c>
    </row>
    <row r="12152" spans="27:27">
      <c r="AA12152" t="s">
        <v>12675</v>
      </c>
    </row>
    <row r="12153" spans="27:27">
      <c r="AA12153" t="s">
        <v>12676</v>
      </c>
    </row>
    <row r="12154" spans="27:27">
      <c r="AA12154" t="s">
        <v>12677</v>
      </c>
    </row>
    <row r="12155" spans="27:27">
      <c r="AA12155" t="s">
        <v>12678</v>
      </c>
    </row>
    <row r="12156" spans="27:27">
      <c r="AA12156" t="s">
        <v>12679</v>
      </c>
    </row>
    <row r="12157" spans="27:27">
      <c r="AA12157" t="s">
        <v>3971</v>
      </c>
    </row>
    <row r="12158" spans="27:27">
      <c r="AA12158" t="s">
        <v>3112</v>
      </c>
    </row>
    <row r="12159" spans="27:27">
      <c r="AA12159" t="s">
        <v>12680</v>
      </c>
    </row>
    <row r="12160" spans="27:27">
      <c r="AA12160" t="s">
        <v>12681</v>
      </c>
    </row>
    <row r="12161" spans="27:27">
      <c r="AA12161" t="s">
        <v>12682</v>
      </c>
    </row>
    <row r="12162" spans="27:27">
      <c r="AA12162" t="s">
        <v>12683</v>
      </c>
    </row>
    <row r="12163" spans="27:27">
      <c r="AA12163" t="s">
        <v>3113</v>
      </c>
    </row>
    <row r="12164" spans="27:27">
      <c r="AA12164" t="s">
        <v>3972</v>
      </c>
    </row>
    <row r="12165" spans="27:27">
      <c r="AA12165" t="s">
        <v>3114</v>
      </c>
    </row>
    <row r="12166" spans="27:27">
      <c r="AA12166" t="s">
        <v>12684</v>
      </c>
    </row>
    <row r="12167" spans="27:27">
      <c r="AA12167" t="s">
        <v>3115</v>
      </c>
    </row>
    <row r="12168" spans="27:27">
      <c r="AA12168" t="s">
        <v>12685</v>
      </c>
    </row>
    <row r="12169" spans="27:27">
      <c r="AA12169" t="s">
        <v>3116</v>
      </c>
    </row>
    <row r="12170" spans="27:27">
      <c r="AA12170" t="s">
        <v>12686</v>
      </c>
    </row>
    <row r="12171" spans="27:27">
      <c r="AA12171" t="s">
        <v>12687</v>
      </c>
    </row>
    <row r="12172" spans="27:27">
      <c r="AA12172" t="s">
        <v>12688</v>
      </c>
    </row>
    <row r="12173" spans="27:27">
      <c r="AA12173" t="s">
        <v>12689</v>
      </c>
    </row>
    <row r="12174" spans="27:27">
      <c r="AA12174" t="s">
        <v>12690</v>
      </c>
    </row>
    <row r="12175" spans="27:27">
      <c r="AA12175" t="s">
        <v>12691</v>
      </c>
    </row>
    <row r="12176" spans="27:27">
      <c r="AA12176" t="s">
        <v>3117</v>
      </c>
    </row>
    <row r="12177" spans="27:27">
      <c r="AA12177" t="s">
        <v>12692</v>
      </c>
    </row>
    <row r="12178" spans="27:27">
      <c r="AA12178" t="s">
        <v>12693</v>
      </c>
    </row>
    <row r="12179" spans="27:27">
      <c r="AA12179" t="s">
        <v>3118</v>
      </c>
    </row>
    <row r="12180" spans="27:27">
      <c r="AA12180" t="s">
        <v>12694</v>
      </c>
    </row>
    <row r="12181" spans="27:27">
      <c r="AA12181" t="s">
        <v>12695</v>
      </c>
    </row>
    <row r="12182" spans="27:27">
      <c r="AA12182" t="s">
        <v>12696</v>
      </c>
    </row>
    <row r="12183" spans="27:27">
      <c r="AA12183" t="s">
        <v>12697</v>
      </c>
    </row>
    <row r="12184" spans="27:27">
      <c r="AA12184" t="s">
        <v>3119</v>
      </c>
    </row>
    <row r="12185" spans="27:27">
      <c r="AA12185" t="s">
        <v>12698</v>
      </c>
    </row>
    <row r="12186" spans="27:27">
      <c r="AA12186" t="s">
        <v>12699</v>
      </c>
    </row>
    <row r="12187" spans="27:27">
      <c r="AA12187" t="s">
        <v>12700</v>
      </c>
    </row>
    <row r="12188" spans="27:27">
      <c r="AA12188" t="s">
        <v>12701</v>
      </c>
    </row>
    <row r="12189" spans="27:27">
      <c r="AA12189" t="s">
        <v>12702</v>
      </c>
    </row>
    <row r="12190" spans="27:27">
      <c r="AA12190" t="s">
        <v>12703</v>
      </c>
    </row>
    <row r="12191" spans="27:27">
      <c r="AA12191" t="s">
        <v>3120</v>
      </c>
    </row>
    <row r="12192" spans="27:27">
      <c r="AA12192" t="s">
        <v>12704</v>
      </c>
    </row>
    <row r="12193" spans="27:27">
      <c r="AA12193" t="s">
        <v>3121</v>
      </c>
    </row>
    <row r="12194" spans="27:27">
      <c r="AA12194" t="s">
        <v>12705</v>
      </c>
    </row>
    <row r="12195" spans="27:27">
      <c r="AA12195" t="s">
        <v>3122</v>
      </c>
    </row>
    <row r="12196" spans="27:27">
      <c r="AA12196" t="s">
        <v>12706</v>
      </c>
    </row>
    <row r="12197" spans="27:27">
      <c r="AA12197" t="s">
        <v>12707</v>
      </c>
    </row>
    <row r="12198" spans="27:27">
      <c r="AA12198" t="s">
        <v>12708</v>
      </c>
    </row>
    <row r="12199" spans="27:27">
      <c r="AA12199" t="s">
        <v>12709</v>
      </c>
    </row>
    <row r="12200" spans="27:27">
      <c r="AA12200" t="s">
        <v>3123</v>
      </c>
    </row>
    <row r="12201" spans="27:27">
      <c r="AA12201" t="s">
        <v>12710</v>
      </c>
    </row>
    <row r="12202" spans="27:27">
      <c r="AA12202" t="s">
        <v>12711</v>
      </c>
    </row>
    <row r="12203" spans="27:27">
      <c r="AA12203" t="s">
        <v>12712</v>
      </c>
    </row>
    <row r="12204" spans="27:27">
      <c r="AA12204" t="s">
        <v>12713</v>
      </c>
    </row>
    <row r="12205" spans="27:27">
      <c r="AA12205" t="s">
        <v>12714</v>
      </c>
    </row>
    <row r="12206" spans="27:27">
      <c r="AA12206" t="s">
        <v>12715</v>
      </c>
    </row>
    <row r="12207" spans="27:27">
      <c r="AA12207" t="s">
        <v>12716</v>
      </c>
    </row>
    <row r="12208" spans="27:27">
      <c r="AA12208" t="s">
        <v>12717</v>
      </c>
    </row>
    <row r="12209" spans="27:27">
      <c r="AA12209" t="s">
        <v>3124</v>
      </c>
    </row>
    <row r="12210" spans="27:27">
      <c r="AA12210" t="s">
        <v>12718</v>
      </c>
    </row>
    <row r="12211" spans="27:27">
      <c r="AA12211" t="s">
        <v>3125</v>
      </c>
    </row>
    <row r="12212" spans="27:27">
      <c r="AA12212" t="s">
        <v>12719</v>
      </c>
    </row>
    <row r="12213" spans="27:27">
      <c r="AA12213" t="s">
        <v>12720</v>
      </c>
    </row>
    <row r="12214" spans="27:27">
      <c r="AA12214" t="s">
        <v>12721</v>
      </c>
    </row>
    <row r="12215" spans="27:27">
      <c r="AA12215" t="s">
        <v>12722</v>
      </c>
    </row>
    <row r="12216" spans="27:27">
      <c r="AA12216" t="s">
        <v>12723</v>
      </c>
    </row>
    <row r="12217" spans="27:27">
      <c r="AA12217" t="s">
        <v>12724</v>
      </c>
    </row>
    <row r="12218" spans="27:27">
      <c r="AA12218" t="s">
        <v>12725</v>
      </c>
    </row>
    <row r="12219" spans="27:27">
      <c r="AA12219" t="s">
        <v>12726</v>
      </c>
    </row>
    <row r="12220" spans="27:27">
      <c r="AA12220" t="s">
        <v>12727</v>
      </c>
    </row>
    <row r="12221" spans="27:27">
      <c r="AA12221" t="s">
        <v>12728</v>
      </c>
    </row>
    <row r="12222" spans="27:27">
      <c r="AA12222" t="s">
        <v>3126</v>
      </c>
    </row>
    <row r="12223" spans="27:27">
      <c r="AA12223" t="s">
        <v>12729</v>
      </c>
    </row>
    <row r="12224" spans="27:27">
      <c r="AA12224" t="s">
        <v>3127</v>
      </c>
    </row>
    <row r="12225" spans="27:27">
      <c r="AA12225" t="s">
        <v>12730</v>
      </c>
    </row>
    <row r="12226" spans="27:27">
      <c r="AA12226" t="s">
        <v>3128</v>
      </c>
    </row>
    <row r="12227" spans="27:27">
      <c r="AA12227" t="s">
        <v>12731</v>
      </c>
    </row>
    <row r="12228" spans="27:27">
      <c r="AA12228" t="s">
        <v>12732</v>
      </c>
    </row>
    <row r="12229" spans="27:27">
      <c r="AA12229" t="s">
        <v>12733</v>
      </c>
    </row>
    <row r="12230" spans="27:27">
      <c r="AA12230" t="s">
        <v>12734</v>
      </c>
    </row>
    <row r="12231" spans="27:27">
      <c r="AA12231" t="s">
        <v>3129</v>
      </c>
    </row>
    <row r="12232" spans="27:27">
      <c r="AA12232" t="s">
        <v>12735</v>
      </c>
    </row>
    <row r="12233" spans="27:27">
      <c r="AA12233" t="s">
        <v>12736</v>
      </c>
    </row>
    <row r="12234" spans="27:27">
      <c r="AA12234" t="s">
        <v>12737</v>
      </c>
    </row>
    <row r="12235" spans="27:27">
      <c r="AA12235" t="s">
        <v>12738</v>
      </c>
    </row>
    <row r="12236" spans="27:27">
      <c r="AA12236" t="s">
        <v>3130</v>
      </c>
    </row>
    <row r="12237" spans="27:27">
      <c r="AA12237" t="s">
        <v>12739</v>
      </c>
    </row>
    <row r="12238" spans="27:27">
      <c r="AA12238" t="s">
        <v>12740</v>
      </c>
    </row>
    <row r="12239" spans="27:27">
      <c r="AA12239" t="s">
        <v>3131</v>
      </c>
    </row>
    <row r="12240" spans="27:27">
      <c r="AA12240" t="s">
        <v>12741</v>
      </c>
    </row>
    <row r="12241" spans="27:27">
      <c r="AA12241" t="s">
        <v>3132</v>
      </c>
    </row>
    <row r="12242" spans="27:27">
      <c r="AA12242" t="s">
        <v>12742</v>
      </c>
    </row>
    <row r="12243" spans="27:27">
      <c r="AA12243" t="s">
        <v>3133</v>
      </c>
    </row>
    <row r="12244" spans="27:27">
      <c r="AA12244" t="s">
        <v>12743</v>
      </c>
    </row>
    <row r="12245" spans="27:27">
      <c r="AA12245" t="s">
        <v>12744</v>
      </c>
    </row>
    <row r="12246" spans="27:27">
      <c r="AA12246" t="s">
        <v>12745</v>
      </c>
    </row>
    <row r="12247" spans="27:27">
      <c r="AA12247" t="s">
        <v>12746</v>
      </c>
    </row>
    <row r="12248" spans="27:27">
      <c r="AA12248" t="s">
        <v>3134</v>
      </c>
    </row>
    <row r="12249" spans="27:27">
      <c r="AA12249" t="s">
        <v>3135</v>
      </c>
    </row>
    <row r="12250" spans="27:27">
      <c r="AA12250" t="s">
        <v>12747</v>
      </c>
    </row>
    <row r="12251" spans="27:27">
      <c r="AA12251" t="s">
        <v>12748</v>
      </c>
    </row>
    <row r="12252" spans="27:27">
      <c r="AA12252" t="s">
        <v>12749</v>
      </c>
    </row>
    <row r="12253" spans="27:27">
      <c r="AA12253" t="s">
        <v>12750</v>
      </c>
    </row>
    <row r="12254" spans="27:27">
      <c r="AA12254" t="s">
        <v>3136</v>
      </c>
    </row>
    <row r="12255" spans="27:27">
      <c r="AA12255" t="s">
        <v>12751</v>
      </c>
    </row>
    <row r="12256" spans="27:27">
      <c r="AA12256" t="s">
        <v>12752</v>
      </c>
    </row>
    <row r="12257" spans="27:27">
      <c r="AA12257" t="s">
        <v>3137</v>
      </c>
    </row>
    <row r="12258" spans="27:27">
      <c r="AA12258" t="s">
        <v>3138</v>
      </c>
    </row>
    <row r="12259" spans="27:27">
      <c r="AA12259" t="s">
        <v>3973</v>
      </c>
    </row>
    <row r="12260" spans="27:27">
      <c r="AA12260" t="s">
        <v>12753</v>
      </c>
    </row>
    <row r="12261" spans="27:27">
      <c r="AA12261" t="s">
        <v>12754</v>
      </c>
    </row>
    <row r="12262" spans="27:27">
      <c r="AA12262" t="s">
        <v>3139</v>
      </c>
    </row>
    <row r="12263" spans="27:27">
      <c r="AA12263" t="s">
        <v>3140</v>
      </c>
    </row>
    <row r="12264" spans="27:27">
      <c r="AA12264" t="s">
        <v>12755</v>
      </c>
    </row>
    <row r="12265" spans="27:27">
      <c r="AA12265" t="s">
        <v>3141</v>
      </c>
    </row>
    <row r="12266" spans="27:27">
      <c r="AA12266" t="s">
        <v>3142</v>
      </c>
    </row>
    <row r="12267" spans="27:27">
      <c r="AA12267" t="s">
        <v>3143</v>
      </c>
    </row>
    <row r="12268" spans="27:27">
      <c r="AA12268" t="s">
        <v>12756</v>
      </c>
    </row>
    <row r="12269" spans="27:27">
      <c r="AA12269" t="s">
        <v>3144</v>
      </c>
    </row>
    <row r="12270" spans="27:27">
      <c r="AA12270" t="s">
        <v>12757</v>
      </c>
    </row>
    <row r="12271" spans="27:27">
      <c r="AA12271" t="s">
        <v>3974</v>
      </c>
    </row>
    <row r="12272" spans="27:27">
      <c r="AA12272" t="s">
        <v>12758</v>
      </c>
    </row>
    <row r="12273" spans="27:27">
      <c r="AA12273" t="s">
        <v>12759</v>
      </c>
    </row>
    <row r="12274" spans="27:27">
      <c r="AA12274" t="s">
        <v>3145</v>
      </c>
    </row>
    <row r="12275" spans="27:27">
      <c r="AA12275" t="s">
        <v>3146</v>
      </c>
    </row>
    <row r="12276" spans="27:27">
      <c r="AA12276" t="s">
        <v>3147</v>
      </c>
    </row>
    <row r="12277" spans="27:27">
      <c r="AA12277" t="s">
        <v>3148</v>
      </c>
    </row>
    <row r="12278" spans="27:27">
      <c r="AA12278" t="s">
        <v>12760</v>
      </c>
    </row>
    <row r="12279" spans="27:27">
      <c r="AA12279" t="s">
        <v>3149</v>
      </c>
    </row>
    <row r="12280" spans="27:27">
      <c r="AA12280" t="s">
        <v>12761</v>
      </c>
    </row>
    <row r="12281" spans="27:27">
      <c r="AA12281" t="s">
        <v>12762</v>
      </c>
    </row>
    <row r="12282" spans="27:27">
      <c r="AA12282" t="s">
        <v>3150</v>
      </c>
    </row>
    <row r="12283" spans="27:27">
      <c r="AA12283" t="s">
        <v>3151</v>
      </c>
    </row>
    <row r="12284" spans="27:27">
      <c r="AA12284" t="s">
        <v>12763</v>
      </c>
    </row>
    <row r="12285" spans="27:27">
      <c r="AA12285" t="s">
        <v>12764</v>
      </c>
    </row>
    <row r="12286" spans="27:27">
      <c r="AA12286" t="s">
        <v>3152</v>
      </c>
    </row>
    <row r="12287" spans="27:27">
      <c r="AA12287" t="s">
        <v>12765</v>
      </c>
    </row>
    <row r="12288" spans="27:27">
      <c r="AA12288" t="s">
        <v>3153</v>
      </c>
    </row>
    <row r="12289" spans="27:27">
      <c r="AA12289" t="s">
        <v>12766</v>
      </c>
    </row>
    <row r="12290" spans="27:27">
      <c r="AA12290" t="s">
        <v>3154</v>
      </c>
    </row>
    <row r="12291" spans="27:27">
      <c r="AA12291" t="s">
        <v>12767</v>
      </c>
    </row>
    <row r="12292" spans="27:27">
      <c r="AA12292" t="s">
        <v>12768</v>
      </c>
    </row>
    <row r="12293" spans="27:27">
      <c r="AA12293" t="s">
        <v>12769</v>
      </c>
    </row>
    <row r="12294" spans="27:27">
      <c r="AA12294" t="s">
        <v>12770</v>
      </c>
    </row>
    <row r="12295" spans="27:27">
      <c r="AA12295" t="s">
        <v>3155</v>
      </c>
    </row>
    <row r="12296" spans="27:27">
      <c r="AA12296" t="s">
        <v>3156</v>
      </c>
    </row>
    <row r="12297" spans="27:27">
      <c r="AA12297" t="s">
        <v>3157</v>
      </c>
    </row>
    <row r="12298" spans="27:27">
      <c r="AA12298" t="s">
        <v>3158</v>
      </c>
    </row>
    <row r="12299" spans="27:27">
      <c r="AA12299" t="s">
        <v>12771</v>
      </c>
    </row>
    <row r="12300" spans="27:27">
      <c r="AA12300" t="s">
        <v>3159</v>
      </c>
    </row>
    <row r="12301" spans="27:27">
      <c r="AA12301" t="s">
        <v>12772</v>
      </c>
    </row>
    <row r="12302" spans="27:27">
      <c r="AA12302" t="s">
        <v>1169</v>
      </c>
    </row>
    <row r="12303" spans="27:27">
      <c r="AA12303" t="s">
        <v>12773</v>
      </c>
    </row>
    <row r="12304" spans="27:27">
      <c r="AA12304" t="s">
        <v>12774</v>
      </c>
    </row>
    <row r="12305" spans="27:27">
      <c r="AA12305" t="s">
        <v>3160</v>
      </c>
    </row>
    <row r="12306" spans="27:27">
      <c r="AA12306" t="s">
        <v>12775</v>
      </c>
    </row>
    <row r="12307" spans="27:27">
      <c r="AA12307" t="s">
        <v>3161</v>
      </c>
    </row>
    <row r="12308" spans="27:27">
      <c r="AA12308" t="s">
        <v>3162</v>
      </c>
    </row>
    <row r="12309" spans="27:27">
      <c r="AA12309" t="s">
        <v>3163</v>
      </c>
    </row>
    <row r="12310" spans="27:27">
      <c r="AA12310" t="s">
        <v>12776</v>
      </c>
    </row>
    <row r="12311" spans="27:27">
      <c r="AA12311" t="s">
        <v>3164</v>
      </c>
    </row>
    <row r="12312" spans="27:27">
      <c r="AA12312" t="s">
        <v>12777</v>
      </c>
    </row>
    <row r="12313" spans="27:27">
      <c r="AA12313" t="s">
        <v>12778</v>
      </c>
    </row>
    <row r="12314" spans="27:27">
      <c r="AA12314" t="s">
        <v>3165</v>
      </c>
    </row>
    <row r="12315" spans="27:27">
      <c r="AA12315" t="s">
        <v>12779</v>
      </c>
    </row>
    <row r="12316" spans="27:27">
      <c r="AA12316" t="s">
        <v>3166</v>
      </c>
    </row>
    <row r="12317" spans="27:27">
      <c r="AA12317" t="s">
        <v>12780</v>
      </c>
    </row>
    <row r="12318" spans="27:27">
      <c r="AA12318" t="s">
        <v>12781</v>
      </c>
    </row>
    <row r="12319" spans="27:27">
      <c r="AA12319" t="s">
        <v>3167</v>
      </c>
    </row>
    <row r="12320" spans="27:27">
      <c r="AA12320" t="s">
        <v>3168</v>
      </c>
    </row>
    <row r="12321" spans="27:27">
      <c r="AA12321" t="s">
        <v>3169</v>
      </c>
    </row>
    <row r="12322" spans="27:27">
      <c r="AA12322" t="s">
        <v>12782</v>
      </c>
    </row>
    <row r="12323" spans="27:27">
      <c r="AA12323" t="s">
        <v>12783</v>
      </c>
    </row>
    <row r="12324" spans="27:27">
      <c r="AA12324" t="s">
        <v>3170</v>
      </c>
    </row>
    <row r="12325" spans="27:27">
      <c r="AA12325" t="s">
        <v>12784</v>
      </c>
    </row>
    <row r="12326" spans="27:27">
      <c r="AA12326" t="s">
        <v>12785</v>
      </c>
    </row>
    <row r="12327" spans="27:27">
      <c r="AA12327" t="s">
        <v>1170</v>
      </c>
    </row>
    <row r="12328" spans="27:27">
      <c r="AA12328" t="s">
        <v>12786</v>
      </c>
    </row>
    <row r="12329" spans="27:27">
      <c r="AA12329" t="s">
        <v>1171</v>
      </c>
    </row>
    <row r="12330" spans="27:27">
      <c r="AA12330" t="s">
        <v>12787</v>
      </c>
    </row>
    <row r="12331" spans="27:27">
      <c r="AA12331" t="s">
        <v>12788</v>
      </c>
    </row>
    <row r="12332" spans="27:27">
      <c r="AA12332" t="s">
        <v>12789</v>
      </c>
    </row>
    <row r="12333" spans="27:27">
      <c r="AA12333" t="s">
        <v>3171</v>
      </c>
    </row>
    <row r="12334" spans="27:27">
      <c r="AA12334" t="s">
        <v>12790</v>
      </c>
    </row>
    <row r="12335" spans="27:27">
      <c r="AA12335" t="s">
        <v>12791</v>
      </c>
    </row>
    <row r="12336" spans="27:27">
      <c r="AA12336" t="s">
        <v>3172</v>
      </c>
    </row>
    <row r="12337" spans="27:27">
      <c r="AA12337" t="s">
        <v>12792</v>
      </c>
    </row>
    <row r="12338" spans="27:27">
      <c r="AA12338" t="s">
        <v>3173</v>
      </c>
    </row>
    <row r="12339" spans="27:27">
      <c r="AA12339" t="s">
        <v>12793</v>
      </c>
    </row>
    <row r="12340" spans="27:27">
      <c r="AA12340" t="s">
        <v>12794</v>
      </c>
    </row>
    <row r="12341" spans="27:27">
      <c r="AA12341" t="s">
        <v>12795</v>
      </c>
    </row>
    <row r="12342" spans="27:27">
      <c r="AA12342" t="s">
        <v>12796</v>
      </c>
    </row>
    <row r="12343" spans="27:27">
      <c r="AA12343" t="s">
        <v>12797</v>
      </c>
    </row>
    <row r="12344" spans="27:27">
      <c r="AA12344" t="s">
        <v>12798</v>
      </c>
    </row>
    <row r="12345" spans="27:27">
      <c r="AA12345" t="s">
        <v>12799</v>
      </c>
    </row>
    <row r="12346" spans="27:27">
      <c r="AA12346" t="s">
        <v>12800</v>
      </c>
    </row>
    <row r="12347" spans="27:27">
      <c r="AA12347" t="s">
        <v>12801</v>
      </c>
    </row>
    <row r="12348" spans="27:27">
      <c r="AA12348" t="s">
        <v>12802</v>
      </c>
    </row>
    <row r="12349" spans="27:27">
      <c r="AA12349" t="s">
        <v>12803</v>
      </c>
    </row>
    <row r="12350" spans="27:27">
      <c r="AA12350" t="s">
        <v>12804</v>
      </c>
    </row>
    <row r="12351" spans="27:27">
      <c r="AA12351" t="s">
        <v>12805</v>
      </c>
    </row>
    <row r="12352" spans="27:27">
      <c r="AA12352" t="s">
        <v>3174</v>
      </c>
    </row>
    <row r="12353" spans="27:27">
      <c r="AA12353" t="s">
        <v>12806</v>
      </c>
    </row>
    <row r="12354" spans="27:27">
      <c r="AA12354" t="s">
        <v>12807</v>
      </c>
    </row>
    <row r="12355" spans="27:27">
      <c r="AA12355" t="s">
        <v>12808</v>
      </c>
    </row>
    <row r="12356" spans="27:27">
      <c r="AA12356" t="s">
        <v>12809</v>
      </c>
    </row>
    <row r="12357" spans="27:27">
      <c r="AA12357" t="s">
        <v>12810</v>
      </c>
    </row>
    <row r="12358" spans="27:27">
      <c r="AA12358" t="s">
        <v>12811</v>
      </c>
    </row>
    <row r="12359" spans="27:27">
      <c r="AA12359" t="s">
        <v>12812</v>
      </c>
    </row>
    <row r="12360" spans="27:27">
      <c r="AA12360" t="s">
        <v>12813</v>
      </c>
    </row>
    <row r="12361" spans="27:27">
      <c r="AA12361" t="s">
        <v>12814</v>
      </c>
    </row>
    <row r="12362" spans="27:27">
      <c r="AA12362" t="s">
        <v>12815</v>
      </c>
    </row>
    <row r="12363" spans="27:27">
      <c r="AA12363" t="s">
        <v>12816</v>
      </c>
    </row>
    <row r="12364" spans="27:27">
      <c r="AA12364" t="s">
        <v>3175</v>
      </c>
    </row>
    <row r="12365" spans="27:27">
      <c r="AA12365" t="s">
        <v>3176</v>
      </c>
    </row>
    <row r="12366" spans="27:27">
      <c r="AA12366" t="s">
        <v>3177</v>
      </c>
    </row>
    <row r="12367" spans="27:27">
      <c r="AA12367" t="s">
        <v>12817</v>
      </c>
    </row>
    <row r="12368" spans="27:27">
      <c r="AA12368" t="s">
        <v>12818</v>
      </c>
    </row>
    <row r="12369" spans="27:27">
      <c r="AA12369" t="s">
        <v>3178</v>
      </c>
    </row>
    <row r="12370" spans="27:27">
      <c r="AA12370" t="s">
        <v>12819</v>
      </c>
    </row>
    <row r="12371" spans="27:27">
      <c r="AA12371" t="s">
        <v>3179</v>
      </c>
    </row>
    <row r="12372" spans="27:27">
      <c r="AA12372" t="s">
        <v>12820</v>
      </c>
    </row>
    <row r="12373" spans="27:27">
      <c r="AA12373" t="s">
        <v>3180</v>
      </c>
    </row>
    <row r="12374" spans="27:27">
      <c r="AA12374" t="s">
        <v>1172</v>
      </c>
    </row>
    <row r="12375" spans="27:27">
      <c r="AA12375" t="s">
        <v>1173</v>
      </c>
    </row>
    <row r="12376" spans="27:27">
      <c r="AA12376" t="s">
        <v>3360</v>
      </c>
    </row>
    <row r="12377" spans="27:27">
      <c r="AA12377" t="s">
        <v>12821</v>
      </c>
    </row>
    <row r="12378" spans="27:27">
      <c r="AA12378" t="s">
        <v>12822</v>
      </c>
    </row>
    <row r="12379" spans="27:27">
      <c r="AA12379" t="s">
        <v>12823</v>
      </c>
    </row>
    <row r="12380" spans="27:27">
      <c r="AA12380" t="s">
        <v>3181</v>
      </c>
    </row>
    <row r="12381" spans="27:27">
      <c r="AA12381" t="s">
        <v>12824</v>
      </c>
    </row>
    <row r="12382" spans="27:27">
      <c r="AA12382" t="s">
        <v>12825</v>
      </c>
    </row>
    <row r="12383" spans="27:27">
      <c r="AA12383" t="s">
        <v>12826</v>
      </c>
    </row>
    <row r="12384" spans="27:27">
      <c r="AA12384" t="s">
        <v>3182</v>
      </c>
    </row>
    <row r="12385" spans="27:27">
      <c r="AA12385" t="s">
        <v>12827</v>
      </c>
    </row>
    <row r="12386" spans="27:27">
      <c r="AA12386" t="s">
        <v>12828</v>
      </c>
    </row>
    <row r="12387" spans="27:27">
      <c r="AA12387" t="s">
        <v>12829</v>
      </c>
    </row>
    <row r="12388" spans="27:27">
      <c r="AA12388" t="s">
        <v>12830</v>
      </c>
    </row>
    <row r="12389" spans="27:27">
      <c r="AA12389" t="s">
        <v>12831</v>
      </c>
    </row>
    <row r="12390" spans="27:27">
      <c r="AA12390" t="s">
        <v>12832</v>
      </c>
    </row>
    <row r="12391" spans="27:27">
      <c r="AA12391" t="s">
        <v>12833</v>
      </c>
    </row>
    <row r="12392" spans="27:27">
      <c r="AA12392" t="s">
        <v>12834</v>
      </c>
    </row>
    <row r="12393" spans="27:27">
      <c r="AA12393" t="s">
        <v>12835</v>
      </c>
    </row>
    <row r="12394" spans="27:27">
      <c r="AA12394" t="s">
        <v>12836</v>
      </c>
    </row>
    <row r="12395" spans="27:27">
      <c r="AA12395" t="s">
        <v>12837</v>
      </c>
    </row>
    <row r="12396" spans="27:27">
      <c r="AA12396" t="s">
        <v>12838</v>
      </c>
    </row>
    <row r="12397" spans="27:27">
      <c r="AA12397" t="s">
        <v>3183</v>
      </c>
    </row>
    <row r="12398" spans="27:27">
      <c r="AA12398" t="s">
        <v>12839</v>
      </c>
    </row>
    <row r="12399" spans="27:27">
      <c r="AA12399" t="s">
        <v>12840</v>
      </c>
    </row>
    <row r="12400" spans="27:27">
      <c r="AA12400" t="s">
        <v>12841</v>
      </c>
    </row>
    <row r="12401" spans="27:27">
      <c r="AA12401" t="s">
        <v>3184</v>
      </c>
    </row>
    <row r="12402" spans="27:27">
      <c r="AA12402" t="s">
        <v>12842</v>
      </c>
    </row>
    <row r="12403" spans="27:27">
      <c r="AA12403" t="s">
        <v>12843</v>
      </c>
    </row>
    <row r="12404" spans="27:27">
      <c r="AA12404" t="s">
        <v>12844</v>
      </c>
    </row>
    <row r="12405" spans="27:27">
      <c r="AA12405" t="s">
        <v>3185</v>
      </c>
    </row>
    <row r="12406" spans="27:27">
      <c r="AA12406" t="s">
        <v>12845</v>
      </c>
    </row>
    <row r="12407" spans="27:27">
      <c r="AA12407" t="s">
        <v>12846</v>
      </c>
    </row>
    <row r="12408" spans="27:27">
      <c r="AA12408" t="s">
        <v>12847</v>
      </c>
    </row>
    <row r="12409" spans="27:27">
      <c r="AA12409" t="s">
        <v>3186</v>
      </c>
    </row>
    <row r="12410" spans="27:27">
      <c r="AA12410" t="s">
        <v>12848</v>
      </c>
    </row>
    <row r="12411" spans="27:27">
      <c r="AA12411" t="s">
        <v>12849</v>
      </c>
    </row>
    <row r="12412" spans="27:27">
      <c r="AA12412" t="s">
        <v>12850</v>
      </c>
    </row>
    <row r="12413" spans="27:27">
      <c r="AA12413" t="s">
        <v>12851</v>
      </c>
    </row>
    <row r="12414" spans="27:27">
      <c r="AA12414" t="s">
        <v>1174</v>
      </c>
    </row>
    <row r="12415" spans="27:27">
      <c r="AA12415" t="s">
        <v>12852</v>
      </c>
    </row>
    <row r="12416" spans="27:27">
      <c r="AA12416" t="s">
        <v>12853</v>
      </c>
    </row>
    <row r="12417" spans="27:27">
      <c r="AA12417" t="s">
        <v>12854</v>
      </c>
    </row>
    <row r="12418" spans="27:27">
      <c r="AA12418" t="s">
        <v>1175</v>
      </c>
    </row>
    <row r="12419" spans="27:27">
      <c r="AA12419" t="s">
        <v>12855</v>
      </c>
    </row>
    <row r="12420" spans="27:27">
      <c r="AA12420" t="s">
        <v>12856</v>
      </c>
    </row>
    <row r="12421" spans="27:27">
      <c r="AA12421" t="s">
        <v>12857</v>
      </c>
    </row>
    <row r="12422" spans="27:27">
      <c r="AA12422" t="s">
        <v>1176</v>
      </c>
    </row>
    <row r="12423" spans="27:27">
      <c r="AA12423" t="s">
        <v>12858</v>
      </c>
    </row>
    <row r="12424" spans="27:27">
      <c r="AA12424" t="s">
        <v>12859</v>
      </c>
    </row>
    <row r="12425" spans="27:27">
      <c r="AA12425" t="s">
        <v>12860</v>
      </c>
    </row>
    <row r="12426" spans="27:27">
      <c r="AA12426" t="s">
        <v>1177</v>
      </c>
    </row>
    <row r="12427" spans="27:27">
      <c r="AA12427" t="s">
        <v>12861</v>
      </c>
    </row>
    <row r="12428" spans="27:27">
      <c r="AA12428" t="s">
        <v>3975</v>
      </c>
    </row>
    <row r="12429" spans="27:27">
      <c r="AA12429" t="s">
        <v>12862</v>
      </c>
    </row>
    <row r="12430" spans="27:27">
      <c r="AA12430" t="s">
        <v>12863</v>
      </c>
    </row>
    <row r="12431" spans="27:27">
      <c r="AA12431" t="s">
        <v>12864</v>
      </c>
    </row>
    <row r="12432" spans="27:27">
      <c r="AA12432" t="s">
        <v>12865</v>
      </c>
    </row>
    <row r="12433" spans="27:27">
      <c r="AA12433" t="s">
        <v>12866</v>
      </c>
    </row>
    <row r="12434" spans="27:27">
      <c r="AA12434" t="s">
        <v>1178</v>
      </c>
    </row>
    <row r="12435" spans="27:27">
      <c r="AA12435" t="s">
        <v>12867</v>
      </c>
    </row>
    <row r="12436" spans="27:27">
      <c r="AA12436" t="s">
        <v>12868</v>
      </c>
    </row>
    <row r="12437" spans="27:27">
      <c r="AA12437" t="s">
        <v>12869</v>
      </c>
    </row>
    <row r="12438" spans="27:27">
      <c r="AA12438" t="s">
        <v>3187</v>
      </c>
    </row>
    <row r="12439" spans="27:27">
      <c r="AA12439" t="s">
        <v>3188</v>
      </c>
    </row>
    <row r="12440" spans="27:27">
      <c r="AA12440" t="s">
        <v>3189</v>
      </c>
    </row>
    <row r="12441" spans="27:27">
      <c r="AA12441" t="s">
        <v>3190</v>
      </c>
    </row>
    <row r="12442" spans="27:27">
      <c r="AA12442" t="s">
        <v>3976</v>
      </c>
    </row>
    <row r="12443" spans="27:27">
      <c r="AA12443" t="s">
        <v>3191</v>
      </c>
    </row>
    <row r="12444" spans="27:27">
      <c r="AA12444" t="s">
        <v>3192</v>
      </c>
    </row>
    <row r="12445" spans="27:27">
      <c r="AA12445" t="s">
        <v>12870</v>
      </c>
    </row>
    <row r="12446" spans="27:27">
      <c r="AA12446" t="s">
        <v>3193</v>
      </c>
    </row>
    <row r="12447" spans="27:27">
      <c r="AA12447" t="s">
        <v>3194</v>
      </c>
    </row>
    <row r="12448" spans="27:27">
      <c r="AA12448" t="s">
        <v>12871</v>
      </c>
    </row>
    <row r="12449" spans="27:27">
      <c r="AA12449" t="s">
        <v>3195</v>
      </c>
    </row>
    <row r="12450" spans="27:27">
      <c r="AA12450" t="s">
        <v>12872</v>
      </c>
    </row>
    <row r="12451" spans="27:27">
      <c r="AA12451" t="s">
        <v>12873</v>
      </c>
    </row>
    <row r="12452" spans="27:27">
      <c r="AA12452" t="s">
        <v>12874</v>
      </c>
    </row>
    <row r="12453" spans="27:27">
      <c r="AA12453" t="s">
        <v>12875</v>
      </c>
    </row>
    <row r="12454" spans="27:27">
      <c r="AA12454" t="s">
        <v>12876</v>
      </c>
    </row>
    <row r="12455" spans="27:27">
      <c r="AA12455" t="s">
        <v>12877</v>
      </c>
    </row>
    <row r="12456" spans="27:27">
      <c r="AA12456" t="s">
        <v>12878</v>
      </c>
    </row>
    <row r="12457" spans="27:27">
      <c r="AA12457" t="s">
        <v>12879</v>
      </c>
    </row>
    <row r="12458" spans="27:27">
      <c r="AA12458" t="s">
        <v>12880</v>
      </c>
    </row>
    <row r="12459" spans="27:27">
      <c r="AA12459" t="s">
        <v>12881</v>
      </c>
    </row>
    <row r="12460" spans="27:27">
      <c r="AA12460" t="s">
        <v>12882</v>
      </c>
    </row>
    <row r="12461" spans="27:27">
      <c r="AA12461" t="s">
        <v>12883</v>
      </c>
    </row>
    <row r="12462" spans="27:27">
      <c r="AA12462" t="s">
        <v>12884</v>
      </c>
    </row>
    <row r="12463" spans="27:27">
      <c r="AA12463" t="s">
        <v>12885</v>
      </c>
    </row>
    <row r="12464" spans="27:27">
      <c r="AA12464" t="s">
        <v>12886</v>
      </c>
    </row>
    <row r="12465" spans="27:27">
      <c r="AA12465" t="s">
        <v>12887</v>
      </c>
    </row>
    <row r="12466" spans="27:27">
      <c r="AA12466" t="s">
        <v>12888</v>
      </c>
    </row>
    <row r="12467" spans="27:27">
      <c r="AA12467" t="s">
        <v>12889</v>
      </c>
    </row>
    <row r="12468" spans="27:27">
      <c r="AA12468" t="s">
        <v>12890</v>
      </c>
    </row>
    <row r="12469" spans="27:27">
      <c r="AA12469" t="s">
        <v>12891</v>
      </c>
    </row>
    <row r="12470" spans="27:27">
      <c r="AA12470" t="s">
        <v>12892</v>
      </c>
    </row>
    <row r="12471" spans="27:27">
      <c r="AA12471" t="s">
        <v>12893</v>
      </c>
    </row>
    <row r="12472" spans="27:27">
      <c r="AA12472" t="s">
        <v>12894</v>
      </c>
    </row>
    <row r="12473" spans="27:27">
      <c r="AA12473" t="s">
        <v>12895</v>
      </c>
    </row>
    <row r="12474" spans="27:27">
      <c r="AA12474" t="s">
        <v>12896</v>
      </c>
    </row>
    <row r="12475" spans="27:27">
      <c r="AA12475" t="s">
        <v>12897</v>
      </c>
    </row>
    <row r="12476" spans="27:27">
      <c r="AA12476" t="s">
        <v>12898</v>
      </c>
    </row>
    <row r="12477" spans="27:27">
      <c r="AA12477" t="s">
        <v>12899</v>
      </c>
    </row>
    <row r="12478" spans="27:27">
      <c r="AA12478" t="s">
        <v>12900</v>
      </c>
    </row>
    <row r="12479" spans="27:27">
      <c r="AA12479" t="s">
        <v>12901</v>
      </c>
    </row>
    <row r="12480" spans="27:27">
      <c r="AA12480" t="s">
        <v>12902</v>
      </c>
    </row>
    <row r="12481" spans="27:27">
      <c r="AA12481" t="s">
        <v>12903</v>
      </c>
    </row>
    <row r="12482" spans="27:27">
      <c r="AA12482" t="s">
        <v>12904</v>
      </c>
    </row>
    <row r="12483" spans="27:27">
      <c r="AA12483" t="s">
        <v>12905</v>
      </c>
    </row>
    <row r="12484" spans="27:27">
      <c r="AA12484" t="s">
        <v>3196</v>
      </c>
    </row>
    <row r="12485" spans="27:27">
      <c r="AA12485" t="s">
        <v>3197</v>
      </c>
    </row>
    <row r="12486" spans="27:27">
      <c r="AA12486" t="s">
        <v>12906</v>
      </c>
    </row>
    <row r="12487" spans="27:27">
      <c r="AA12487" t="s">
        <v>12907</v>
      </c>
    </row>
    <row r="12488" spans="27:27">
      <c r="AA12488" t="s">
        <v>12908</v>
      </c>
    </row>
    <row r="12489" spans="27:27">
      <c r="AA12489" t="s">
        <v>12909</v>
      </c>
    </row>
    <row r="12490" spans="27:27">
      <c r="AA12490" t="s">
        <v>3198</v>
      </c>
    </row>
    <row r="12491" spans="27:27">
      <c r="AA12491" t="s">
        <v>3199</v>
      </c>
    </row>
    <row r="12492" spans="27:27">
      <c r="AA12492" t="s">
        <v>12910</v>
      </c>
    </row>
    <row r="12493" spans="27:27">
      <c r="AA12493" t="s">
        <v>12911</v>
      </c>
    </row>
    <row r="12494" spans="27:27">
      <c r="AA12494" t="s">
        <v>12912</v>
      </c>
    </row>
    <row r="12495" spans="27:27">
      <c r="AA12495" t="s">
        <v>12913</v>
      </c>
    </row>
    <row r="12496" spans="27:27">
      <c r="AA12496" t="s">
        <v>12914</v>
      </c>
    </row>
    <row r="12497" spans="27:27">
      <c r="AA12497" t="s">
        <v>12915</v>
      </c>
    </row>
    <row r="12498" spans="27:27">
      <c r="AA12498" t="s">
        <v>3200</v>
      </c>
    </row>
    <row r="12499" spans="27:27">
      <c r="AA12499" t="s">
        <v>12916</v>
      </c>
    </row>
    <row r="12500" spans="27:27">
      <c r="AA12500" t="s">
        <v>3201</v>
      </c>
    </row>
    <row r="12501" spans="27:27">
      <c r="AA12501" t="s">
        <v>12917</v>
      </c>
    </row>
    <row r="12502" spans="27:27">
      <c r="AA12502" t="s">
        <v>12918</v>
      </c>
    </row>
    <row r="12503" spans="27:27">
      <c r="AA12503" t="s">
        <v>12919</v>
      </c>
    </row>
    <row r="12504" spans="27:27">
      <c r="AA12504" t="s">
        <v>12920</v>
      </c>
    </row>
    <row r="12505" spans="27:27">
      <c r="AA12505" t="s">
        <v>12921</v>
      </c>
    </row>
    <row r="12506" spans="27:27">
      <c r="AA12506" t="s">
        <v>12922</v>
      </c>
    </row>
    <row r="12507" spans="27:27">
      <c r="AA12507" t="s">
        <v>12923</v>
      </c>
    </row>
    <row r="12508" spans="27:27">
      <c r="AA12508" t="s">
        <v>12924</v>
      </c>
    </row>
    <row r="12509" spans="27:27">
      <c r="AA12509" t="s">
        <v>12925</v>
      </c>
    </row>
    <row r="12510" spans="27:27">
      <c r="AA12510" t="s">
        <v>12926</v>
      </c>
    </row>
    <row r="12511" spans="27:27">
      <c r="AA12511" t="s">
        <v>12927</v>
      </c>
    </row>
    <row r="12512" spans="27:27">
      <c r="AA12512" t="s">
        <v>12928</v>
      </c>
    </row>
    <row r="12513" spans="27:27">
      <c r="AA12513" t="s">
        <v>12929</v>
      </c>
    </row>
    <row r="12514" spans="27:27">
      <c r="AA12514" t="s">
        <v>12930</v>
      </c>
    </row>
    <row r="12515" spans="27:27">
      <c r="AA12515" t="s">
        <v>12931</v>
      </c>
    </row>
    <row r="12516" spans="27:27">
      <c r="AA12516" t="s">
        <v>12932</v>
      </c>
    </row>
    <row r="12517" spans="27:27">
      <c r="AA12517" t="s">
        <v>12933</v>
      </c>
    </row>
    <row r="12518" spans="27:27">
      <c r="AA12518" t="s">
        <v>12934</v>
      </c>
    </row>
    <row r="12519" spans="27:27">
      <c r="AA12519" t="s">
        <v>12935</v>
      </c>
    </row>
    <row r="12520" spans="27:27">
      <c r="AA12520" t="s">
        <v>12936</v>
      </c>
    </row>
    <row r="12521" spans="27:27">
      <c r="AA12521" t="s">
        <v>12937</v>
      </c>
    </row>
    <row r="12522" spans="27:27">
      <c r="AA12522" t="s">
        <v>12938</v>
      </c>
    </row>
    <row r="12523" spans="27:27">
      <c r="AA12523" t="s">
        <v>12939</v>
      </c>
    </row>
    <row r="12524" spans="27:27">
      <c r="AA12524" t="s">
        <v>12940</v>
      </c>
    </row>
    <row r="12525" spans="27:27">
      <c r="AA12525" t="s">
        <v>12941</v>
      </c>
    </row>
    <row r="12526" spans="27:27">
      <c r="AA12526" t="s">
        <v>12942</v>
      </c>
    </row>
    <row r="12527" spans="27:27">
      <c r="AA12527" t="s">
        <v>12943</v>
      </c>
    </row>
    <row r="12528" spans="27:27">
      <c r="AA12528" t="s">
        <v>12944</v>
      </c>
    </row>
    <row r="12529" spans="27:27">
      <c r="AA12529" t="s">
        <v>12945</v>
      </c>
    </row>
    <row r="12530" spans="27:27">
      <c r="AA12530" t="s">
        <v>12946</v>
      </c>
    </row>
    <row r="12531" spans="27:27">
      <c r="AA12531" t="s">
        <v>12947</v>
      </c>
    </row>
    <row r="12532" spans="27:27">
      <c r="AA12532" t="s">
        <v>12948</v>
      </c>
    </row>
    <row r="12533" spans="27:27">
      <c r="AA12533" t="s">
        <v>12949</v>
      </c>
    </row>
    <row r="12534" spans="27:27">
      <c r="AA12534" t="s">
        <v>12950</v>
      </c>
    </row>
    <row r="12535" spans="27:27">
      <c r="AA12535" t="s">
        <v>12951</v>
      </c>
    </row>
    <row r="12536" spans="27:27">
      <c r="AA12536" t="s">
        <v>12952</v>
      </c>
    </row>
    <row r="12537" spans="27:27">
      <c r="AA12537" t="s">
        <v>12953</v>
      </c>
    </row>
    <row r="12538" spans="27:27">
      <c r="AA12538" t="s">
        <v>3202</v>
      </c>
    </row>
    <row r="12539" spans="27:27">
      <c r="AA12539" t="s">
        <v>12954</v>
      </c>
    </row>
    <row r="12540" spans="27:27">
      <c r="AA12540" t="s">
        <v>3203</v>
      </c>
    </row>
    <row r="12541" spans="27:27">
      <c r="AA12541" t="s">
        <v>12955</v>
      </c>
    </row>
    <row r="12542" spans="27:27">
      <c r="AA12542" t="s">
        <v>12956</v>
      </c>
    </row>
    <row r="12543" spans="27:27">
      <c r="AA12543" t="s">
        <v>3977</v>
      </c>
    </row>
    <row r="12544" spans="27:27">
      <c r="AA12544" t="s">
        <v>3204</v>
      </c>
    </row>
    <row r="12545" spans="27:27">
      <c r="AA12545" t="s">
        <v>3205</v>
      </c>
    </row>
    <row r="12546" spans="27:27">
      <c r="AA12546" t="s">
        <v>3206</v>
      </c>
    </row>
    <row r="12547" spans="27:27">
      <c r="AA12547" t="s">
        <v>12957</v>
      </c>
    </row>
    <row r="12548" spans="27:27">
      <c r="AA12548" t="s">
        <v>3207</v>
      </c>
    </row>
    <row r="12549" spans="27:27">
      <c r="AA12549" t="s">
        <v>3978</v>
      </c>
    </row>
    <row r="12550" spans="27:27">
      <c r="AA12550" t="s">
        <v>3208</v>
      </c>
    </row>
    <row r="12551" spans="27:27">
      <c r="AA12551" t="s">
        <v>12958</v>
      </c>
    </row>
    <row r="12552" spans="27:27">
      <c r="AA12552" t="s">
        <v>3209</v>
      </c>
    </row>
    <row r="12553" spans="27:27">
      <c r="AA12553" t="s">
        <v>1179</v>
      </c>
    </row>
    <row r="12554" spans="27:27">
      <c r="AA12554" t="s">
        <v>12959</v>
      </c>
    </row>
    <row r="12555" spans="27:27">
      <c r="AA12555" t="s">
        <v>1180</v>
      </c>
    </row>
    <row r="12556" spans="27:27">
      <c r="AA12556" t="s">
        <v>1181</v>
      </c>
    </row>
    <row r="12557" spans="27:27">
      <c r="AA12557" t="s">
        <v>12960</v>
      </c>
    </row>
    <row r="12558" spans="27:27">
      <c r="AA12558" t="s">
        <v>1182</v>
      </c>
    </row>
    <row r="12559" spans="27:27">
      <c r="AA12559" t="s">
        <v>12961</v>
      </c>
    </row>
    <row r="12560" spans="27:27">
      <c r="AA12560" t="s">
        <v>12962</v>
      </c>
    </row>
    <row r="12561" spans="27:27">
      <c r="AA12561" t="s">
        <v>1183</v>
      </c>
    </row>
    <row r="12562" spans="27:27">
      <c r="AA12562" t="s">
        <v>12963</v>
      </c>
    </row>
    <row r="12563" spans="27:27">
      <c r="AA12563" t="s">
        <v>1184</v>
      </c>
    </row>
    <row r="12564" spans="27:27">
      <c r="AA12564" t="s">
        <v>1185</v>
      </c>
    </row>
    <row r="12565" spans="27:27">
      <c r="AA12565" t="s">
        <v>1186</v>
      </c>
    </row>
    <row r="12566" spans="27:27">
      <c r="AA12566" t="s">
        <v>12964</v>
      </c>
    </row>
    <row r="12567" spans="27:27">
      <c r="AA12567" t="s">
        <v>12965</v>
      </c>
    </row>
    <row r="12568" spans="27:27">
      <c r="AA12568" t="s">
        <v>1187</v>
      </c>
    </row>
    <row r="12569" spans="27:27">
      <c r="AA12569" t="s">
        <v>12966</v>
      </c>
    </row>
    <row r="12570" spans="27:27">
      <c r="AA12570" t="s">
        <v>1188</v>
      </c>
    </row>
    <row r="12571" spans="27:27">
      <c r="AA12571" t="s">
        <v>12967</v>
      </c>
    </row>
    <row r="12572" spans="27:27">
      <c r="AA12572" t="s">
        <v>12968</v>
      </c>
    </row>
    <row r="12573" spans="27:27">
      <c r="AA12573" t="s">
        <v>1189</v>
      </c>
    </row>
    <row r="12574" spans="27:27">
      <c r="AA12574" t="s">
        <v>1190</v>
      </c>
    </row>
    <row r="12575" spans="27:27">
      <c r="AA12575" t="s">
        <v>1191</v>
      </c>
    </row>
    <row r="12576" spans="27:27">
      <c r="AA12576" t="s">
        <v>12969</v>
      </c>
    </row>
    <row r="12577" spans="27:27">
      <c r="AA12577" t="s">
        <v>12970</v>
      </c>
    </row>
    <row r="12578" spans="27:27">
      <c r="AA12578" t="s">
        <v>12971</v>
      </c>
    </row>
    <row r="12579" spans="27:27">
      <c r="AA12579" t="s">
        <v>12972</v>
      </c>
    </row>
    <row r="12580" spans="27:27">
      <c r="AA12580" t="s">
        <v>12973</v>
      </c>
    </row>
    <row r="12581" spans="27:27">
      <c r="AA12581" t="s">
        <v>12974</v>
      </c>
    </row>
    <row r="12582" spans="27:27">
      <c r="AA12582" t="s">
        <v>1192</v>
      </c>
    </row>
    <row r="12583" spans="27:27">
      <c r="AA12583" t="s">
        <v>12975</v>
      </c>
    </row>
    <row r="12584" spans="27:27">
      <c r="AA12584" t="s">
        <v>1193</v>
      </c>
    </row>
    <row r="12585" spans="27:27">
      <c r="AA12585" t="s">
        <v>12976</v>
      </c>
    </row>
    <row r="12586" spans="27:27">
      <c r="AA12586" t="s">
        <v>1194</v>
      </c>
    </row>
    <row r="12587" spans="27:27">
      <c r="AA12587" t="s">
        <v>1195</v>
      </c>
    </row>
    <row r="12588" spans="27:27">
      <c r="AA12588" t="s">
        <v>1196</v>
      </c>
    </row>
    <row r="12589" spans="27:27">
      <c r="AA12589" t="s">
        <v>1197</v>
      </c>
    </row>
    <row r="12590" spans="27:27">
      <c r="AA12590" t="s">
        <v>12977</v>
      </c>
    </row>
    <row r="12591" spans="27:27">
      <c r="AA12591" t="s">
        <v>12978</v>
      </c>
    </row>
    <row r="12592" spans="27:27">
      <c r="AA12592" t="s">
        <v>1198</v>
      </c>
    </row>
    <row r="12593" spans="27:27">
      <c r="AA12593" t="s">
        <v>12979</v>
      </c>
    </row>
    <row r="12594" spans="27:27">
      <c r="AA12594" t="s">
        <v>12980</v>
      </c>
    </row>
    <row r="12595" spans="27:27">
      <c r="AA12595" t="s">
        <v>1199</v>
      </c>
    </row>
    <row r="12596" spans="27:27">
      <c r="AA12596" t="s">
        <v>12981</v>
      </c>
    </row>
    <row r="12597" spans="27:27">
      <c r="AA12597" t="s">
        <v>12982</v>
      </c>
    </row>
    <row r="12598" spans="27:27">
      <c r="AA12598" t="s">
        <v>12983</v>
      </c>
    </row>
    <row r="12599" spans="27:27">
      <c r="AA12599" t="s">
        <v>12984</v>
      </c>
    </row>
    <row r="12600" spans="27:27">
      <c r="AA12600" t="s">
        <v>12985</v>
      </c>
    </row>
    <row r="12601" spans="27:27">
      <c r="AA12601" t="s">
        <v>1200</v>
      </c>
    </row>
    <row r="12602" spans="27:27">
      <c r="AA12602" t="s">
        <v>1201</v>
      </c>
    </row>
    <row r="12603" spans="27:27">
      <c r="AA12603" t="s">
        <v>1202</v>
      </c>
    </row>
    <row r="12604" spans="27:27">
      <c r="AA12604" t="s">
        <v>12986</v>
      </c>
    </row>
    <row r="12605" spans="27:27">
      <c r="AA12605" t="s">
        <v>12987</v>
      </c>
    </row>
    <row r="12606" spans="27:27">
      <c r="AA12606" t="s">
        <v>1203</v>
      </c>
    </row>
    <row r="12607" spans="27:27">
      <c r="AA12607" t="s">
        <v>12988</v>
      </c>
    </row>
    <row r="12608" spans="27:27">
      <c r="AA12608" t="s">
        <v>12989</v>
      </c>
    </row>
    <row r="12609" spans="27:27">
      <c r="AA12609" t="s">
        <v>12990</v>
      </c>
    </row>
    <row r="12610" spans="27:27">
      <c r="AA12610" t="s">
        <v>1204</v>
      </c>
    </row>
    <row r="12611" spans="27:27">
      <c r="AA12611" t="s">
        <v>1205</v>
      </c>
    </row>
    <row r="12612" spans="27:27">
      <c r="AA12612" t="s">
        <v>1206</v>
      </c>
    </row>
    <row r="12613" spans="27:27">
      <c r="AA12613" t="s">
        <v>12991</v>
      </c>
    </row>
    <row r="12614" spans="27:27">
      <c r="AA12614" t="s">
        <v>12992</v>
      </c>
    </row>
    <row r="12615" spans="27:27">
      <c r="AA12615" t="s">
        <v>1207</v>
      </c>
    </row>
    <row r="12616" spans="27:27">
      <c r="AA12616" t="s">
        <v>12993</v>
      </c>
    </row>
    <row r="12617" spans="27:27">
      <c r="AA12617" t="s">
        <v>12994</v>
      </c>
    </row>
    <row r="12618" spans="27:27">
      <c r="AA12618" t="s">
        <v>1208</v>
      </c>
    </row>
    <row r="12619" spans="27:27">
      <c r="AA12619" t="s">
        <v>12995</v>
      </c>
    </row>
    <row r="12620" spans="27:27">
      <c r="AA12620" t="s">
        <v>12996</v>
      </c>
    </row>
    <row r="12621" spans="27:27">
      <c r="AA12621" t="s">
        <v>1209</v>
      </c>
    </row>
    <row r="12622" spans="27:27">
      <c r="AA12622" t="s">
        <v>12997</v>
      </c>
    </row>
    <row r="12623" spans="27:27">
      <c r="AA12623" t="s">
        <v>12998</v>
      </c>
    </row>
    <row r="12624" spans="27:27">
      <c r="AA12624" t="s">
        <v>1210</v>
      </c>
    </row>
    <row r="12625" spans="27:27">
      <c r="AA12625" t="s">
        <v>12999</v>
      </c>
    </row>
    <row r="12626" spans="27:27">
      <c r="AA12626" t="s">
        <v>13000</v>
      </c>
    </row>
    <row r="12627" spans="27:27">
      <c r="AA12627" t="s">
        <v>1211</v>
      </c>
    </row>
    <row r="12628" spans="27:27">
      <c r="AA12628" t="s">
        <v>13001</v>
      </c>
    </row>
    <row r="12629" spans="27:27">
      <c r="AA12629" t="s">
        <v>13002</v>
      </c>
    </row>
    <row r="12630" spans="27:27">
      <c r="AA12630" t="s">
        <v>1212</v>
      </c>
    </row>
    <row r="12631" spans="27:27">
      <c r="AA12631" t="s">
        <v>13003</v>
      </c>
    </row>
    <row r="12632" spans="27:27">
      <c r="AA12632" t="s">
        <v>13004</v>
      </c>
    </row>
    <row r="12633" spans="27:27">
      <c r="AA12633" t="s">
        <v>1213</v>
      </c>
    </row>
    <row r="12634" spans="27:27">
      <c r="AA12634" t="s">
        <v>13005</v>
      </c>
    </row>
    <row r="12635" spans="27:27">
      <c r="AA12635" t="s">
        <v>13006</v>
      </c>
    </row>
    <row r="12636" spans="27:27">
      <c r="AA12636" t="s">
        <v>1214</v>
      </c>
    </row>
    <row r="12637" spans="27:27">
      <c r="AA12637" t="s">
        <v>13007</v>
      </c>
    </row>
    <row r="12638" spans="27:27">
      <c r="AA12638" t="s">
        <v>13008</v>
      </c>
    </row>
    <row r="12639" spans="27:27">
      <c r="AA12639" t="s">
        <v>1215</v>
      </c>
    </row>
    <row r="12640" spans="27:27">
      <c r="AA12640" t="s">
        <v>13009</v>
      </c>
    </row>
    <row r="12641" spans="27:27">
      <c r="AA12641" t="s">
        <v>13010</v>
      </c>
    </row>
    <row r="12642" spans="27:27">
      <c r="AA12642" t="s">
        <v>1216</v>
      </c>
    </row>
    <row r="12643" spans="27:27">
      <c r="AA12643" t="s">
        <v>13011</v>
      </c>
    </row>
    <row r="12644" spans="27:27">
      <c r="AA12644" t="s">
        <v>13012</v>
      </c>
    </row>
    <row r="12645" spans="27:27">
      <c r="AA12645" t="s">
        <v>1217</v>
      </c>
    </row>
    <row r="12646" spans="27:27">
      <c r="AA12646" t="s">
        <v>13013</v>
      </c>
    </row>
    <row r="12647" spans="27:27">
      <c r="AA12647" t="s">
        <v>13014</v>
      </c>
    </row>
    <row r="12648" spans="27:27">
      <c r="AA12648" t="s">
        <v>1218</v>
      </c>
    </row>
    <row r="12649" spans="27:27">
      <c r="AA12649" t="s">
        <v>13015</v>
      </c>
    </row>
    <row r="12650" spans="27:27">
      <c r="AA12650" t="s">
        <v>13016</v>
      </c>
    </row>
    <row r="12651" spans="27:27">
      <c r="AA12651" t="s">
        <v>1219</v>
      </c>
    </row>
    <row r="12652" spans="27:27">
      <c r="AA12652" t="s">
        <v>1220</v>
      </c>
    </row>
    <row r="12653" spans="27:27">
      <c r="AA12653" t="s">
        <v>1221</v>
      </c>
    </row>
    <row r="12654" spans="27:27">
      <c r="AA12654" t="s">
        <v>1222</v>
      </c>
    </row>
    <row r="12655" spans="27:27">
      <c r="AA12655" t="s">
        <v>1223</v>
      </c>
    </row>
    <row r="12656" spans="27:27">
      <c r="AA12656" t="s">
        <v>1224</v>
      </c>
    </row>
    <row r="12657" spans="27:27">
      <c r="AA12657" t="s">
        <v>1225</v>
      </c>
    </row>
    <row r="12658" spans="27:27">
      <c r="AA12658" t="s">
        <v>13017</v>
      </c>
    </row>
    <row r="12659" spans="27:27">
      <c r="AA12659" t="s">
        <v>13018</v>
      </c>
    </row>
    <row r="12660" spans="27:27">
      <c r="AA12660" t="s">
        <v>13019</v>
      </c>
    </row>
    <row r="12661" spans="27:27">
      <c r="AA12661" t="s">
        <v>13020</v>
      </c>
    </row>
    <row r="12662" spans="27:27">
      <c r="AA12662" t="s">
        <v>13021</v>
      </c>
    </row>
    <row r="12663" spans="27:27">
      <c r="AA12663" t="s">
        <v>13022</v>
      </c>
    </row>
    <row r="12664" spans="27:27">
      <c r="AA12664" t="s">
        <v>13023</v>
      </c>
    </row>
    <row r="12665" spans="27:27">
      <c r="AA12665" t="s">
        <v>13024</v>
      </c>
    </row>
    <row r="12666" spans="27:27">
      <c r="AA12666" t="s">
        <v>13025</v>
      </c>
    </row>
    <row r="12667" spans="27:27">
      <c r="AA12667" t="s">
        <v>13026</v>
      </c>
    </row>
    <row r="12668" spans="27:27">
      <c r="AA12668" t="s">
        <v>13027</v>
      </c>
    </row>
    <row r="12669" spans="27:27">
      <c r="AA12669" t="s">
        <v>13028</v>
      </c>
    </row>
    <row r="12670" spans="27:27">
      <c r="AA12670" t="s">
        <v>13029</v>
      </c>
    </row>
    <row r="12671" spans="27:27">
      <c r="AA12671" t="s">
        <v>13030</v>
      </c>
    </row>
    <row r="12672" spans="27:27">
      <c r="AA12672" t="s">
        <v>13031</v>
      </c>
    </row>
    <row r="12673" spans="27:27">
      <c r="AA12673" t="s">
        <v>13032</v>
      </c>
    </row>
    <row r="12674" spans="27:27">
      <c r="AA12674" t="s">
        <v>13033</v>
      </c>
    </row>
    <row r="12675" spans="27:27">
      <c r="AA12675" t="s">
        <v>13034</v>
      </c>
    </row>
    <row r="12676" spans="27:27">
      <c r="AA12676" t="s">
        <v>13035</v>
      </c>
    </row>
    <row r="12677" spans="27:27">
      <c r="AA12677" t="s">
        <v>1226</v>
      </c>
    </row>
    <row r="12678" spans="27:27">
      <c r="AA12678" t="s">
        <v>1227</v>
      </c>
    </row>
    <row r="12679" spans="27:27">
      <c r="AA12679" t="s">
        <v>1228</v>
      </c>
    </row>
    <row r="12680" spans="27:27">
      <c r="AA12680" t="s">
        <v>1229</v>
      </c>
    </row>
    <row r="12681" spans="27:27">
      <c r="AA12681" t="s">
        <v>1230</v>
      </c>
    </row>
    <row r="12682" spans="27:27">
      <c r="AA12682" t="s">
        <v>1231</v>
      </c>
    </row>
    <row r="12683" spans="27:27">
      <c r="AA12683" t="s">
        <v>1232</v>
      </c>
    </row>
    <row r="12684" spans="27:27">
      <c r="AA12684" t="s">
        <v>1233</v>
      </c>
    </row>
    <row r="12685" spans="27:27">
      <c r="AA12685" t="s">
        <v>1234</v>
      </c>
    </row>
    <row r="12686" spans="27:27">
      <c r="AA12686" t="s">
        <v>3979</v>
      </c>
    </row>
    <row r="12687" spans="27:27">
      <c r="AA12687" t="s">
        <v>3210</v>
      </c>
    </row>
    <row r="12688" spans="27:27">
      <c r="AA12688" t="s">
        <v>3211</v>
      </c>
    </row>
    <row r="12689" spans="27:27">
      <c r="AA12689" t="s">
        <v>13036</v>
      </c>
    </row>
    <row r="12690" spans="27:27">
      <c r="AA12690" t="s">
        <v>3212</v>
      </c>
    </row>
    <row r="12691" spans="27:27">
      <c r="AA12691" t="s">
        <v>13037</v>
      </c>
    </row>
    <row r="12692" spans="27:27">
      <c r="AA12692" t="s">
        <v>13038</v>
      </c>
    </row>
    <row r="12693" spans="27:27">
      <c r="AA12693" t="s">
        <v>13039</v>
      </c>
    </row>
    <row r="12694" spans="27:27">
      <c r="AA12694" t="s">
        <v>13040</v>
      </c>
    </row>
    <row r="12695" spans="27:27">
      <c r="AA12695" t="s">
        <v>13041</v>
      </c>
    </row>
    <row r="12696" spans="27:27">
      <c r="AA12696" t="s">
        <v>13042</v>
      </c>
    </row>
    <row r="12697" spans="27:27">
      <c r="AA12697" t="s">
        <v>13043</v>
      </c>
    </row>
    <row r="12698" spans="27:27">
      <c r="AA12698" t="s">
        <v>13044</v>
      </c>
    </row>
    <row r="12699" spans="27:27">
      <c r="AA12699" t="s">
        <v>13045</v>
      </c>
    </row>
    <row r="12700" spans="27:27">
      <c r="AA12700" t="s">
        <v>13046</v>
      </c>
    </row>
    <row r="12701" spans="27:27">
      <c r="AA12701" t="s">
        <v>3213</v>
      </c>
    </row>
    <row r="12702" spans="27:27">
      <c r="AA12702" t="s">
        <v>3214</v>
      </c>
    </row>
    <row r="12703" spans="27:27">
      <c r="AA12703" t="s">
        <v>13047</v>
      </c>
    </row>
    <row r="12704" spans="27:27">
      <c r="AA12704" t="s">
        <v>13048</v>
      </c>
    </row>
    <row r="12705" spans="27:27">
      <c r="AA12705" t="s">
        <v>3215</v>
      </c>
    </row>
    <row r="12706" spans="27:27">
      <c r="AA12706" t="s">
        <v>13049</v>
      </c>
    </row>
    <row r="12707" spans="27:27">
      <c r="AA12707" t="s">
        <v>13050</v>
      </c>
    </row>
    <row r="12708" spans="27:27">
      <c r="AA12708" t="s">
        <v>13051</v>
      </c>
    </row>
    <row r="12709" spans="27:27">
      <c r="AA12709" t="s">
        <v>3216</v>
      </c>
    </row>
    <row r="12710" spans="27:27">
      <c r="AA12710" t="s">
        <v>13052</v>
      </c>
    </row>
    <row r="12711" spans="27:27">
      <c r="AA12711" t="s">
        <v>13053</v>
      </c>
    </row>
    <row r="12712" spans="27:27">
      <c r="AA12712" t="s">
        <v>13054</v>
      </c>
    </row>
    <row r="12713" spans="27:27">
      <c r="AA12713" t="s">
        <v>13055</v>
      </c>
    </row>
    <row r="12714" spans="27:27">
      <c r="AA12714" t="s">
        <v>3217</v>
      </c>
    </row>
    <row r="12715" spans="27:27">
      <c r="AA12715" t="s">
        <v>3980</v>
      </c>
    </row>
    <row r="12716" spans="27:27">
      <c r="AA12716" t="s">
        <v>3218</v>
      </c>
    </row>
    <row r="12717" spans="27:27">
      <c r="AA12717" t="s">
        <v>3219</v>
      </c>
    </row>
    <row r="12718" spans="27:27">
      <c r="AA12718" t="s">
        <v>3981</v>
      </c>
    </row>
    <row r="12719" spans="27:27">
      <c r="AA12719" t="s">
        <v>13056</v>
      </c>
    </row>
    <row r="12720" spans="27:27">
      <c r="AA12720" t="s">
        <v>13057</v>
      </c>
    </row>
    <row r="12721" spans="27:27">
      <c r="AA12721" t="s">
        <v>3220</v>
      </c>
    </row>
    <row r="12722" spans="27:27">
      <c r="AA12722" t="s">
        <v>13058</v>
      </c>
    </row>
    <row r="12723" spans="27:27">
      <c r="AA12723" t="s">
        <v>13059</v>
      </c>
    </row>
    <row r="12724" spans="27:27">
      <c r="AA12724" t="s">
        <v>3982</v>
      </c>
    </row>
    <row r="12725" spans="27:27">
      <c r="AA12725" t="s">
        <v>3221</v>
      </c>
    </row>
    <row r="12726" spans="27:27">
      <c r="AA12726" t="s">
        <v>3983</v>
      </c>
    </row>
    <row r="12727" spans="27:27">
      <c r="AA12727" t="s">
        <v>13060</v>
      </c>
    </row>
    <row r="12728" spans="27:27">
      <c r="AA12728" t="s">
        <v>13061</v>
      </c>
    </row>
    <row r="12729" spans="27:27">
      <c r="AA12729" t="s">
        <v>13062</v>
      </c>
    </row>
    <row r="12730" spans="27:27">
      <c r="AA12730" t="s">
        <v>3222</v>
      </c>
    </row>
    <row r="12731" spans="27:27">
      <c r="AA12731" t="s">
        <v>3984</v>
      </c>
    </row>
    <row r="12732" spans="27:27">
      <c r="AA12732" t="s">
        <v>13063</v>
      </c>
    </row>
    <row r="12733" spans="27:27">
      <c r="AA12733" t="s">
        <v>13064</v>
      </c>
    </row>
    <row r="12734" spans="27:27">
      <c r="AA12734" t="s">
        <v>13065</v>
      </c>
    </row>
    <row r="12735" spans="27:27">
      <c r="AA12735" t="s">
        <v>3223</v>
      </c>
    </row>
    <row r="12736" spans="27:27">
      <c r="AA12736" t="s">
        <v>3224</v>
      </c>
    </row>
    <row r="12737" spans="27:27">
      <c r="AA12737" t="s">
        <v>3225</v>
      </c>
    </row>
    <row r="12738" spans="27:27">
      <c r="AA12738" t="s">
        <v>3985</v>
      </c>
    </row>
    <row r="12739" spans="27:27">
      <c r="AA12739" t="s">
        <v>13066</v>
      </c>
    </row>
    <row r="12740" spans="27:27">
      <c r="AA12740" t="s">
        <v>13067</v>
      </c>
    </row>
    <row r="12741" spans="27:27">
      <c r="AA12741" t="s">
        <v>13068</v>
      </c>
    </row>
    <row r="12742" spans="27:27">
      <c r="AA12742" t="s">
        <v>13069</v>
      </c>
    </row>
    <row r="12743" spans="27:27">
      <c r="AA12743" t="s">
        <v>13070</v>
      </c>
    </row>
    <row r="12744" spans="27:27">
      <c r="AA12744" t="s">
        <v>13071</v>
      </c>
    </row>
    <row r="12745" spans="27:27">
      <c r="AA12745" t="s">
        <v>13072</v>
      </c>
    </row>
    <row r="12746" spans="27:27">
      <c r="AA12746" t="s">
        <v>3226</v>
      </c>
    </row>
    <row r="12747" spans="27:27">
      <c r="AA12747" t="s">
        <v>3227</v>
      </c>
    </row>
    <row r="12748" spans="27:27">
      <c r="AA12748" t="s">
        <v>3228</v>
      </c>
    </row>
    <row r="12749" spans="27:27">
      <c r="AA12749" t="s">
        <v>3986</v>
      </c>
    </row>
    <row r="12750" spans="27:27">
      <c r="AA12750" t="s">
        <v>13073</v>
      </c>
    </row>
    <row r="12751" spans="27:27">
      <c r="AA12751" t="s">
        <v>13074</v>
      </c>
    </row>
    <row r="12752" spans="27:27">
      <c r="AA12752" t="s">
        <v>13075</v>
      </c>
    </row>
    <row r="12753" spans="27:27">
      <c r="AA12753" t="s">
        <v>13076</v>
      </c>
    </row>
    <row r="12754" spans="27:27">
      <c r="AA12754" t="s">
        <v>13077</v>
      </c>
    </row>
    <row r="12755" spans="27:27">
      <c r="AA12755" t="s">
        <v>13078</v>
      </c>
    </row>
    <row r="12756" spans="27:27">
      <c r="AA12756" t="s">
        <v>13079</v>
      </c>
    </row>
    <row r="12757" spans="27:27">
      <c r="AA12757" t="s">
        <v>13080</v>
      </c>
    </row>
    <row r="12758" spans="27:27">
      <c r="AA12758" t="s">
        <v>13081</v>
      </c>
    </row>
    <row r="12759" spans="27:27">
      <c r="AA12759" t="s">
        <v>3987</v>
      </c>
    </row>
    <row r="12760" spans="27:27">
      <c r="AA12760" t="s">
        <v>13082</v>
      </c>
    </row>
    <row r="12761" spans="27:27">
      <c r="AA12761" t="s">
        <v>13083</v>
      </c>
    </row>
    <row r="12762" spans="27:27">
      <c r="AA12762" t="s">
        <v>13084</v>
      </c>
    </row>
    <row r="12763" spans="27:27">
      <c r="AA12763" t="s">
        <v>13085</v>
      </c>
    </row>
    <row r="12764" spans="27:27">
      <c r="AA12764" t="s">
        <v>13086</v>
      </c>
    </row>
    <row r="12765" spans="27:27">
      <c r="AA12765" t="s">
        <v>13087</v>
      </c>
    </row>
    <row r="12766" spans="27:27">
      <c r="AA12766" t="s">
        <v>3229</v>
      </c>
    </row>
    <row r="12767" spans="27:27">
      <c r="AA12767" t="s">
        <v>3230</v>
      </c>
    </row>
    <row r="12768" spans="27:27">
      <c r="AA12768" t="s">
        <v>13088</v>
      </c>
    </row>
    <row r="12769" spans="27:27">
      <c r="AA12769" t="s">
        <v>3231</v>
      </c>
    </row>
    <row r="12770" spans="27:27">
      <c r="AA12770" t="s">
        <v>3232</v>
      </c>
    </row>
    <row r="12771" spans="27:27">
      <c r="AA12771" t="s">
        <v>3233</v>
      </c>
    </row>
    <row r="12772" spans="27:27">
      <c r="AA12772" t="s">
        <v>3988</v>
      </c>
    </row>
    <row r="12773" spans="27:27">
      <c r="AA12773" t="s">
        <v>13089</v>
      </c>
    </row>
    <row r="12774" spans="27:27">
      <c r="AA12774" t="s">
        <v>3234</v>
      </c>
    </row>
    <row r="12775" spans="27:27">
      <c r="AA12775" t="s">
        <v>13090</v>
      </c>
    </row>
    <row r="12776" spans="27:27">
      <c r="AA12776" t="s">
        <v>13091</v>
      </c>
    </row>
    <row r="12777" spans="27:27">
      <c r="AA12777" t="s">
        <v>13092</v>
      </c>
    </row>
    <row r="12778" spans="27:27">
      <c r="AA12778" t="s">
        <v>13093</v>
      </c>
    </row>
    <row r="12779" spans="27:27">
      <c r="AA12779" t="s">
        <v>13094</v>
      </c>
    </row>
    <row r="12780" spans="27:27">
      <c r="AA12780" t="s">
        <v>13095</v>
      </c>
    </row>
    <row r="12781" spans="27:27">
      <c r="AA12781" t="s">
        <v>3235</v>
      </c>
    </row>
    <row r="12782" spans="27:27">
      <c r="AA12782" t="s">
        <v>3989</v>
      </c>
    </row>
    <row r="12783" spans="27:27">
      <c r="AA12783" t="s">
        <v>13096</v>
      </c>
    </row>
    <row r="12784" spans="27:27">
      <c r="AA12784" t="s">
        <v>13097</v>
      </c>
    </row>
    <row r="12785" spans="27:27">
      <c r="AA12785" t="s">
        <v>13098</v>
      </c>
    </row>
    <row r="12786" spans="27:27">
      <c r="AA12786" t="s">
        <v>3990</v>
      </c>
    </row>
    <row r="12787" spans="27:27">
      <c r="AA12787" t="s">
        <v>13099</v>
      </c>
    </row>
    <row r="12788" spans="27:27">
      <c r="AA12788" t="s">
        <v>13100</v>
      </c>
    </row>
    <row r="12789" spans="27:27">
      <c r="AA12789" t="s">
        <v>3236</v>
      </c>
    </row>
    <row r="12790" spans="27:27">
      <c r="AA12790" t="s">
        <v>3991</v>
      </c>
    </row>
    <row r="12791" spans="27:27">
      <c r="AA12791" t="s">
        <v>13101</v>
      </c>
    </row>
    <row r="12792" spans="27:27">
      <c r="AA12792" t="s">
        <v>13102</v>
      </c>
    </row>
    <row r="12793" spans="27:27">
      <c r="AA12793" t="s">
        <v>13103</v>
      </c>
    </row>
    <row r="12794" spans="27:27">
      <c r="AA12794" t="s">
        <v>3237</v>
      </c>
    </row>
    <row r="12795" spans="27:27">
      <c r="AA12795" t="s">
        <v>13104</v>
      </c>
    </row>
    <row r="12796" spans="27:27">
      <c r="AA12796" t="s">
        <v>13105</v>
      </c>
    </row>
    <row r="12797" spans="27:27">
      <c r="AA12797" t="s">
        <v>13106</v>
      </c>
    </row>
    <row r="12798" spans="27:27">
      <c r="AA12798" t="s">
        <v>3238</v>
      </c>
    </row>
    <row r="12799" spans="27:27">
      <c r="AA12799" t="s">
        <v>13107</v>
      </c>
    </row>
    <row r="12800" spans="27:27">
      <c r="AA12800" t="s">
        <v>13108</v>
      </c>
    </row>
    <row r="12801" spans="27:27">
      <c r="AA12801" t="s">
        <v>3992</v>
      </c>
    </row>
    <row r="12802" spans="27:27">
      <c r="AA12802" t="s">
        <v>3239</v>
      </c>
    </row>
    <row r="12803" spans="27:27">
      <c r="AA12803" t="s">
        <v>3993</v>
      </c>
    </row>
    <row r="12804" spans="27:27">
      <c r="AA12804" t="s">
        <v>13109</v>
      </c>
    </row>
    <row r="12805" spans="27:27">
      <c r="AA12805" t="s">
        <v>3994</v>
      </c>
    </row>
    <row r="12806" spans="27:27">
      <c r="AA12806" t="s">
        <v>13110</v>
      </c>
    </row>
    <row r="12807" spans="27:27">
      <c r="AA12807" t="s">
        <v>13111</v>
      </c>
    </row>
    <row r="12808" spans="27:27">
      <c r="AA12808" t="s">
        <v>13112</v>
      </c>
    </row>
    <row r="12809" spans="27:27">
      <c r="AA12809" t="s">
        <v>3240</v>
      </c>
    </row>
    <row r="12810" spans="27:27">
      <c r="AA12810" t="s">
        <v>13113</v>
      </c>
    </row>
    <row r="12811" spans="27:27">
      <c r="AA12811" t="s">
        <v>3241</v>
      </c>
    </row>
    <row r="12812" spans="27:27">
      <c r="AA12812" t="s">
        <v>13114</v>
      </c>
    </row>
    <row r="12813" spans="27:27">
      <c r="AA12813" t="s">
        <v>3242</v>
      </c>
    </row>
    <row r="12814" spans="27:27">
      <c r="AA12814" t="s">
        <v>3243</v>
      </c>
    </row>
    <row r="12815" spans="27:27">
      <c r="AA12815" t="s">
        <v>13115</v>
      </c>
    </row>
    <row r="12816" spans="27:27">
      <c r="AA12816" t="s">
        <v>3244</v>
      </c>
    </row>
    <row r="12817" spans="27:27">
      <c r="AA12817" t="s">
        <v>13116</v>
      </c>
    </row>
    <row r="12818" spans="27:27">
      <c r="AA12818" t="s">
        <v>13117</v>
      </c>
    </row>
    <row r="12819" spans="27:27">
      <c r="AA12819" t="s">
        <v>13118</v>
      </c>
    </row>
    <row r="12820" spans="27:27">
      <c r="AA12820" t="s">
        <v>13119</v>
      </c>
    </row>
    <row r="12821" spans="27:27">
      <c r="AA12821" t="s">
        <v>13120</v>
      </c>
    </row>
    <row r="12822" spans="27:27">
      <c r="AA12822" t="s">
        <v>3245</v>
      </c>
    </row>
    <row r="12823" spans="27:27">
      <c r="AA12823" t="s">
        <v>3995</v>
      </c>
    </row>
    <row r="12824" spans="27:27">
      <c r="AA12824" t="s">
        <v>3246</v>
      </c>
    </row>
    <row r="12825" spans="27:27">
      <c r="AA12825" t="s">
        <v>13121</v>
      </c>
    </row>
    <row r="12826" spans="27:27">
      <c r="AA12826" t="s">
        <v>3996</v>
      </c>
    </row>
    <row r="12827" spans="27:27">
      <c r="AA12827" t="s">
        <v>13122</v>
      </c>
    </row>
    <row r="12828" spans="27:27">
      <c r="AA12828" t="s">
        <v>13123</v>
      </c>
    </row>
    <row r="12829" spans="27:27">
      <c r="AA12829" t="s">
        <v>13124</v>
      </c>
    </row>
    <row r="12830" spans="27:27">
      <c r="AA12830" t="s">
        <v>13125</v>
      </c>
    </row>
    <row r="12831" spans="27:27">
      <c r="AA12831" t="s">
        <v>13126</v>
      </c>
    </row>
    <row r="12832" spans="27:27">
      <c r="AA12832" t="s">
        <v>3997</v>
      </c>
    </row>
    <row r="12833" spans="27:27">
      <c r="AA12833" t="s">
        <v>13127</v>
      </c>
    </row>
    <row r="12834" spans="27:27">
      <c r="AA12834" t="s">
        <v>13128</v>
      </c>
    </row>
    <row r="12835" spans="27:27">
      <c r="AA12835" t="s">
        <v>13129</v>
      </c>
    </row>
    <row r="12836" spans="27:27">
      <c r="AA12836" t="s">
        <v>13130</v>
      </c>
    </row>
    <row r="12837" spans="27:27">
      <c r="AA12837" t="s">
        <v>13131</v>
      </c>
    </row>
    <row r="12838" spans="27:27">
      <c r="AA12838" t="s">
        <v>3998</v>
      </c>
    </row>
    <row r="12839" spans="27:27">
      <c r="AA12839" t="s">
        <v>13132</v>
      </c>
    </row>
    <row r="12840" spans="27:27">
      <c r="AA12840" t="s">
        <v>13133</v>
      </c>
    </row>
    <row r="12841" spans="27:27">
      <c r="AA12841" t="s">
        <v>13134</v>
      </c>
    </row>
    <row r="12842" spans="27:27">
      <c r="AA12842" t="s">
        <v>13135</v>
      </c>
    </row>
    <row r="12843" spans="27:27">
      <c r="AA12843" t="s">
        <v>13136</v>
      </c>
    </row>
    <row r="12844" spans="27:27">
      <c r="AA12844" t="s">
        <v>3999</v>
      </c>
    </row>
    <row r="12845" spans="27:27">
      <c r="AA12845" t="s">
        <v>13137</v>
      </c>
    </row>
    <row r="12846" spans="27:27">
      <c r="AA12846" t="s">
        <v>13138</v>
      </c>
    </row>
    <row r="12847" spans="27:27">
      <c r="AA12847" t="s">
        <v>13139</v>
      </c>
    </row>
    <row r="12848" spans="27:27">
      <c r="AA12848" t="s">
        <v>13140</v>
      </c>
    </row>
    <row r="12849" spans="27:27">
      <c r="AA12849" t="s">
        <v>13141</v>
      </c>
    </row>
    <row r="12850" spans="27:27">
      <c r="AA12850" t="s">
        <v>4000</v>
      </c>
    </row>
    <row r="12851" spans="27:27">
      <c r="AA12851" t="s">
        <v>13142</v>
      </c>
    </row>
    <row r="12852" spans="27:27">
      <c r="AA12852" t="s">
        <v>13143</v>
      </c>
    </row>
    <row r="12853" spans="27:27">
      <c r="AA12853" t="s">
        <v>13144</v>
      </c>
    </row>
    <row r="12854" spans="27:27">
      <c r="AA12854" t="s">
        <v>13145</v>
      </c>
    </row>
    <row r="12855" spans="27:27">
      <c r="AA12855" t="s">
        <v>3247</v>
      </c>
    </row>
    <row r="12856" spans="27:27">
      <c r="AA12856" t="s">
        <v>13146</v>
      </c>
    </row>
    <row r="12857" spans="27:27">
      <c r="AA12857" t="s">
        <v>3248</v>
      </c>
    </row>
    <row r="12858" spans="27:27">
      <c r="AA12858" t="s">
        <v>13147</v>
      </c>
    </row>
    <row r="12859" spans="27:27">
      <c r="AA12859" t="s">
        <v>13148</v>
      </c>
    </row>
    <row r="12860" spans="27:27">
      <c r="AA12860" t="s">
        <v>13149</v>
      </c>
    </row>
    <row r="12861" spans="27:27">
      <c r="AA12861" t="s">
        <v>13150</v>
      </c>
    </row>
    <row r="12862" spans="27:27">
      <c r="AA12862" t="s">
        <v>3249</v>
      </c>
    </row>
    <row r="12863" spans="27:27">
      <c r="AA12863" t="s">
        <v>13151</v>
      </c>
    </row>
    <row r="12864" spans="27:27">
      <c r="AA12864" t="s">
        <v>13152</v>
      </c>
    </row>
    <row r="12865" spans="27:27">
      <c r="AA12865" t="s">
        <v>13153</v>
      </c>
    </row>
    <row r="12866" spans="27:27">
      <c r="AA12866" t="s">
        <v>13154</v>
      </c>
    </row>
    <row r="12867" spans="27:27">
      <c r="AA12867" t="s">
        <v>3250</v>
      </c>
    </row>
    <row r="12868" spans="27:27">
      <c r="AA12868" t="s">
        <v>13155</v>
      </c>
    </row>
    <row r="12869" spans="27:27">
      <c r="AA12869" t="s">
        <v>13156</v>
      </c>
    </row>
    <row r="12870" spans="27:27">
      <c r="AA12870" t="s">
        <v>13157</v>
      </c>
    </row>
    <row r="12871" spans="27:27">
      <c r="AA12871" t="s">
        <v>13158</v>
      </c>
    </row>
    <row r="12872" spans="27:27">
      <c r="AA12872" t="s">
        <v>3251</v>
      </c>
    </row>
    <row r="12873" spans="27:27">
      <c r="AA12873" t="s">
        <v>13159</v>
      </c>
    </row>
    <row r="12874" spans="27:27">
      <c r="AA12874" t="s">
        <v>13160</v>
      </c>
    </row>
    <row r="12875" spans="27:27">
      <c r="AA12875" t="s">
        <v>13161</v>
      </c>
    </row>
    <row r="12876" spans="27:27">
      <c r="AA12876" t="s">
        <v>13162</v>
      </c>
    </row>
    <row r="12877" spans="27:27">
      <c r="AA12877" t="s">
        <v>3252</v>
      </c>
    </row>
    <row r="12878" spans="27:27">
      <c r="AA12878" t="s">
        <v>13163</v>
      </c>
    </row>
    <row r="12879" spans="27:27">
      <c r="AA12879" t="s">
        <v>13164</v>
      </c>
    </row>
    <row r="12880" spans="27:27">
      <c r="AA12880" t="s">
        <v>13165</v>
      </c>
    </row>
    <row r="12881" spans="27:27">
      <c r="AA12881" t="s">
        <v>13166</v>
      </c>
    </row>
    <row r="12882" spans="27:27">
      <c r="AA12882" t="s">
        <v>3253</v>
      </c>
    </row>
    <row r="12883" spans="27:27">
      <c r="AA12883" t="s">
        <v>13167</v>
      </c>
    </row>
    <row r="12884" spans="27:27">
      <c r="AA12884" t="s">
        <v>4001</v>
      </c>
    </row>
    <row r="12885" spans="27:27">
      <c r="AA12885" t="s">
        <v>13168</v>
      </c>
    </row>
    <row r="12886" spans="27:27">
      <c r="AA12886" t="s">
        <v>13169</v>
      </c>
    </row>
    <row r="12887" spans="27:27">
      <c r="AA12887" t="s">
        <v>3254</v>
      </c>
    </row>
    <row r="12888" spans="27:27">
      <c r="AA12888" t="s">
        <v>3255</v>
      </c>
    </row>
    <row r="12889" spans="27:27">
      <c r="AA12889" t="s">
        <v>3256</v>
      </c>
    </row>
    <row r="12890" spans="27:27">
      <c r="AA12890" t="s">
        <v>4002</v>
      </c>
    </row>
    <row r="12891" spans="27:27">
      <c r="AA12891" t="s">
        <v>13170</v>
      </c>
    </row>
    <row r="12892" spans="27:27">
      <c r="AA12892" t="s">
        <v>13171</v>
      </c>
    </row>
    <row r="12893" spans="27:27">
      <c r="AA12893" t="s">
        <v>13172</v>
      </c>
    </row>
    <row r="12894" spans="27:27">
      <c r="AA12894" t="s">
        <v>13173</v>
      </c>
    </row>
    <row r="12895" spans="27:27">
      <c r="AA12895" t="s">
        <v>4003</v>
      </c>
    </row>
    <row r="12896" spans="27:27">
      <c r="AA12896" t="s">
        <v>3257</v>
      </c>
    </row>
    <row r="12897" spans="27:27">
      <c r="AA12897" t="s">
        <v>4004</v>
      </c>
    </row>
    <row r="12898" spans="27:27">
      <c r="AA12898" t="s">
        <v>13174</v>
      </c>
    </row>
    <row r="12899" spans="27:27">
      <c r="AA12899" t="s">
        <v>13175</v>
      </c>
    </row>
    <row r="12900" spans="27:27">
      <c r="AA12900" t="s">
        <v>13176</v>
      </c>
    </row>
    <row r="12901" spans="27:27">
      <c r="AA12901" t="s">
        <v>4005</v>
      </c>
    </row>
    <row r="12902" spans="27:27">
      <c r="AA12902" t="s">
        <v>3258</v>
      </c>
    </row>
    <row r="12903" spans="27:27">
      <c r="AA12903" t="s">
        <v>4006</v>
      </c>
    </row>
    <row r="12904" spans="27:27">
      <c r="AA12904" t="s">
        <v>13177</v>
      </c>
    </row>
    <row r="12905" spans="27:27">
      <c r="AA12905" t="s">
        <v>13178</v>
      </c>
    </row>
    <row r="12906" spans="27:27">
      <c r="AA12906" t="s">
        <v>13179</v>
      </c>
    </row>
    <row r="12907" spans="27:27">
      <c r="AA12907" t="s">
        <v>13180</v>
      </c>
    </row>
    <row r="12908" spans="27:27">
      <c r="AA12908" t="s">
        <v>13181</v>
      </c>
    </row>
    <row r="12909" spans="27:27">
      <c r="AA12909" t="s">
        <v>13182</v>
      </c>
    </row>
    <row r="12910" spans="27:27">
      <c r="AA12910" t="s">
        <v>13183</v>
      </c>
    </row>
    <row r="12911" spans="27:27">
      <c r="AA12911" t="s">
        <v>13184</v>
      </c>
    </row>
    <row r="12912" spans="27:27">
      <c r="AA12912" t="s">
        <v>3259</v>
      </c>
    </row>
    <row r="12913" spans="27:27">
      <c r="AA12913" t="s">
        <v>4007</v>
      </c>
    </row>
    <row r="12914" spans="27:27">
      <c r="AA12914" t="s">
        <v>13185</v>
      </c>
    </row>
    <row r="12915" spans="27:27">
      <c r="AA12915" t="s">
        <v>13186</v>
      </c>
    </row>
    <row r="12916" spans="27:27">
      <c r="AA12916" t="s">
        <v>13187</v>
      </c>
    </row>
    <row r="12917" spans="27:27">
      <c r="AA12917" t="s">
        <v>13188</v>
      </c>
    </row>
    <row r="12918" spans="27:27">
      <c r="AA12918" t="s">
        <v>13189</v>
      </c>
    </row>
    <row r="12919" spans="27:27">
      <c r="AA12919" t="s">
        <v>13190</v>
      </c>
    </row>
    <row r="12920" spans="27:27">
      <c r="AA12920" t="s">
        <v>13191</v>
      </c>
    </row>
    <row r="12921" spans="27:27">
      <c r="AA12921" t="s">
        <v>13192</v>
      </c>
    </row>
    <row r="12922" spans="27:27">
      <c r="AA12922" t="s">
        <v>13193</v>
      </c>
    </row>
    <row r="12923" spans="27:27">
      <c r="AA12923" t="s">
        <v>3260</v>
      </c>
    </row>
    <row r="12924" spans="27:27">
      <c r="AA12924" t="s">
        <v>4008</v>
      </c>
    </row>
    <row r="12925" spans="27:27">
      <c r="AA12925" t="s">
        <v>13194</v>
      </c>
    </row>
    <row r="12926" spans="27:27">
      <c r="AA12926" t="s">
        <v>13195</v>
      </c>
    </row>
    <row r="12927" spans="27:27">
      <c r="AA12927" t="s">
        <v>13196</v>
      </c>
    </row>
    <row r="12928" spans="27:27">
      <c r="AA12928" t="s">
        <v>4009</v>
      </c>
    </row>
    <row r="12929" spans="27:27">
      <c r="AA12929" t="s">
        <v>3261</v>
      </c>
    </row>
    <row r="12930" spans="27:27">
      <c r="AA12930" t="s">
        <v>4010</v>
      </c>
    </row>
    <row r="12931" spans="27:27">
      <c r="AA12931" t="s">
        <v>13197</v>
      </c>
    </row>
    <row r="12932" spans="27:27">
      <c r="AA12932" t="s">
        <v>13198</v>
      </c>
    </row>
    <row r="12933" spans="27:27">
      <c r="AA12933" t="s">
        <v>13199</v>
      </c>
    </row>
    <row r="12934" spans="27:27">
      <c r="AA12934" t="s">
        <v>13200</v>
      </c>
    </row>
    <row r="12935" spans="27:27">
      <c r="AA12935" t="s">
        <v>13201</v>
      </c>
    </row>
    <row r="12936" spans="27:27">
      <c r="AA12936" t="s">
        <v>13202</v>
      </c>
    </row>
    <row r="12937" spans="27:27">
      <c r="AA12937" t="s">
        <v>13203</v>
      </c>
    </row>
    <row r="12938" spans="27:27">
      <c r="AA12938" t="s">
        <v>13204</v>
      </c>
    </row>
    <row r="12939" spans="27:27">
      <c r="AA12939" t="s">
        <v>13205</v>
      </c>
    </row>
    <row r="12940" spans="27:27">
      <c r="AA12940" t="s">
        <v>3262</v>
      </c>
    </row>
    <row r="12941" spans="27:27">
      <c r="AA12941" t="s">
        <v>4011</v>
      </c>
    </row>
    <row r="12942" spans="27:27">
      <c r="AA12942" t="s">
        <v>13206</v>
      </c>
    </row>
    <row r="12943" spans="27:27">
      <c r="AA12943" t="s">
        <v>13207</v>
      </c>
    </row>
    <row r="12944" spans="27:27">
      <c r="AA12944" t="s">
        <v>13208</v>
      </c>
    </row>
    <row r="12945" spans="27:27">
      <c r="AA12945" t="s">
        <v>13209</v>
      </c>
    </row>
    <row r="12946" spans="27:27">
      <c r="AA12946" t="s">
        <v>13210</v>
      </c>
    </row>
    <row r="12947" spans="27:27">
      <c r="AA12947" t="s">
        <v>13211</v>
      </c>
    </row>
    <row r="12948" spans="27:27">
      <c r="AA12948" t="s">
        <v>13212</v>
      </c>
    </row>
    <row r="12949" spans="27:27">
      <c r="AA12949" t="s">
        <v>13213</v>
      </c>
    </row>
    <row r="12950" spans="27:27">
      <c r="AA12950" t="s">
        <v>13214</v>
      </c>
    </row>
    <row r="12951" spans="27:27">
      <c r="AA12951" t="s">
        <v>3263</v>
      </c>
    </row>
    <row r="12952" spans="27:27">
      <c r="AA12952" t="s">
        <v>4012</v>
      </c>
    </row>
    <row r="12953" spans="27:27">
      <c r="AA12953" t="s">
        <v>13215</v>
      </c>
    </row>
    <row r="12954" spans="27:27">
      <c r="AA12954" t="s">
        <v>13216</v>
      </c>
    </row>
    <row r="12955" spans="27:27">
      <c r="AA12955" t="s">
        <v>13217</v>
      </c>
    </row>
    <row r="12956" spans="27:27">
      <c r="AA12956" t="s">
        <v>13218</v>
      </c>
    </row>
    <row r="12957" spans="27:27">
      <c r="AA12957" t="s">
        <v>3264</v>
      </c>
    </row>
    <row r="12958" spans="27:27">
      <c r="AA12958" t="s">
        <v>13219</v>
      </c>
    </row>
    <row r="12959" spans="27:27">
      <c r="AA12959" t="s">
        <v>13220</v>
      </c>
    </row>
    <row r="12960" spans="27:27">
      <c r="AA12960" t="s">
        <v>13221</v>
      </c>
    </row>
    <row r="12961" spans="27:27">
      <c r="AA12961" t="s">
        <v>3265</v>
      </c>
    </row>
    <row r="12962" spans="27:27">
      <c r="AA12962" t="s">
        <v>13222</v>
      </c>
    </row>
    <row r="12963" spans="27:27">
      <c r="AA12963" t="s">
        <v>13223</v>
      </c>
    </row>
    <row r="12964" spans="27:27">
      <c r="AA12964" t="s">
        <v>4013</v>
      </c>
    </row>
    <row r="12965" spans="27:27">
      <c r="AA12965" t="s">
        <v>3266</v>
      </c>
    </row>
    <row r="12966" spans="27:27">
      <c r="AA12966" t="s">
        <v>4014</v>
      </c>
    </row>
    <row r="12967" spans="27:27">
      <c r="AA12967" t="s">
        <v>13224</v>
      </c>
    </row>
    <row r="12968" spans="27:27">
      <c r="AA12968" t="s">
        <v>4015</v>
      </c>
    </row>
    <row r="12969" spans="27:27">
      <c r="AA12969" t="s">
        <v>3267</v>
      </c>
    </row>
    <row r="12970" spans="27:27">
      <c r="AA12970" t="s">
        <v>13225</v>
      </c>
    </row>
    <row r="12971" spans="27:27">
      <c r="AA12971" t="s">
        <v>13226</v>
      </c>
    </row>
    <row r="12972" spans="27:27">
      <c r="AA12972" t="s">
        <v>13227</v>
      </c>
    </row>
    <row r="12973" spans="27:27">
      <c r="AA12973" t="s">
        <v>3268</v>
      </c>
    </row>
    <row r="12974" spans="27:27">
      <c r="AA12974" t="s">
        <v>3269</v>
      </c>
    </row>
    <row r="12975" spans="27:27">
      <c r="AA12975" t="s">
        <v>4016</v>
      </c>
    </row>
    <row r="12976" spans="27:27">
      <c r="AA12976" t="s">
        <v>13228</v>
      </c>
    </row>
    <row r="12977" spans="27:27">
      <c r="AA12977" t="s">
        <v>13229</v>
      </c>
    </row>
    <row r="12978" spans="27:27">
      <c r="AA12978" t="s">
        <v>13230</v>
      </c>
    </row>
    <row r="12979" spans="27:27">
      <c r="AA12979" t="s">
        <v>13231</v>
      </c>
    </row>
    <row r="12980" spans="27:27">
      <c r="AA12980" t="s">
        <v>13232</v>
      </c>
    </row>
    <row r="12981" spans="27:27">
      <c r="AA12981" t="s">
        <v>13233</v>
      </c>
    </row>
    <row r="12982" spans="27:27">
      <c r="AA12982" t="s">
        <v>3270</v>
      </c>
    </row>
    <row r="12983" spans="27:27">
      <c r="AA12983" t="s">
        <v>13234</v>
      </c>
    </row>
    <row r="12984" spans="27:27">
      <c r="AA12984" t="s">
        <v>3271</v>
      </c>
    </row>
    <row r="12985" spans="27:27">
      <c r="AA12985" t="s">
        <v>13235</v>
      </c>
    </row>
    <row r="12986" spans="27:27">
      <c r="AA12986" t="s">
        <v>3272</v>
      </c>
    </row>
    <row r="12987" spans="27:27">
      <c r="AA12987" t="s">
        <v>13236</v>
      </c>
    </row>
    <row r="12988" spans="27:27">
      <c r="AA12988" t="s">
        <v>3273</v>
      </c>
    </row>
    <row r="12989" spans="27:27">
      <c r="AA12989" t="s">
        <v>3274</v>
      </c>
    </row>
    <row r="12990" spans="27:27">
      <c r="AA12990" t="s">
        <v>13237</v>
      </c>
    </row>
    <row r="12991" spans="27:27">
      <c r="AA12991" t="s">
        <v>3275</v>
      </c>
    </row>
    <row r="12992" spans="27:27">
      <c r="AA12992" t="s">
        <v>4017</v>
      </c>
    </row>
    <row r="12993" spans="27:27">
      <c r="AA12993" t="s">
        <v>3276</v>
      </c>
    </row>
    <row r="12994" spans="27:27">
      <c r="AA12994" t="s">
        <v>13238</v>
      </c>
    </row>
    <row r="12995" spans="27:27">
      <c r="AA12995" t="s">
        <v>13239</v>
      </c>
    </row>
    <row r="12996" spans="27:27">
      <c r="AA12996" t="s">
        <v>13240</v>
      </c>
    </row>
    <row r="12997" spans="27:27">
      <c r="AA12997" t="s">
        <v>13241</v>
      </c>
    </row>
    <row r="12998" spans="27:27">
      <c r="AA12998" t="s">
        <v>13242</v>
      </c>
    </row>
    <row r="12999" spans="27:27">
      <c r="AA12999" t="s">
        <v>13243</v>
      </c>
    </row>
    <row r="13000" spans="27:27">
      <c r="AA13000" t="s">
        <v>13244</v>
      </c>
    </row>
    <row r="13001" spans="27:27">
      <c r="AA13001" t="s">
        <v>13245</v>
      </c>
    </row>
    <row r="13002" spans="27:27">
      <c r="AA13002" t="s">
        <v>13246</v>
      </c>
    </row>
    <row r="13003" spans="27:27">
      <c r="AA13003" t="s">
        <v>13247</v>
      </c>
    </row>
    <row r="13004" spans="27:27">
      <c r="AA13004" t="s">
        <v>13248</v>
      </c>
    </row>
    <row r="13005" spans="27:27">
      <c r="AA13005" t="s">
        <v>3277</v>
      </c>
    </row>
    <row r="13006" spans="27:27">
      <c r="AA13006" t="s">
        <v>4018</v>
      </c>
    </row>
    <row r="13007" spans="27:27">
      <c r="AA13007" t="s">
        <v>3278</v>
      </c>
    </row>
    <row r="13008" spans="27:27">
      <c r="AA13008" t="s">
        <v>4019</v>
      </c>
    </row>
    <row r="13009" spans="27:27">
      <c r="AA13009" t="s">
        <v>13249</v>
      </c>
    </row>
    <row r="13010" spans="27:27">
      <c r="AA13010" t="s">
        <v>13250</v>
      </c>
    </row>
    <row r="13011" spans="27:27">
      <c r="AA13011" t="s">
        <v>13251</v>
      </c>
    </row>
    <row r="13012" spans="27:27">
      <c r="AA13012" t="s">
        <v>4020</v>
      </c>
    </row>
    <row r="13013" spans="27:27">
      <c r="AA13013" t="s">
        <v>13252</v>
      </c>
    </row>
    <row r="13014" spans="27:27">
      <c r="AA13014" t="s">
        <v>13253</v>
      </c>
    </row>
    <row r="13015" spans="27:27">
      <c r="AA13015" t="s">
        <v>13254</v>
      </c>
    </row>
    <row r="13016" spans="27:27">
      <c r="AA13016" t="s">
        <v>4021</v>
      </c>
    </row>
    <row r="13017" spans="27:27">
      <c r="AA13017" t="s">
        <v>13255</v>
      </c>
    </row>
    <row r="13018" spans="27:27">
      <c r="AA13018" t="s">
        <v>13256</v>
      </c>
    </row>
    <row r="13019" spans="27:27">
      <c r="AA13019" t="s">
        <v>13257</v>
      </c>
    </row>
    <row r="13020" spans="27:27">
      <c r="AA13020" t="s">
        <v>4022</v>
      </c>
    </row>
    <row r="13021" spans="27:27">
      <c r="AA13021" t="s">
        <v>13258</v>
      </c>
    </row>
    <row r="13022" spans="27:27">
      <c r="AA13022" t="s">
        <v>13259</v>
      </c>
    </row>
    <row r="13023" spans="27:27">
      <c r="AA13023" t="s">
        <v>13260</v>
      </c>
    </row>
    <row r="13024" spans="27:27">
      <c r="AA13024" t="s">
        <v>4023</v>
      </c>
    </row>
    <row r="13025" spans="27:27">
      <c r="AA13025" t="s">
        <v>13261</v>
      </c>
    </row>
    <row r="13026" spans="27:27">
      <c r="AA13026" t="s">
        <v>13262</v>
      </c>
    </row>
    <row r="13027" spans="27:27">
      <c r="AA13027" t="s">
        <v>13263</v>
      </c>
    </row>
    <row r="13028" spans="27:27">
      <c r="AA13028" t="s">
        <v>4024</v>
      </c>
    </row>
    <row r="13029" spans="27:27">
      <c r="AA13029" t="s">
        <v>13264</v>
      </c>
    </row>
    <row r="13030" spans="27:27">
      <c r="AA13030" t="s">
        <v>13265</v>
      </c>
    </row>
    <row r="13031" spans="27:27">
      <c r="AA13031" t="s">
        <v>13266</v>
      </c>
    </row>
    <row r="13032" spans="27:27">
      <c r="AA13032" t="s">
        <v>13267</v>
      </c>
    </row>
    <row r="13033" spans="27:27">
      <c r="AA13033" t="s">
        <v>4025</v>
      </c>
    </row>
    <row r="13034" spans="27:27">
      <c r="AA13034" t="s">
        <v>13268</v>
      </c>
    </row>
    <row r="13035" spans="27:27">
      <c r="AA13035" t="s">
        <v>13269</v>
      </c>
    </row>
    <row r="13036" spans="27:27">
      <c r="AA13036" t="s">
        <v>13270</v>
      </c>
    </row>
    <row r="13037" spans="27:27">
      <c r="AA13037" t="s">
        <v>13271</v>
      </c>
    </row>
    <row r="13038" spans="27:27">
      <c r="AA13038" t="s">
        <v>3279</v>
      </c>
    </row>
    <row r="13039" spans="27:27">
      <c r="AA13039" t="s">
        <v>4026</v>
      </c>
    </row>
    <row r="13040" spans="27:27">
      <c r="AA13040" t="s">
        <v>13272</v>
      </c>
    </row>
    <row r="13041" spans="27:27">
      <c r="AA13041" t="s">
        <v>13273</v>
      </c>
    </row>
    <row r="13042" spans="27:27">
      <c r="AA13042" t="s">
        <v>13274</v>
      </c>
    </row>
    <row r="13043" spans="27:27">
      <c r="AA13043" t="s">
        <v>13275</v>
      </c>
    </row>
    <row r="13044" spans="27:27">
      <c r="AA13044" t="s">
        <v>3280</v>
      </c>
    </row>
    <row r="13045" spans="27:27">
      <c r="AA13045" t="s">
        <v>4027</v>
      </c>
    </row>
    <row r="13046" spans="27:27">
      <c r="AA13046" t="s">
        <v>13276</v>
      </c>
    </row>
    <row r="13047" spans="27:27">
      <c r="AA13047" t="s">
        <v>13277</v>
      </c>
    </row>
    <row r="13048" spans="27:27">
      <c r="AA13048" t="s">
        <v>13278</v>
      </c>
    </row>
    <row r="13049" spans="27:27">
      <c r="AA13049" t="s">
        <v>13279</v>
      </c>
    </row>
    <row r="13050" spans="27:27">
      <c r="AA13050" t="s">
        <v>13280</v>
      </c>
    </row>
    <row r="13051" spans="27:27">
      <c r="AA13051" t="s">
        <v>3281</v>
      </c>
    </row>
    <row r="13052" spans="27:27">
      <c r="AA13052" t="s">
        <v>4028</v>
      </c>
    </row>
    <row r="13053" spans="27:27">
      <c r="AA13053" t="s">
        <v>13281</v>
      </c>
    </row>
    <row r="13054" spans="27:27">
      <c r="AA13054" t="s">
        <v>13282</v>
      </c>
    </row>
    <row r="13055" spans="27:27">
      <c r="AA13055" t="s">
        <v>3282</v>
      </c>
    </row>
    <row r="13056" spans="27:27">
      <c r="AA13056" t="s">
        <v>13283</v>
      </c>
    </row>
    <row r="13057" spans="27:27">
      <c r="AA13057" t="s">
        <v>13284</v>
      </c>
    </row>
    <row r="13058" spans="27:27">
      <c r="AA13058" t="s">
        <v>13285</v>
      </c>
    </row>
    <row r="13059" spans="27:27">
      <c r="AA13059" t="s">
        <v>13286</v>
      </c>
    </row>
    <row r="13060" spans="27:27">
      <c r="AA13060" t="s">
        <v>13287</v>
      </c>
    </row>
    <row r="13061" spans="27:27">
      <c r="AA13061" t="s">
        <v>13288</v>
      </c>
    </row>
    <row r="13062" spans="27:27">
      <c r="AA13062" t="s">
        <v>13289</v>
      </c>
    </row>
    <row r="13063" spans="27:27">
      <c r="AA13063" t="s">
        <v>13290</v>
      </c>
    </row>
    <row r="13064" spans="27:27">
      <c r="AA13064" t="s">
        <v>3283</v>
      </c>
    </row>
    <row r="13065" spans="27:27">
      <c r="AA13065" t="s">
        <v>13291</v>
      </c>
    </row>
    <row r="13066" spans="27:27">
      <c r="AA13066" t="s">
        <v>13292</v>
      </c>
    </row>
    <row r="13067" spans="27:27">
      <c r="AA13067" t="s">
        <v>13293</v>
      </c>
    </row>
    <row r="13068" spans="27:27">
      <c r="AA13068" t="s">
        <v>13294</v>
      </c>
    </row>
    <row r="13069" spans="27:27">
      <c r="AA13069" t="s">
        <v>13295</v>
      </c>
    </row>
    <row r="13070" spans="27:27">
      <c r="AA13070" t="s">
        <v>13296</v>
      </c>
    </row>
    <row r="13071" spans="27:27">
      <c r="AA13071" t="s">
        <v>13297</v>
      </c>
    </row>
    <row r="13072" spans="27:27">
      <c r="AA13072" t="s">
        <v>13298</v>
      </c>
    </row>
    <row r="13073" spans="27:27">
      <c r="AA13073" t="s">
        <v>13299</v>
      </c>
    </row>
    <row r="13074" spans="27:27">
      <c r="AA13074" t="s">
        <v>13300</v>
      </c>
    </row>
    <row r="13075" spans="27:27">
      <c r="AA13075" t="s">
        <v>13301</v>
      </c>
    </row>
    <row r="13076" spans="27:27">
      <c r="AA13076" t="s">
        <v>3284</v>
      </c>
    </row>
    <row r="13077" spans="27:27">
      <c r="AA13077" t="s">
        <v>4029</v>
      </c>
    </row>
    <row r="13078" spans="27:27">
      <c r="AA13078" t="s">
        <v>13302</v>
      </c>
    </row>
    <row r="13079" spans="27:27">
      <c r="AA13079" t="s">
        <v>13303</v>
      </c>
    </row>
    <row r="13080" spans="27:27">
      <c r="AA13080" t="s">
        <v>13304</v>
      </c>
    </row>
    <row r="13081" spans="27:27">
      <c r="AA13081" t="s">
        <v>4030</v>
      </c>
    </row>
    <row r="13082" spans="27:27">
      <c r="AA13082" t="s">
        <v>3285</v>
      </c>
    </row>
    <row r="13083" spans="27:27">
      <c r="AA13083" t="s">
        <v>13305</v>
      </c>
    </row>
    <row r="13084" spans="27:27">
      <c r="AA13084" t="s">
        <v>3286</v>
      </c>
    </row>
    <row r="13085" spans="27:27">
      <c r="AA13085" t="s">
        <v>13306</v>
      </c>
    </row>
    <row r="13086" spans="27:27">
      <c r="AA13086" t="s">
        <v>13307</v>
      </c>
    </row>
    <row r="13087" spans="27:27">
      <c r="AA13087" t="s">
        <v>3287</v>
      </c>
    </row>
    <row r="13088" spans="27:27">
      <c r="AA13088" t="s">
        <v>3288</v>
      </c>
    </row>
    <row r="13089" spans="27:27">
      <c r="AA13089" t="s">
        <v>3289</v>
      </c>
    </row>
    <row r="13090" spans="27:27">
      <c r="AA13090" t="s">
        <v>13308</v>
      </c>
    </row>
    <row r="13091" spans="27:27">
      <c r="AA13091" t="s">
        <v>13309</v>
      </c>
    </row>
    <row r="13092" spans="27:27">
      <c r="AA13092" t="s">
        <v>13310</v>
      </c>
    </row>
    <row r="13093" spans="27:27">
      <c r="AA13093" t="s">
        <v>13311</v>
      </c>
    </row>
    <row r="13094" spans="27:27">
      <c r="AA13094" t="s">
        <v>13312</v>
      </c>
    </row>
    <row r="13095" spans="27:27">
      <c r="AA13095" t="s">
        <v>13313</v>
      </c>
    </row>
    <row r="13096" spans="27:27">
      <c r="AA13096" t="s">
        <v>13314</v>
      </c>
    </row>
    <row r="13097" spans="27:27">
      <c r="AA13097" t="s">
        <v>13315</v>
      </c>
    </row>
    <row r="13098" spans="27:27">
      <c r="AA13098" t="s">
        <v>13316</v>
      </c>
    </row>
    <row r="13099" spans="27:27">
      <c r="AA13099" t="s">
        <v>3290</v>
      </c>
    </row>
    <row r="13100" spans="27:27">
      <c r="AA13100" t="s">
        <v>4031</v>
      </c>
    </row>
    <row r="13101" spans="27:27">
      <c r="AA13101" t="s">
        <v>13317</v>
      </c>
    </row>
    <row r="13102" spans="27:27">
      <c r="AA13102" t="s">
        <v>13318</v>
      </c>
    </row>
    <row r="13103" spans="27:27">
      <c r="AA13103" t="s">
        <v>13319</v>
      </c>
    </row>
    <row r="13104" spans="27:27">
      <c r="AA13104" t="s">
        <v>13320</v>
      </c>
    </row>
    <row r="13105" spans="27:27">
      <c r="AA13105" t="s">
        <v>4032</v>
      </c>
    </row>
    <row r="13106" spans="27:27">
      <c r="AA13106" t="s">
        <v>13321</v>
      </c>
    </row>
    <row r="13107" spans="27:27">
      <c r="AA13107" t="s">
        <v>13322</v>
      </c>
    </row>
    <row r="13108" spans="27:27">
      <c r="AA13108" t="s">
        <v>13323</v>
      </c>
    </row>
    <row r="13109" spans="27:27">
      <c r="AA13109" t="s">
        <v>13324</v>
      </c>
    </row>
    <row r="13110" spans="27:27">
      <c r="AA13110" t="s">
        <v>4033</v>
      </c>
    </row>
    <row r="13111" spans="27:27">
      <c r="AA13111" t="s">
        <v>13325</v>
      </c>
    </row>
    <row r="13112" spans="27:27">
      <c r="AA13112" t="s">
        <v>13326</v>
      </c>
    </row>
    <row r="13113" spans="27:27">
      <c r="AA13113" t="s">
        <v>13327</v>
      </c>
    </row>
    <row r="13114" spans="27:27">
      <c r="AA13114" t="s">
        <v>13328</v>
      </c>
    </row>
    <row r="13115" spans="27:27">
      <c r="AA13115" t="s">
        <v>4034</v>
      </c>
    </row>
    <row r="13116" spans="27:27">
      <c r="AA13116" t="s">
        <v>13329</v>
      </c>
    </row>
    <row r="13117" spans="27:27">
      <c r="AA13117" t="s">
        <v>13330</v>
      </c>
    </row>
    <row r="13118" spans="27:27">
      <c r="AA13118" t="s">
        <v>13331</v>
      </c>
    </row>
    <row r="13119" spans="27:27">
      <c r="AA13119" t="s">
        <v>13332</v>
      </c>
    </row>
    <row r="13120" spans="27:27">
      <c r="AA13120" t="s">
        <v>4035</v>
      </c>
    </row>
    <row r="13121" spans="27:27">
      <c r="AA13121" t="s">
        <v>13333</v>
      </c>
    </row>
    <row r="13122" spans="27:27">
      <c r="AA13122" t="s">
        <v>13334</v>
      </c>
    </row>
    <row r="13123" spans="27:27">
      <c r="AA13123" t="s">
        <v>13335</v>
      </c>
    </row>
    <row r="13124" spans="27:27">
      <c r="AA13124" t="s">
        <v>13336</v>
      </c>
    </row>
    <row r="13125" spans="27:27">
      <c r="AA13125" t="s">
        <v>4036</v>
      </c>
    </row>
    <row r="13126" spans="27:27">
      <c r="AA13126" t="s">
        <v>13337</v>
      </c>
    </row>
    <row r="13127" spans="27:27">
      <c r="AA13127" t="s">
        <v>13338</v>
      </c>
    </row>
    <row r="13128" spans="27:27">
      <c r="AA13128" t="s">
        <v>13339</v>
      </c>
    </row>
    <row r="13129" spans="27:27">
      <c r="AA13129" t="s">
        <v>13340</v>
      </c>
    </row>
    <row r="13130" spans="27:27">
      <c r="AA13130" t="s">
        <v>4037</v>
      </c>
    </row>
    <row r="13131" spans="27:27">
      <c r="AA13131" t="s">
        <v>13341</v>
      </c>
    </row>
    <row r="13132" spans="27:27">
      <c r="AA13132" t="s">
        <v>13342</v>
      </c>
    </row>
    <row r="13133" spans="27:27">
      <c r="AA13133" t="s">
        <v>13343</v>
      </c>
    </row>
    <row r="13134" spans="27:27">
      <c r="AA13134" t="s">
        <v>4038</v>
      </c>
    </row>
    <row r="13135" spans="27:27">
      <c r="AA13135" t="s">
        <v>13344</v>
      </c>
    </row>
    <row r="13136" spans="27:27">
      <c r="AA13136" t="s">
        <v>13345</v>
      </c>
    </row>
    <row r="13137" spans="27:27">
      <c r="AA13137" t="s">
        <v>13346</v>
      </c>
    </row>
    <row r="13138" spans="27:27">
      <c r="AA13138" t="s">
        <v>3291</v>
      </c>
    </row>
    <row r="13139" spans="27:27">
      <c r="AA13139" t="s">
        <v>4039</v>
      </c>
    </row>
    <row r="13140" spans="27:27">
      <c r="AA13140" t="s">
        <v>13347</v>
      </c>
    </row>
    <row r="13141" spans="27:27">
      <c r="AA13141" t="s">
        <v>13348</v>
      </c>
    </row>
    <row r="13142" spans="27:27">
      <c r="AA13142" t="s">
        <v>13349</v>
      </c>
    </row>
    <row r="13143" spans="27:27">
      <c r="AA13143" t="s">
        <v>13350</v>
      </c>
    </row>
    <row r="13144" spans="27:27">
      <c r="AA13144" t="s">
        <v>3292</v>
      </c>
    </row>
    <row r="13145" spans="27:27">
      <c r="AA13145" t="s">
        <v>4040</v>
      </c>
    </row>
    <row r="13146" spans="27:27">
      <c r="AA13146" t="s">
        <v>13351</v>
      </c>
    </row>
    <row r="13147" spans="27:27">
      <c r="AA13147" t="s">
        <v>13352</v>
      </c>
    </row>
    <row r="13148" spans="27:27">
      <c r="AA13148" t="s">
        <v>13353</v>
      </c>
    </row>
    <row r="13149" spans="27:27">
      <c r="AA13149" t="s">
        <v>13354</v>
      </c>
    </row>
    <row r="13150" spans="27:27">
      <c r="AA13150" t="s">
        <v>13355</v>
      </c>
    </row>
    <row r="13151" spans="27:27">
      <c r="AA13151" t="s">
        <v>4041</v>
      </c>
    </row>
    <row r="13152" spans="27:27">
      <c r="AA13152" t="s">
        <v>3293</v>
      </c>
    </row>
    <row r="13153" spans="27:27">
      <c r="AA13153" t="s">
        <v>4042</v>
      </c>
    </row>
    <row r="13154" spans="27:27">
      <c r="AA13154" t="s">
        <v>13356</v>
      </c>
    </row>
    <row r="13155" spans="27:27">
      <c r="AA13155" t="s">
        <v>13357</v>
      </c>
    </row>
    <row r="13156" spans="27:27">
      <c r="AA13156" t="s">
        <v>13358</v>
      </c>
    </row>
    <row r="13157" spans="27:27">
      <c r="AA13157" t="s">
        <v>4043</v>
      </c>
    </row>
    <row r="13158" spans="27:27">
      <c r="AA13158" t="s">
        <v>13359</v>
      </c>
    </row>
    <row r="13159" spans="27:27">
      <c r="AA13159" t="s">
        <v>13360</v>
      </c>
    </row>
    <row r="13160" spans="27:27">
      <c r="AA13160" t="s">
        <v>13361</v>
      </c>
    </row>
    <row r="13161" spans="27:27">
      <c r="AA13161" t="s">
        <v>4044</v>
      </c>
    </row>
    <row r="13162" spans="27:27">
      <c r="AA13162" t="s">
        <v>13362</v>
      </c>
    </row>
    <row r="13163" spans="27:27">
      <c r="AA13163" t="s">
        <v>13363</v>
      </c>
    </row>
    <row r="13164" spans="27:27">
      <c r="AA13164" t="s">
        <v>13364</v>
      </c>
    </row>
    <row r="13165" spans="27:27">
      <c r="AA13165" t="s">
        <v>4045</v>
      </c>
    </row>
    <row r="13166" spans="27:27">
      <c r="AA13166" t="s">
        <v>13365</v>
      </c>
    </row>
    <row r="13167" spans="27:27">
      <c r="AA13167" t="s">
        <v>13366</v>
      </c>
    </row>
    <row r="13168" spans="27:27">
      <c r="AA13168" t="s">
        <v>13367</v>
      </c>
    </row>
    <row r="13169" spans="27:27">
      <c r="AA13169" t="s">
        <v>4046</v>
      </c>
    </row>
    <row r="13170" spans="27:27">
      <c r="AA13170" t="s">
        <v>13368</v>
      </c>
    </row>
    <row r="13171" spans="27:27">
      <c r="AA13171" t="s">
        <v>13369</v>
      </c>
    </row>
    <row r="13172" spans="27:27">
      <c r="AA13172" t="s">
        <v>13370</v>
      </c>
    </row>
    <row r="13173" spans="27:27">
      <c r="AA13173" t="s">
        <v>3294</v>
      </c>
    </row>
    <row r="13174" spans="27:27">
      <c r="AA13174" t="s">
        <v>4047</v>
      </c>
    </row>
    <row r="13175" spans="27:27">
      <c r="AA13175" t="s">
        <v>3295</v>
      </c>
    </row>
    <row r="13176" spans="27:27">
      <c r="AA13176" t="s">
        <v>3296</v>
      </c>
    </row>
    <row r="13177" spans="27:27">
      <c r="AA13177" t="s">
        <v>3297</v>
      </c>
    </row>
    <row r="13178" spans="27:27">
      <c r="AA13178" t="s">
        <v>4048</v>
      </c>
    </row>
    <row r="13179" spans="27:27">
      <c r="AA13179" t="s">
        <v>3298</v>
      </c>
    </row>
    <row r="13180" spans="27:27">
      <c r="AA13180" t="s">
        <v>13371</v>
      </c>
    </row>
    <row r="13181" spans="27:27">
      <c r="AA13181" t="s">
        <v>13372</v>
      </c>
    </row>
    <row r="13182" spans="27:27">
      <c r="AA13182" t="s">
        <v>13373</v>
      </c>
    </row>
    <row r="13183" spans="27:27">
      <c r="AA13183" t="s">
        <v>13374</v>
      </c>
    </row>
    <row r="13184" spans="27:27">
      <c r="AA13184" t="s">
        <v>13375</v>
      </c>
    </row>
    <row r="13185" spans="27:27">
      <c r="AA13185" t="s">
        <v>13376</v>
      </c>
    </row>
    <row r="13186" spans="27:27">
      <c r="AA13186" t="s">
        <v>13377</v>
      </c>
    </row>
    <row r="13187" spans="27:27">
      <c r="AA13187" t="s">
        <v>13378</v>
      </c>
    </row>
    <row r="13188" spans="27:27">
      <c r="AA13188" t="s">
        <v>13379</v>
      </c>
    </row>
    <row r="13189" spans="27:27">
      <c r="AA13189" t="s">
        <v>13380</v>
      </c>
    </row>
    <row r="13190" spans="27:27">
      <c r="AA13190" t="s">
        <v>13381</v>
      </c>
    </row>
    <row r="13191" spans="27:27">
      <c r="AA13191" t="s">
        <v>13382</v>
      </c>
    </row>
    <row r="13192" spans="27:27">
      <c r="AA13192" t="s">
        <v>13383</v>
      </c>
    </row>
    <row r="13193" spans="27:27">
      <c r="AA13193" t="s">
        <v>13384</v>
      </c>
    </row>
    <row r="13194" spans="27:27">
      <c r="AA13194" t="s">
        <v>13385</v>
      </c>
    </row>
    <row r="13195" spans="27:27">
      <c r="AA13195" t="s">
        <v>13386</v>
      </c>
    </row>
    <row r="13196" spans="27:27">
      <c r="AA13196" t="s">
        <v>13387</v>
      </c>
    </row>
    <row r="13197" spans="27:27">
      <c r="AA13197" t="s">
        <v>13388</v>
      </c>
    </row>
    <row r="13198" spans="27:27">
      <c r="AA13198" t="s">
        <v>13389</v>
      </c>
    </row>
    <row r="13199" spans="27:27">
      <c r="AA13199" t="s">
        <v>13390</v>
      </c>
    </row>
    <row r="13200" spans="27:27">
      <c r="AA13200" t="s">
        <v>13391</v>
      </c>
    </row>
    <row r="13201" spans="27:27">
      <c r="AA13201" t="s">
        <v>13392</v>
      </c>
    </row>
    <row r="13202" spans="27:27">
      <c r="AA13202" t="s">
        <v>13393</v>
      </c>
    </row>
    <row r="13203" spans="27:27">
      <c r="AA13203" t="s">
        <v>13394</v>
      </c>
    </row>
    <row r="13204" spans="27:27">
      <c r="AA13204" t="s">
        <v>13395</v>
      </c>
    </row>
    <row r="13205" spans="27:27">
      <c r="AA13205" t="s">
        <v>13396</v>
      </c>
    </row>
    <row r="13206" spans="27:27">
      <c r="AA13206" t="s">
        <v>13397</v>
      </c>
    </row>
    <row r="13207" spans="27:27">
      <c r="AA13207" t="s">
        <v>13398</v>
      </c>
    </row>
    <row r="13208" spans="27:27">
      <c r="AA13208" t="s">
        <v>13399</v>
      </c>
    </row>
    <row r="13209" spans="27:27">
      <c r="AA13209" t="s">
        <v>13400</v>
      </c>
    </row>
    <row r="13210" spans="27:27">
      <c r="AA13210" t="s">
        <v>13401</v>
      </c>
    </row>
    <row r="13211" spans="27:27">
      <c r="AA13211" t="s">
        <v>13402</v>
      </c>
    </row>
    <row r="13212" spans="27:27">
      <c r="AA13212" t="s">
        <v>13403</v>
      </c>
    </row>
    <row r="13213" spans="27:27">
      <c r="AA13213" t="s">
        <v>13404</v>
      </c>
    </row>
    <row r="13214" spans="27:27">
      <c r="AA13214" t="s">
        <v>13405</v>
      </c>
    </row>
    <row r="13215" spans="27:27">
      <c r="AA13215" t="s">
        <v>13406</v>
      </c>
    </row>
    <row r="13216" spans="27:27">
      <c r="AA13216" t="s">
        <v>13407</v>
      </c>
    </row>
    <row r="13217" spans="27:27">
      <c r="AA13217" t="s">
        <v>13408</v>
      </c>
    </row>
    <row r="13218" spans="27:27">
      <c r="AA13218" t="s">
        <v>13409</v>
      </c>
    </row>
    <row r="13219" spans="27:27">
      <c r="AA13219" t="s">
        <v>13410</v>
      </c>
    </row>
    <row r="13220" spans="27:27">
      <c r="AA13220" t="s">
        <v>13411</v>
      </c>
    </row>
    <row r="13221" spans="27:27">
      <c r="AA13221" t="s">
        <v>13412</v>
      </c>
    </row>
    <row r="13222" spans="27:27">
      <c r="AA13222" t="s">
        <v>13413</v>
      </c>
    </row>
    <row r="13223" spans="27:27">
      <c r="AA13223" t="s">
        <v>13414</v>
      </c>
    </row>
    <row r="13224" spans="27:27">
      <c r="AA13224" t="s">
        <v>13415</v>
      </c>
    </row>
    <row r="13225" spans="27:27">
      <c r="AA13225" t="s">
        <v>13416</v>
      </c>
    </row>
    <row r="13226" spans="27:27">
      <c r="AA13226" t="s">
        <v>13417</v>
      </c>
    </row>
    <row r="13227" spans="27:27">
      <c r="AA13227" t="s">
        <v>13418</v>
      </c>
    </row>
    <row r="13228" spans="27:27">
      <c r="AA13228" t="s">
        <v>13419</v>
      </c>
    </row>
    <row r="13229" spans="27:27">
      <c r="AA13229" t="s">
        <v>13420</v>
      </c>
    </row>
    <row r="13230" spans="27:27">
      <c r="AA13230" t="s">
        <v>13421</v>
      </c>
    </row>
    <row r="13231" spans="27:27">
      <c r="AA13231" t="s">
        <v>13422</v>
      </c>
    </row>
    <row r="13232" spans="27:27">
      <c r="AA13232" t="s">
        <v>13423</v>
      </c>
    </row>
    <row r="13233" spans="27:27">
      <c r="AA13233" t="s">
        <v>13424</v>
      </c>
    </row>
    <row r="13234" spans="27:27">
      <c r="AA13234" t="s">
        <v>13425</v>
      </c>
    </row>
    <row r="13235" spans="27:27">
      <c r="AA13235" t="s">
        <v>13426</v>
      </c>
    </row>
    <row r="13236" spans="27:27">
      <c r="AA13236" t="s">
        <v>13427</v>
      </c>
    </row>
    <row r="13237" spans="27:27">
      <c r="AA13237" t="s">
        <v>13428</v>
      </c>
    </row>
    <row r="13238" spans="27:27">
      <c r="AA13238" t="s">
        <v>13429</v>
      </c>
    </row>
    <row r="13239" spans="27:27">
      <c r="AA13239" t="s">
        <v>13430</v>
      </c>
    </row>
    <row r="13240" spans="27:27">
      <c r="AA13240" t="s">
        <v>13431</v>
      </c>
    </row>
    <row r="13241" spans="27:27">
      <c r="AA13241" t="s">
        <v>13432</v>
      </c>
    </row>
    <row r="13242" spans="27:27">
      <c r="AA13242" t="s">
        <v>13433</v>
      </c>
    </row>
    <row r="13243" spans="27:27">
      <c r="AA13243" t="s">
        <v>13434</v>
      </c>
    </row>
    <row r="13244" spans="27:27">
      <c r="AA13244" t="s">
        <v>13435</v>
      </c>
    </row>
    <row r="13245" spans="27:27">
      <c r="AA13245" t="s">
        <v>13436</v>
      </c>
    </row>
    <row r="13246" spans="27:27">
      <c r="AA13246" t="s">
        <v>13437</v>
      </c>
    </row>
    <row r="13247" spans="27:27">
      <c r="AA13247" t="s">
        <v>13438</v>
      </c>
    </row>
    <row r="13248" spans="27:27">
      <c r="AA13248" t="s">
        <v>13439</v>
      </c>
    </row>
    <row r="13249" spans="27:27">
      <c r="AA13249" t="s">
        <v>3299</v>
      </c>
    </row>
    <row r="13250" spans="27:27">
      <c r="AA13250" t="s">
        <v>3300</v>
      </c>
    </row>
    <row r="13251" spans="27:27">
      <c r="AA13251" t="s">
        <v>13440</v>
      </c>
    </row>
    <row r="13252" spans="27:27">
      <c r="AA13252" t="s">
        <v>13441</v>
      </c>
    </row>
    <row r="13253" spans="27:27">
      <c r="AA13253" t="s">
        <v>13442</v>
      </c>
    </row>
    <row r="13254" spans="27:27">
      <c r="AA13254" t="s">
        <v>13443</v>
      </c>
    </row>
    <row r="13255" spans="27:27">
      <c r="AA13255" t="s">
        <v>13444</v>
      </c>
    </row>
    <row r="13256" spans="27:27">
      <c r="AA13256" t="s">
        <v>13445</v>
      </c>
    </row>
    <row r="13257" spans="27:27">
      <c r="AA13257" t="s">
        <v>13446</v>
      </c>
    </row>
    <row r="13258" spans="27:27">
      <c r="AA13258" t="s">
        <v>4049</v>
      </c>
    </row>
    <row r="13259" spans="27:27">
      <c r="AA13259" t="s">
        <v>3301</v>
      </c>
    </row>
    <row r="13260" spans="27:27">
      <c r="AA13260" t="s">
        <v>3302</v>
      </c>
    </row>
    <row r="13261" spans="27:27">
      <c r="AA13261" t="s">
        <v>3303</v>
      </c>
    </row>
    <row r="13262" spans="27:27">
      <c r="AA13262" t="s">
        <v>3304</v>
      </c>
    </row>
    <row r="13263" spans="27:27">
      <c r="AA13263" t="s">
        <v>3305</v>
      </c>
    </row>
    <row r="13264" spans="27:27">
      <c r="AA13264" t="s">
        <v>3306</v>
      </c>
    </row>
    <row r="13265" spans="27:27">
      <c r="AA13265" t="s">
        <v>3307</v>
      </c>
    </row>
    <row r="13266" spans="27:27">
      <c r="AA13266" t="s">
        <v>13447</v>
      </c>
    </row>
    <row r="13267" spans="27:27">
      <c r="AA13267" t="s">
        <v>4050</v>
      </c>
    </row>
    <row r="13268" spans="27:27">
      <c r="AA13268" t="s">
        <v>13448</v>
      </c>
    </row>
    <row r="13269" spans="27:27">
      <c r="AA13269" t="s">
        <v>13449</v>
      </c>
    </row>
    <row r="13270" spans="27:27">
      <c r="AA13270" t="s">
        <v>13450</v>
      </c>
    </row>
    <row r="13271" spans="27:27">
      <c r="AA13271" t="s">
        <v>13451</v>
      </c>
    </row>
    <row r="13272" spans="27:27">
      <c r="AA13272" t="s">
        <v>13452</v>
      </c>
    </row>
    <row r="13273" spans="27:27">
      <c r="AA13273" t="s">
        <v>13453</v>
      </c>
    </row>
    <row r="13274" spans="27:27">
      <c r="AA13274" t="s">
        <v>13454</v>
      </c>
    </row>
    <row r="13275" spans="27:27">
      <c r="AA13275" t="s">
        <v>13455</v>
      </c>
    </row>
    <row r="13276" spans="27:27">
      <c r="AA13276" t="s">
        <v>13456</v>
      </c>
    </row>
    <row r="13277" spans="27:27">
      <c r="AA13277" t="s">
        <v>13457</v>
      </c>
    </row>
    <row r="13278" spans="27:27">
      <c r="AA13278" t="s">
        <v>13458</v>
      </c>
    </row>
    <row r="13279" spans="27:27">
      <c r="AA13279" t="s">
        <v>13459</v>
      </c>
    </row>
    <row r="13280" spans="27:27">
      <c r="AA13280" t="s">
        <v>13460</v>
      </c>
    </row>
    <row r="13281" spans="27:27">
      <c r="AA13281" t="s">
        <v>4051</v>
      </c>
    </row>
    <row r="13282" spans="27:27">
      <c r="AA13282" t="s">
        <v>4052</v>
      </c>
    </row>
    <row r="13283" spans="27:27">
      <c r="AA13283" t="s">
        <v>4053</v>
      </c>
    </row>
    <row r="13284" spans="27:27">
      <c r="AA13284" t="s">
        <v>3308</v>
      </c>
    </row>
    <row r="13285" spans="27:27">
      <c r="AA13285" t="s">
        <v>13461</v>
      </c>
    </row>
    <row r="13286" spans="27:27">
      <c r="AA13286" t="s">
        <v>13462</v>
      </c>
    </row>
    <row r="13287" spans="27:27">
      <c r="AA13287" t="s">
        <v>13463</v>
      </c>
    </row>
    <row r="13288" spans="27:27">
      <c r="AA13288" t="s">
        <v>13464</v>
      </c>
    </row>
    <row r="13289" spans="27:27">
      <c r="AA13289" t="s">
        <v>13465</v>
      </c>
    </row>
    <row r="13290" spans="27:27">
      <c r="AA13290" t="s">
        <v>13466</v>
      </c>
    </row>
    <row r="13291" spans="27:27">
      <c r="AA13291" t="s">
        <v>3309</v>
      </c>
    </row>
    <row r="13292" spans="27:27">
      <c r="AA13292" t="s">
        <v>4054</v>
      </c>
    </row>
    <row r="13293" spans="27:27">
      <c r="AA13293" t="s">
        <v>4055</v>
      </c>
    </row>
    <row r="13294" spans="27:27">
      <c r="AA13294" t="s">
        <v>4056</v>
      </c>
    </row>
    <row r="13295" spans="27:27">
      <c r="AA13295" t="s">
        <v>4057</v>
      </c>
    </row>
    <row r="13296" spans="27:27">
      <c r="AA13296" t="s">
        <v>13467</v>
      </c>
    </row>
    <row r="13297" spans="27:27">
      <c r="AA13297" t="s">
        <v>13468</v>
      </c>
    </row>
    <row r="13298" spans="27:27">
      <c r="AA13298" t="s">
        <v>4058</v>
      </c>
    </row>
    <row r="13299" spans="27:27">
      <c r="AA13299" t="s">
        <v>4059</v>
      </c>
    </row>
    <row r="13300" spans="27:27">
      <c r="AA13300" t="s">
        <v>4060</v>
      </c>
    </row>
    <row r="13301" spans="27:27">
      <c r="AA13301" t="s">
        <v>4061</v>
      </c>
    </row>
    <row r="13302" spans="27:27">
      <c r="AA13302" t="s">
        <v>4062</v>
      </c>
    </row>
    <row r="13303" spans="27:27">
      <c r="AA13303" t="s">
        <v>13469</v>
      </c>
    </row>
    <row r="13304" spans="27:27">
      <c r="AA13304" t="s">
        <v>13470</v>
      </c>
    </row>
    <row r="13305" spans="27:27">
      <c r="AA13305" t="s">
        <v>13471</v>
      </c>
    </row>
    <row r="13306" spans="27:27">
      <c r="AA13306" t="s">
        <v>13472</v>
      </c>
    </row>
    <row r="13307" spans="27:27">
      <c r="AA13307" t="s">
        <v>13473</v>
      </c>
    </row>
    <row r="13308" spans="27:27">
      <c r="AA13308" t="s">
        <v>13474</v>
      </c>
    </row>
    <row r="13309" spans="27:27">
      <c r="AA13309" t="s">
        <v>3310</v>
      </c>
    </row>
    <row r="13310" spans="27:27">
      <c r="AA13310" t="s">
        <v>4063</v>
      </c>
    </row>
    <row r="13311" spans="27:27">
      <c r="AA13311" t="s">
        <v>4064</v>
      </c>
    </row>
    <row r="13312" spans="27:27">
      <c r="AA13312" t="s">
        <v>1235</v>
      </c>
    </row>
    <row r="13313" spans="27:27">
      <c r="AA13313" t="s">
        <v>1236</v>
      </c>
    </row>
    <row r="13314" spans="27:27">
      <c r="AA13314" t="s">
        <v>4065</v>
      </c>
    </row>
    <row r="13315" spans="27:27">
      <c r="AA13315" t="s">
        <v>4066</v>
      </c>
    </row>
    <row r="13316" spans="27:27">
      <c r="AA13316" t="s">
        <v>13475</v>
      </c>
    </row>
    <row r="13317" spans="27:27">
      <c r="AA13317" t="s">
        <v>4067</v>
      </c>
    </row>
    <row r="13318" spans="27:27">
      <c r="AA13318" t="s">
        <v>4068</v>
      </c>
    </row>
    <row r="13319" spans="27:27">
      <c r="AA13319" t="s">
        <v>13476</v>
      </c>
    </row>
    <row r="13320" spans="27:27">
      <c r="AA13320" t="s">
        <v>13477</v>
      </c>
    </row>
    <row r="13321" spans="27:27">
      <c r="AA13321" t="s">
        <v>13478</v>
      </c>
    </row>
    <row r="13322" spans="27:27">
      <c r="AA13322" t="s">
        <v>13479</v>
      </c>
    </row>
    <row r="13323" spans="27:27">
      <c r="AA13323" t="s">
        <v>13480</v>
      </c>
    </row>
    <row r="13324" spans="27:27">
      <c r="AA13324" t="s">
        <v>13481</v>
      </c>
    </row>
    <row r="13325" spans="27:27">
      <c r="AA13325" t="s">
        <v>13482</v>
      </c>
    </row>
    <row r="13326" spans="27:27">
      <c r="AA13326" t="s">
        <v>13483</v>
      </c>
    </row>
    <row r="13327" spans="27:27">
      <c r="AA13327" t="s">
        <v>13484</v>
      </c>
    </row>
    <row r="13328" spans="27:27">
      <c r="AA13328" t="s">
        <v>4069</v>
      </c>
    </row>
    <row r="13329" spans="27:27">
      <c r="AA13329" t="s">
        <v>4070</v>
      </c>
    </row>
    <row r="13330" spans="27:27">
      <c r="AA13330" t="s">
        <v>4071</v>
      </c>
    </row>
    <row r="13331" spans="27:27">
      <c r="AA13331" t="s">
        <v>4072</v>
      </c>
    </row>
    <row r="13332" spans="27:27">
      <c r="AA13332" t="s">
        <v>3311</v>
      </c>
    </row>
    <row r="13333" spans="27:27">
      <c r="AA13333" t="s">
        <v>4073</v>
      </c>
    </row>
    <row r="13334" spans="27:27">
      <c r="AA13334" t="s">
        <v>4074</v>
      </c>
    </row>
    <row r="13335" spans="27:27">
      <c r="AA13335" t="s">
        <v>4075</v>
      </c>
    </row>
    <row r="13336" spans="27:27">
      <c r="AA13336" t="s">
        <v>4076</v>
      </c>
    </row>
    <row r="13337" spans="27:27">
      <c r="AA13337" t="s">
        <v>4077</v>
      </c>
    </row>
    <row r="13338" spans="27:27">
      <c r="AA13338" t="s">
        <v>4078</v>
      </c>
    </row>
    <row r="13339" spans="27:27">
      <c r="AA13339" t="s">
        <v>4079</v>
      </c>
    </row>
    <row r="13340" spans="27:27">
      <c r="AA13340" t="s">
        <v>4080</v>
      </c>
    </row>
    <row r="13341" spans="27:27">
      <c r="AA13341" t="s">
        <v>4081</v>
      </c>
    </row>
    <row r="13342" spans="27:27">
      <c r="AA13342" t="s">
        <v>4082</v>
      </c>
    </row>
    <row r="13343" spans="27:27">
      <c r="AA13343" t="s">
        <v>4083</v>
      </c>
    </row>
    <row r="13344" spans="27:27">
      <c r="AA13344" t="s">
        <v>4084</v>
      </c>
    </row>
    <row r="13345" spans="27:27">
      <c r="AA13345" t="s">
        <v>4085</v>
      </c>
    </row>
    <row r="13346" spans="27:27">
      <c r="AA13346" t="s">
        <v>4086</v>
      </c>
    </row>
    <row r="13347" spans="27:27">
      <c r="AA13347" t="s">
        <v>4087</v>
      </c>
    </row>
    <row r="13348" spans="27:27">
      <c r="AA13348" t="s">
        <v>4088</v>
      </c>
    </row>
    <row r="13349" spans="27:27">
      <c r="AA13349" t="s">
        <v>4089</v>
      </c>
    </row>
    <row r="13350" spans="27:27">
      <c r="AA13350" t="s">
        <v>4090</v>
      </c>
    </row>
    <row r="13351" spans="27:27">
      <c r="AA13351" t="s">
        <v>4091</v>
      </c>
    </row>
    <row r="13352" spans="27:27">
      <c r="AA13352" t="s">
        <v>4092</v>
      </c>
    </row>
    <row r="13353" spans="27:27">
      <c r="AA13353" t="s">
        <v>4093</v>
      </c>
    </row>
    <row r="13354" spans="27:27">
      <c r="AA13354" t="s">
        <v>4094</v>
      </c>
    </row>
    <row r="13355" spans="27:27">
      <c r="AA13355" t="s">
        <v>4095</v>
      </c>
    </row>
    <row r="13356" spans="27:27">
      <c r="AA13356" t="s">
        <v>4096</v>
      </c>
    </row>
    <row r="13357" spans="27:27">
      <c r="AA13357" t="s">
        <v>4097</v>
      </c>
    </row>
    <row r="13358" spans="27:27">
      <c r="AA13358" t="s">
        <v>4098</v>
      </c>
    </row>
    <row r="13359" spans="27:27">
      <c r="AA13359" t="s">
        <v>4099</v>
      </c>
    </row>
    <row r="13360" spans="27:27">
      <c r="AA13360" t="s">
        <v>4100</v>
      </c>
    </row>
    <row r="13361" spans="27:27">
      <c r="AA13361" t="s">
        <v>4101</v>
      </c>
    </row>
    <row r="13362" spans="27:27">
      <c r="AA13362" t="s">
        <v>4102</v>
      </c>
    </row>
    <row r="13363" spans="27:27">
      <c r="AA13363" t="s">
        <v>4103</v>
      </c>
    </row>
    <row r="13364" spans="27:27">
      <c r="AA13364" t="s">
        <v>4104</v>
      </c>
    </row>
    <row r="13365" spans="27:27">
      <c r="AA13365" t="s">
        <v>4105</v>
      </c>
    </row>
    <row r="13366" spans="27:27">
      <c r="AA13366" t="s">
        <v>4106</v>
      </c>
    </row>
    <row r="13367" spans="27:27">
      <c r="AA13367" t="s">
        <v>4107</v>
      </c>
    </row>
    <row r="13368" spans="27:27">
      <c r="AA13368" t="s">
        <v>4108</v>
      </c>
    </row>
    <row r="13369" spans="27:27">
      <c r="AA13369" t="s">
        <v>4109</v>
      </c>
    </row>
    <row r="13370" spans="27:27">
      <c r="AA13370" t="s">
        <v>4110</v>
      </c>
    </row>
    <row r="13371" spans="27:27">
      <c r="AA13371" t="s">
        <v>4111</v>
      </c>
    </row>
    <row r="13372" spans="27:27">
      <c r="AA13372" t="s">
        <v>4112</v>
      </c>
    </row>
    <row r="13373" spans="27:27">
      <c r="AA13373" t="s">
        <v>4113</v>
      </c>
    </row>
    <row r="13374" spans="27:27">
      <c r="AA13374" t="s">
        <v>4114</v>
      </c>
    </row>
    <row r="13375" spans="27:27">
      <c r="AA13375" t="s">
        <v>3312</v>
      </c>
    </row>
    <row r="13376" spans="27:27">
      <c r="AA13376" t="s">
        <v>3313</v>
      </c>
    </row>
    <row r="13377" spans="27:27">
      <c r="AA13377" t="s">
        <v>3314</v>
      </c>
    </row>
    <row r="13378" spans="27:27">
      <c r="AA13378" t="s">
        <v>3315</v>
      </c>
    </row>
    <row r="13379" spans="27:27">
      <c r="AA13379" t="s">
        <v>3316</v>
      </c>
    </row>
    <row r="13380" spans="27:27">
      <c r="AA13380" t="s">
        <v>4115</v>
      </c>
    </row>
    <row r="13381" spans="27:27">
      <c r="AA13381" t="s">
        <v>3317</v>
      </c>
    </row>
    <row r="13382" spans="27:27">
      <c r="AA13382" t="s">
        <v>13485</v>
      </c>
    </row>
    <row r="13383" spans="27:27">
      <c r="AA13383" t="s">
        <v>13486</v>
      </c>
    </row>
    <row r="13384" spans="27:27">
      <c r="AA13384" t="s">
        <v>13487</v>
      </c>
    </row>
    <row r="13385" spans="27:27">
      <c r="AA13385" t="s">
        <v>13488</v>
      </c>
    </row>
    <row r="13386" spans="27:27">
      <c r="AA13386" t="s">
        <v>13489</v>
      </c>
    </row>
    <row r="13387" spans="27:27">
      <c r="AA13387" t="s">
        <v>13490</v>
      </c>
    </row>
    <row r="13388" spans="27:27">
      <c r="AA13388" t="s">
        <v>13491</v>
      </c>
    </row>
    <row r="13389" spans="27:27">
      <c r="AA13389" t="s">
        <v>13492</v>
      </c>
    </row>
    <row r="13390" spans="27:27">
      <c r="AA13390" t="s">
        <v>13493</v>
      </c>
    </row>
    <row r="13391" spans="27:27">
      <c r="AA13391" t="s">
        <v>13494</v>
      </c>
    </row>
    <row r="13392" spans="27:27">
      <c r="AA13392" t="s">
        <v>3318</v>
      </c>
    </row>
    <row r="13393" spans="27:27">
      <c r="AA13393" t="s">
        <v>3319</v>
      </c>
    </row>
    <row r="13394" spans="27:27">
      <c r="AA13394" t="s">
        <v>3320</v>
      </c>
    </row>
    <row r="13395" spans="27:27">
      <c r="AA13395" t="s">
        <v>4116</v>
      </c>
    </row>
    <row r="13396" spans="27:27">
      <c r="AA13396" t="s">
        <v>3321</v>
      </c>
    </row>
    <row r="13397" spans="27:27">
      <c r="AA13397" t="s">
        <v>4117</v>
      </c>
    </row>
    <row r="13398" spans="27:27">
      <c r="AA13398" t="s">
        <v>4118</v>
      </c>
    </row>
    <row r="13399" spans="27:27">
      <c r="AA13399" t="s">
        <v>4119</v>
      </c>
    </row>
    <row r="13400" spans="27:27">
      <c r="AA13400" t="s">
        <v>4120</v>
      </c>
    </row>
    <row r="13401" spans="27:27">
      <c r="AA13401" t="s">
        <v>4121</v>
      </c>
    </row>
    <row r="13402" spans="27:27">
      <c r="AA13402" t="s">
        <v>4122</v>
      </c>
    </row>
    <row r="13403" spans="27:27">
      <c r="AA13403" t="s">
        <v>4123</v>
      </c>
    </row>
    <row r="13404" spans="27:27">
      <c r="AA13404" t="s">
        <v>4124</v>
      </c>
    </row>
    <row r="13405" spans="27:27">
      <c r="AA13405" t="s">
        <v>4125</v>
      </c>
    </row>
    <row r="13406" spans="27:27">
      <c r="AA13406" t="s">
        <v>3322</v>
      </c>
    </row>
    <row r="13407" spans="27:27">
      <c r="AA13407" t="s">
        <v>13495</v>
      </c>
    </row>
    <row r="13408" spans="27:27">
      <c r="AA13408" t="s">
        <v>13496</v>
      </c>
    </row>
    <row r="13409" spans="27:27">
      <c r="AA13409" t="s">
        <v>4126</v>
      </c>
    </row>
    <row r="13410" spans="27:27">
      <c r="AA13410" t="s">
        <v>3323</v>
      </c>
    </row>
    <row r="13411" spans="27:27">
      <c r="AA13411" t="s">
        <v>13497</v>
      </c>
    </row>
    <row r="13412" spans="27:27">
      <c r="AA13412" t="s">
        <v>13498</v>
      </c>
    </row>
    <row r="13413" spans="27:27">
      <c r="AA13413" t="s">
        <v>4127</v>
      </c>
    </row>
    <row r="13414" spans="27:27">
      <c r="AA13414" t="s">
        <v>3324</v>
      </c>
    </row>
    <row r="13415" spans="27:27">
      <c r="AA13415" t="s">
        <v>3325</v>
      </c>
    </row>
    <row r="13416" spans="27:27">
      <c r="AA13416" t="s">
        <v>3326</v>
      </c>
    </row>
    <row r="13417" spans="27:27">
      <c r="AA13417" t="s">
        <v>3327</v>
      </c>
    </row>
    <row r="13418" spans="27:27">
      <c r="AA13418" t="s">
        <v>4128</v>
      </c>
    </row>
    <row r="13419" spans="27:27">
      <c r="AA13419" t="s">
        <v>3328</v>
      </c>
    </row>
  </sheetData>
  <sortState ref="BA1:BA13416">
    <sortCondition ref="BA1"/>
  </sortState>
  <dataConsolidate/>
  <mergeCells count="1">
    <mergeCell ref="D1:E1"/>
  </mergeCells>
  <dataValidations count="3">
    <dataValidation type="list" allowBlank="1" showInputMessage="1" showErrorMessage="1" sqref="G9" xr:uid="{00000000-0002-0000-0000-000000000000}">
      <formula1>$V$1:$V$3</formula1>
    </dataValidation>
    <dataValidation type="list" allowBlank="1" showInputMessage="1" showErrorMessage="1" sqref="E20" xr:uid="{00000000-0002-0000-0000-000001000000}">
      <formula1>$BA:$BA</formula1>
    </dataValidation>
    <dataValidation type="list" allowBlank="1" showInputMessage="1" showErrorMessage="1" sqref="G4" xr:uid="{00000000-0002-0000-0000-000002000000}">
      <formula1>$W:$W</formula1>
    </dataValidation>
  </dataValidation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MPA">
                <anchor moveWithCells="1" sizeWithCells="1">
                  <from>
                    <xdr:col>7</xdr:col>
                    <xdr:colOff>733425</xdr:colOff>
                    <xdr:row>6</xdr:row>
                    <xdr:rowOff>9525</xdr:rowOff>
                  </from>
                  <to>
                    <xdr:col>9</xdr:col>
                    <xdr:colOff>257175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I12"/>
  <sheetViews>
    <sheetView workbookViewId="0"/>
  </sheetViews>
  <sheetFormatPr defaultRowHeight="15"/>
  <cols>
    <col min="1" max="7" width="15.7109375" customWidth="1"/>
    <col min="8" max="8" width="18.42578125" customWidth="1"/>
    <col min="9" max="9" width="18" customWidth="1"/>
    <col min="10" max="11" width="15.7109375" customWidth="1"/>
  </cols>
  <sheetData>
    <row r="1" spans="1:9">
      <c r="B1" t="s">
        <v>27</v>
      </c>
    </row>
    <row r="4" spans="1:9" s="15" customFormat="1">
      <c r="A4" s="15" t="s">
        <v>38</v>
      </c>
      <c r="B4" s="15" t="s">
        <v>36</v>
      </c>
      <c r="C4" s="15" t="s">
        <v>37</v>
      </c>
      <c r="D4" s="15" t="s">
        <v>32</v>
      </c>
      <c r="E4" s="15" t="s">
        <v>31</v>
      </c>
      <c r="F4" s="15" t="s">
        <v>35</v>
      </c>
      <c r="G4" s="15" t="s">
        <v>30</v>
      </c>
      <c r="H4" s="15" t="s">
        <v>33</v>
      </c>
      <c r="I4" s="15" t="s">
        <v>39</v>
      </c>
    </row>
    <row r="5" spans="1:9">
      <c r="A5">
        <f>(PowrtSkiving!B16)</f>
        <v>0.59015525683105885</v>
      </c>
      <c r="B5">
        <f>ABS(PowrtSkiving!B17/2)</f>
        <v>90.051899999999989</v>
      </c>
      <c r="C5">
        <f>ABS(PowrtSkiving!B18/2)</f>
        <v>83.197107273753133</v>
      </c>
      <c r="D5">
        <f>ABS(PowrtSkiving!D17/2)</f>
        <v>83.197107273753133</v>
      </c>
      <c r="E5">
        <f>ACOS(ABS(PowrtSkiving!B18/2)/'Sp | Ep'!D5)</f>
        <v>0</v>
      </c>
      <c r="F5">
        <f>PowrtSkiving!B20</f>
        <v>2.1514480674370895E-2</v>
      </c>
      <c r="G5">
        <f>TAN(E5)-E5</f>
        <v>0</v>
      </c>
      <c r="H5">
        <f>D5*((A5/B5)+2*(F5-G5))</f>
        <v>4.1251174759996054</v>
      </c>
      <c r="I5">
        <f>H5*COS(PowrtSkiving!D9*PI()/180)</f>
        <v>4.1251174759996054</v>
      </c>
    </row>
    <row r="7" spans="1:9">
      <c r="A7" s="19" t="s">
        <v>114</v>
      </c>
      <c r="B7" s="19" t="s">
        <v>115</v>
      </c>
      <c r="C7" s="19" t="s">
        <v>116</v>
      </c>
      <c r="D7" s="19" t="s">
        <v>117</v>
      </c>
      <c r="E7" s="19" t="s">
        <v>120</v>
      </c>
      <c r="F7" s="19" t="s">
        <v>118</v>
      </c>
      <c r="G7" s="19" t="s">
        <v>119</v>
      </c>
      <c r="H7" s="19" t="s">
        <v>121</v>
      </c>
      <c r="I7" s="19" t="s">
        <v>122</v>
      </c>
    </row>
    <row r="8" spans="1:9">
      <c r="A8">
        <f>+PowrtSkiving!H24/COS(RADIANS(PowrtSkiving!E9))</f>
        <v>-0.33712586714243464</v>
      </c>
      <c r="B8">
        <f>+PowrtSkiving!K25/2</f>
        <v>0</v>
      </c>
      <c r="C8">
        <f>+PowrtSkiving!K26/2</f>
        <v>0</v>
      </c>
      <c r="D8" t="e">
        <f>+PowrtSkiving!K22/2</f>
        <v>#VALUE!</v>
      </c>
      <c r="E8" t="e">
        <f>+ACOS((C8/D8))</f>
        <v>#VALUE!</v>
      </c>
      <c r="F8">
        <f>+TAN(PowrtSkiving!K27)-PowrtSkiving!K27</f>
        <v>0</v>
      </c>
      <c r="G8" t="e">
        <f>+TAN(E8)-E8</f>
        <v>#VALUE!</v>
      </c>
      <c r="H8" t="e">
        <f>2*D8*((A8/(2*B8)+F8-G8))</f>
        <v>#VALUE!</v>
      </c>
      <c r="I8" t="e">
        <f>+H8*COS(ATAN(2*D8*PI()/PowrtSkiving!K24))</f>
        <v>#VALUE!</v>
      </c>
    </row>
    <row r="9" spans="1:9">
      <c r="I9" t="s">
        <v>13602</v>
      </c>
    </row>
    <row r="11" spans="1:9">
      <c r="A11" s="283" t="s">
        <v>13915</v>
      </c>
      <c r="B11" s="283" t="s">
        <v>13916</v>
      </c>
    </row>
    <row r="12" spans="1:9">
      <c r="A12" s="18" t="e">
        <f>(A8/(B8*2)+F8)*(2*C8)</f>
        <v>#DIV/0!</v>
      </c>
      <c r="B12" t="e">
        <f>A12*COS(RADIANS(PowrtSkiving!E9))</f>
        <v>#DIV/0!</v>
      </c>
    </row>
  </sheetData>
  <sheetProtection algorithmName="SHA-512" hashValue="C5hI2/g864/mgNfRIDZzoWczosKiyU+nlKDc+YbD3Xfri+L8whKJBELg8B0TYMHDEWkwGsVIiRjv0I46ss6Wmw==" saltValue="8NhxXB9IKGR1dC3X2UVumw==" spinCount="100000" sheet="1" objects="1" scenarios="1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0"/>
  <dimension ref="A1:O37"/>
  <sheetViews>
    <sheetView workbookViewId="0"/>
  </sheetViews>
  <sheetFormatPr defaultRowHeight="15"/>
  <cols>
    <col min="1" max="1" width="11.85546875" customWidth="1"/>
    <col min="2" max="2" width="12.7109375" customWidth="1"/>
    <col min="3" max="3" width="10.85546875" customWidth="1"/>
    <col min="7" max="7" width="5.85546875" customWidth="1"/>
    <col min="8" max="8" width="13.140625" customWidth="1"/>
  </cols>
  <sheetData>
    <row r="1" spans="1:15">
      <c r="H1" s="137">
        <f ca="1">NOW()</f>
        <v>43524.674062268517</v>
      </c>
    </row>
    <row r="2" spans="1:15">
      <c r="B2" s="46" t="s">
        <v>13627</v>
      </c>
      <c r="C2" s="129">
        <v>1</v>
      </c>
    </row>
    <row r="4" spans="1:15">
      <c r="A4" s="466" t="s">
        <v>79</v>
      </c>
      <c r="B4" s="466"/>
      <c r="C4" s="466"/>
      <c r="D4" s="466"/>
      <c r="E4" s="466"/>
      <c r="F4" s="466"/>
      <c r="H4" s="466" t="s">
        <v>80</v>
      </c>
      <c r="I4" s="466"/>
      <c r="J4" s="466"/>
    </row>
    <row r="5" spans="1:15">
      <c r="A5" s="49"/>
      <c r="B5" s="49"/>
      <c r="C5" s="49"/>
      <c r="D5" s="49"/>
      <c r="E5" s="49"/>
      <c r="F5" s="49"/>
      <c r="H5" s="49"/>
      <c r="I5" s="50" t="s">
        <v>81</v>
      </c>
      <c r="J5" s="50"/>
      <c r="L5" s="147" t="s">
        <v>13628</v>
      </c>
      <c r="M5" s="148"/>
      <c r="N5" s="149"/>
      <c r="O5" s="150">
        <v>9</v>
      </c>
    </row>
    <row r="6" spans="1:15">
      <c r="A6" s="49" t="s">
        <v>82</v>
      </c>
      <c r="B6" s="49"/>
      <c r="C6" s="49"/>
      <c r="D6" s="49" t="s">
        <v>83</v>
      </c>
      <c r="E6" s="49">
        <v>120</v>
      </c>
      <c r="F6" s="49" t="s">
        <v>84</v>
      </c>
      <c r="H6" s="136" t="s">
        <v>2</v>
      </c>
      <c r="I6" s="49" t="s">
        <v>85</v>
      </c>
      <c r="J6" s="49" t="s">
        <v>86</v>
      </c>
      <c r="L6" s="147" t="s">
        <v>13629</v>
      </c>
      <c r="M6" s="148"/>
      <c r="N6" s="149"/>
      <c r="O6" s="150">
        <v>0.48</v>
      </c>
    </row>
    <row r="7" spans="1:15">
      <c r="A7" s="49"/>
      <c r="B7" s="49"/>
      <c r="C7" s="49"/>
      <c r="D7" s="49"/>
      <c r="E7" s="49"/>
      <c r="F7" s="49"/>
      <c r="H7" s="49" t="s">
        <v>87</v>
      </c>
      <c r="I7" s="49">
        <v>0.4</v>
      </c>
      <c r="J7" s="49">
        <v>0.2</v>
      </c>
      <c r="L7" s="147" t="s">
        <v>13630</v>
      </c>
      <c r="M7" s="148"/>
      <c r="N7" s="149"/>
      <c r="O7" s="150">
        <v>1</v>
      </c>
    </row>
    <row r="8" spans="1:15">
      <c r="A8" s="49" t="s">
        <v>88</v>
      </c>
      <c r="B8" s="49"/>
      <c r="C8" s="49"/>
      <c r="D8" s="49" t="s">
        <v>89</v>
      </c>
      <c r="E8" s="49">
        <v>100</v>
      </c>
      <c r="F8" s="49" t="s">
        <v>84</v>
      </c>
      <c r="H8" s="49" t="s">
        <v>90</v>
      </c>
      <c r="I8" s="49">
        <v>0.6</v>
      </c>
      <c r="J8" s="49">
        <v>0.3</v>
      </c>
      <c r="L8" s="147" t="s">
        <v>13631</v>
      </c>
      <c r="M8" s="148"/>
      <c r="N8" s="149"/>
      <c r="O8" s="150">
        <v>0.23</v>
      </c>
    </row>
    <row r="9" spans="1:15">
      <c r="A9" s="49"/>
      <c r="B9" s="49"/>
      <c r="C9" s="49"/>
      <c r="D9" s="49"/>
      <c r="E9" s="49"/>
      <c r="F9" s="49"/>
      <c r="H9" s="49" t="s">
        <v>91</v>
      </c>
      <c r="I9" s="49">
        <v>0.8</v>
      </c>
      <c r="J9" s="49">
        <v>0.3</v>
      </c>
      <c r="L9" s="146"/>
      <c r="M9" s="49"/>
      <c r="N9" s="49"/>
      <c r="O9" s="151"/>
    </row>
    <row r="10" spans="1:15">
      <c r="A10" s="49" t="s">
        <v>92</v>
      </c>
      <c r="B10" s="49"/>
      <c r="C10" s="49"/>
      <c r="D10" s="49" t="s">
        <v>93</v>
      </c>
      <c r="E10" s="49">
        <v>80</v>
      </c>
      <c r="F10" s="49" t="s">
        <v>84</v>
      </c>
      <c r="H10" s="467" t="s">
        <v>94</v>
      </c>
      <c r="I10" s="467"/>
      <c r="J10" s="467"/>
      <c r="L10" s="147" t="s">
        <v>13632</v>
      </c>
      <c r="M10" s="148"/>
      <c r="N10" s="149"/>
      <c r="O10" s="150">
        <v>24</v>
      </c>
    </row>
    <row r="11" spans="1:15">
      <c r="H11" s="145">
        <v>3.5</v>
      </c>
      <c r="I11" s="71">
        <v>0.8</v>
      </c>
      <c r="J11" s="144">
        <v>0.2</v>
      </c>
      <c r="L11" s="147" t="s">
        <v>13633</v>
      </c>
      <c r="M11" s="148"/>
      <c r="N11" s="149"/>
      <c r="O11" s="150">
        <v>22</v>
      </c>
    </row>
    <row r="12" spans="1:15">
      <c r="A12" s="51" t="s">
        <v>95</v>
      </c>
      <c r="J12" s="72"/>
    </row>
    <row r="13" spans="1:15" ht="18.75">
      <c r="A13" s="52" t="s">
        <v>93</v>
      </c>
      <c r="B13" s="71">
        <v>70</v>
      </c>
    </row>
    <row r="14" spans="1:15" ht="18.75">
      <c r="A14" s="52"/>
      <c r="B14" s="53"/>
    </row>
    <row r="15" spans="1:15" ht="18.75">
      <c r="A15" s="52" t="s">
        <v>96</v>
      </c>
      <c r="B15" s="71">
        <v>40</v>
      </c>
      <c r="E15" s="52" t="s">
        <v>97</v>
      </c>
      <c r="G15" s="54">
        <f>G17*(B15/B17)</f>
        <v>260.69351424077837</v>
      </c>
      <c r="L15" t="s">
        <v>13859</v>
      </c>
      <c r="O15" s="129">
        <v>6</v>
      </c>
    </row>
    <row r="16" spans="1:15" ht="18.75">
      <c r="A16" s="52"/>
      <c r="B16" s="53"/>
      <c r="E16" s="52"/>
      <c r="G16" s="55"/>
      <c r="H16" s="56" t="s">
        <v>98</v>
      </c>
      <c r="L16" t="s">
        <v>13858</v>
      </c>
      <c r="O16" s="129">
        <v>45</v>
      </c>
    </row>
    <row r="17" spans="1:15" ht="18.75">
      <c r="A17" s="52" t="s">
        <v>99</v>
      </c>
      <c r="B17" s="71">
        <v>70</v>
      </c>
      <c r="E17" s="52" t="s">
        <v>100</v>
      </c>
      <c r="G17" s="54">
        <f>((B13*1000)/(B23*(SIN(RADIANS(B19))/COS(RADIANS(B21)))*PI()))</f>
        <v>456.21364992136216</v>
      </c>
      <c r="J17" s="57"/>
    </row>
    <row r="18" spans="1:15">
      <c r="B18" s="58"/>
      <c r="L18" t="s">
        <v>13857</v>
      </c>
      <c r="O18" s="18">
        <f>O15*1000/O16/(B17/B15)</f>
        <v>76.19047619047619</v>
      </c>
    </row>
    <row r="19" spans="1:15">
      <c r="A19" s="56" t="s">
        <v>101</v>
      </c>
      <c r="B19" s="71">
        <v>20</v>
      </c>
    </row>
    <row r="20" spans="1:15">
      <c r="B20" s="58"/>
    </row>
    <row r="21" spans="1:15" ht="18.75" customHeight="1">
      <c r="A21" s="59" t="s">
        <v>102</v>
      </c>
      <c r="B21" s="71">
        <v>0</v>
      </c>
      <c r="E21" s="52" t="s">
        <v>103</v>
      </c>
      <c r="G21" s="60">
        <f>TRUNC(B25/I11)</f>
        <v>9</v>
      </c>
    </row>
    <row r="22" spans="1:15">
      <c r="B22" s="58"/>
    </row>
    <row r="23" spans="1:15" ht="18.75">
      <c r="A23" s="52" t="s">
        <v>104</v>
      </c>
      <c r="B23" s="71">
        <v>142.80000000000001</v>
      </c>
      <c r="E23" s="52" t="s">
        <v>105</v>
      </c>
      <c r="G23" s="138" t="str">
        <f>IF(L23&lt;1,"1",INT((B25-(TRUNC(G21)*I11))/J11))</f>
        <v>1</v>
      </c>
    </row>
    <row r="25" spans="1:15" ht="18.75">
      <c r="A25" s="52" t="s">
        <v>106</v>
      </c>
      <c r="B25" s="71">
        <v>7.4</v>
      </c>
      <c r="C25" s="152" t="str">
        <f>CONCATENATE("(tot ",G21*I11+G23*J11,")")</f>
        <v>(tot 7.4)</v>
      </c>
    </row>
    <row r="30" spans="1:15" ht="30">
      <c r="A30" s="139" t="s">
        <v>13634</v>
      </c>
      <c r="B30" s="18">
        <f>B31+B32</f>
        <v>244.54003079309467</v>
      </c>
    </row>
    <row r="31" spans="1:15" ht="30">
      <c r="A31" s="140" t="s">
        <v>13635</v>
      </c>
      <c r="B31" s="141">
        <f>(((O10+O11)/O6)/(G15/60)*$O$5)</f>
        <v>198.50896617321803</v>
      </c>
    </row>
    <row r="32" spans="1:15" ht="30">
      <c r="A32" s="140" t="s">
        <v>13636</v>
      </c>
      <c r="B32" s="18">
        <f>(((O10+O11)/O8)/(G15/60)*$O$7)</f>
        <v>46.031064619876645</v>
      </c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</sheetData>
  <sheetProtection algorithmName="SHA-512" hashValue="lmD1S3WO31cQn6hB/4gd8aXv2HaafAR6zcQ0ndX24R/E845bB/j3iHxwq7zfxC6D42U7V6eocYswQkuPSDHExQ==" saltValue="uDWdJqAx7Y3NTMu8sdpFKA==" spinCount="100000" sheet="1" objects="1" scenarios="1"/>
  <mergeCells count="3">
    <mergeCell ref="A4:F4"/>
    <mergeCell ref="H4:J4"/>
    <mergeCell ref="H10:J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B173"/>
  <sheetViews>
    <sheetView workbookViewId="0">
      <selection activeCell="B3" sqref="B3"/>
    </sheetView>
  </sheetViews>
  <sheetFormatPr defaultRowHeight="15"/>
  <cols>
    <col min="11" max="28" width="9.140625" hidden="1" customWidth="1"/>
  </cols>
  <sheetData>
    <row r="1" spans="1:28" ht="20.100000000000001" customHeight="1">
      <c r="A1" s="17"/>
      <c r="B1" s="17"/>
      <c r="F1" s="28" t="s">
        <v>40</v>
      </c>
      <c r="K1" s="18"/>
      <c r="S1" s="19">
        <v>1</v>
      </c>
      <c r="T1" s="19">
        <v>2</v>
      </c>
      <c r="U1" s="19">
        <v>3</v>
      </c>
      <c r="W1" s="19">
        <v>1</v>
      </c>
      <c r="X1" s="19">
        <v>1</v>
      </c>
      <c r="Y1" s="19">
        <v>2</v>
      </c>
      <c r="Z1" s="19">
        <v>2</v>
      </c>
      <c r="AA1" s="19">
        <v>3</v>
      </c>
      <c r="AB1" s="19">
        <v>3</v>
      </c>
    </row>
    <row r="2" spans="1:28">
      <c r="A2" s="17"/>
      <c r="B2" s="17"/>
      <c r="E2" s="18"/>
      <c r="K2" s="18"/>
    </row>
    <row r="3" spans="1:28">
      <c r="A3" s="17" t="s">
        <v>0</v>
      </c>
      <c r="B3" s="29"/>
      <c r="D3" s="37"/>
      <c r="E3" s="20" t="str">
        <f>X3</f>
        <v/>
      </c>
      <c r="F3" s="21" t="str">
        <f>Z3</f>
        <v/>
      </c>
      <c r="G3" s="22" t="str">
        <f>AB3</f>
        <v/>
      </c>
      <c r="K3" s="18" t="str">
        <f>IF(Q3=0,"",$B$3/Q3)</f>
        <v/>
      </c>
      <c r="L3">
        <f>IF(Q51=0,"",$B$3/Q51)</f>
        <v>0</v>
      </c>
      <c r="M3">
        <f>IF(Q99=0,"",$B$3/Q99)</f>
        <v>0</v>
      </c>
      <c r="Q3" s="18">
        <f>B3</f>
        <v>0</v>
      </c>
      <c r="S3" t="str">
        <f>IF(K3&gt;0,K3,"")</f>
        <v/>
      </c>
      <c r="T3" t="str">
        <f>IF(L3&gt;0,L3,"")</f>
        <v/>
      </c>
      <c r="U3" t="str">
        <f>IF(M3&gt;0,M3,"")</f>
        <v/>
      </c>
      <c r="W3" t="str">
        <f>IF(Q3&gt;0,FLOOR(S3,1),"")</f>
        <v/>
      </c>
      <c r="X3" t="str">
        <f>IF(S3="","",IF((S3-W3)=0,S3,""))</f>
        <v/>
      </c>
      <c r="Y3" t="str">
        <f>IF(Q51&gt;0,FLOOR(T3,1),"")</f>
        <v/>
      </c>
      <c r="Z3" t="str">
        <f>IF(T3="","",IF((T3-Y3)=0,T3,""))</f>
        <v/>
      </c>
      <c r="AA3" t="str">
        <f>IF(Q99&gt;0,FLOOR(U3,1),"")</f>
        <v/>
      </c>
      <c r="AB3" t="str">
        <f>IF(U3="","",IF((U3-AA3)=0,U3,""))</f>
        <v/>
      </c>
    </row>
    <row r="4" spans="1:28">
      <c r="A4" s="17"/>
      <c r="B4" s="17"/>
      <c r="D4" s="37"/>
      <c r="E4" s="23" t="str">
        <f t="shared" ref="E4:E50" si="0">X4</f>
        <v/>
      </c>
      <c r="F4" s="23" t="str">
        <f t="shared" ref="F4:F50" si="1">Z4</f>
        <v/>
      </c>
      <c r="G4" s="24" t="str">
        <f t="shared" ref="G4:G50" si="2">AB4</f>
        <v/>
      </c>
      <c r="K4" s="18">
        <f t="shared" ref="K4:K50" si="3">IF(Q4=0,"",$B$3/Q4)</f>
        <v>0</v>
      </c>
      <c r="L4">
        <f t="shared" ref="L4:L50" si="4">IF(Q52=0,"",$B$3/Q52)</f>
        <v>0</v>
      </c>
      <c r="M4">
        <f t="shared" ref="M4:M50" si="5">IF(Q100=0,"",$B$3/Q100)</f>
        <v>0</v>
      </c>
      <c r="Q4" s="18">
        <f>Q3-1</f>
        <v>-1</v>
      </c>
      <c r="S4" t="str">
        <f t="shared" ref="S4:U50" si="6">IF(K4&gt;0,K4,"")</f>
        <v/>
      </c>
      <c r="T4" t="str">
        <f t="shared" si="6"/>
        <v/>
      </c>
      <c r="U4" t="str">
        <f t="shared" si="6"/>
        <v/>
      </c>
      <c r="W4" t="str">
        <f t="shared" ref="W4:W50" si="7">IF(Q4&gt;0,FLOOR(S4,1),"")</f>
        <v/>
      </c>
      <c r="X4" t="str">
        <f t="shared" ref="X4:X50" si="8">IF(S4="","",IF((S4-W4)=0,S4,""))</f>
        <v/>
      </c>
      <c r="Y4" t="str">
        <f t="shared" ref="Y4:Y50" si="9">IF(Q52&gt;0,FLOOR(T4,1),"")</f>
        <v/>
      </c>
      <c r="Z4" t="str">
        <f t="shared" ref="Z4:Z50" si="10">IF(T4="","",IF((T4-Y4)=0,T4,""))</f>
        <v/>
      </c>
      <c r="AA4" t="str">
        <f t="shared" ref="AA4:AA50" si="11">IF(Q100&gt;0,FLOOR(U4,1),"")</f>
        <v/>
      </c>
      <c r="AB4" t="str">
        <f t="shared" ref="AB4:AB50" si="12">IF(U4="","",IF((U4-AA4)=0,U4,""))</f>
        <v/>
      </c>
    </row>
    <row r="5" spans="1:28">
      <c r="A5" s="17"/>
      <c r="B5" s="17" t="str">
        <f>IF(K3=0,K3,"")</f>
        <v/>
      </c>
      <c r="D5" s="37"/>
      <c r="E5" s="23" t="str">
        <f t="shared" si="0"/>
        <v/>
      </c>
      <c r="F5" s="23" t="str">
        <f t="shared" si="1"/>
        <v/>
      </c>
      <c r="G5" s="24" t="str">
        <f t="shared" si="2"/>
        <v/>
      </c>
      <c r="K5" s="18">
        <f t="shared" si="3"/>
        <v>0</v>
      </c>
      <c r="L5">
        <f t="shared" si="4"/>
        <v>0</v>
      </c>
      <c r="M5">
        <f t="shared" si="5"/>
        <v>0</v>
      </c>
      <c r="Q5" s="18">
        <f>Q4-1</f>
        <v>-2</v>
      </c>
      <c r="S5" t="str">
        <f t="shared" si="6"/>
        <v/>
      </c>
      <c r="T5" t="str">
        <f t="shared" si="6"/>
        <v/>
      </c>
      <c r="U5" t="str">
        <f t="shared" si="6"/>
        <v/>
      </c>
      <c r="W5" t="str">
        <f t="shared" si="7"/>
        <v/>
      </c>
      <c r="X5" t="str">
        <f t="shared" si="8"/>
        <v/>
      </c>
      <c r="Y5" t="str">
        <f t="shared" si="9"/>
        <v/>
      </c>
      <c r="Z5" t="str">
        <f t="shared" si="10"/>
        <v/>
      </c>
      <c r="AA5" t="str">
        <f t="shared" si="11"/>
        <v/>
      </c>
      <c r="AB5" t="str">
        <f t="shared" si="12"/>
        <v/>
      </c>
    </row>
    <row r="6" spans="1:28">
      <c r="A6" s="17"/>
      <c r="B6" s="17"/>
      <c r="D6" s="37"/>
      <c r="E6" s="23" t="str">
        <f t="shared" si="0"/>
        <v/>
      </c>
      <c r="F6" s="23" t="str">
        <f t="shared" si="1"/>
        <v/>
      </c>
      <c r="G6" s="24" t="str">
        <f t="shared" si="2"/>
        <v/>
      </c>
      <c r="K6" s="18">
        <f t="shared" si="3"/>
        <v>0</v>
      </c>
      <c r="L6">
        <f t="shared" si="4"/>
        <v>0</v>
      </c>
      <c r="M6">
        <f t="shared" si="5"/>
        <v>0</v>
      </c>
      <c r="Q6" s="18">
        <f>Q5-1</f>
        <v>-3</v>
      </c>
      <c r="S6" t="str">
        <f t="shared" si="6"/>
        <v/>
      </c>
      <c r="T6" t="str">
        <f t="shared" si="6"/>
        <v/>
      </c>
      <c r="U6" t="str">
        <f t="shared" si="6"/>
        <v/>
      </c>
      <c r="W6" t="str">
        <f t="shared" si="7"/>
        <v/>
      </c>
      <c r="X6" t="str">
        <f t="shared" si="8"/>
        <v/>
      </c>
      <c r="Y6" t="str">
        <f t="shared" si="9"/>
        <v/>
      </c>
      <c r="Z6" t="str">
        <f t="shared" si="10"/>
        <v/>
      </c>
      <c r="AA6" t="str">
        <f t="shared" si="11"/>
        <v/>
      </c>
      <c r="AB6" t="str">
        <f t="shared" si="12"/>
        <v/>
      </c>
    </row>
    <row r="7" spans="1:28">
      <c r="A7" s="17"/>
      <c r="B7" s="17"/>
      <c r="D7" s="37"/>
      <c r="E7" s="23" t="str">
        <f t="shared" si="0"/>
        <v/>
      </c>
      <c r="F7" s="23" t="str">
        <f t="shared" si="1"/>
        <v/>
      </c>
      <c r="G7" s="24" t="str">
        <f t="shared" si="2"/>
        <v/>
      </c>
      <c r="K7" s="18">
        <f t="shared" si="3"/>
        <v>0</v>
      </c>
      <c r="L7">
        <f t="shared" si="4"/>
        <v>0</v>
      </c>
      <c r="M7">
        <f t="shared" si="5"/>
        <v>0</v>
      </c>
      <c r="Q7" s="18">
        <f>Q6-1</f>
        <v>-4</v>
      </c>
      <c r="S7" t="str">
        <f t="shared" si="6"/>
        <v/>
      </c>
      <c r="T7" t="str">
        <f t="shared" si="6"/>
        <v/>
      </c>
      <c r="U7" t="str">
        <f t="shared" si="6"/>
        <v/>
      </c>
      <c r="W7" t="str">
        <f t="shared" si="7"/>
        <v/>
      </c>
      <c r="X7" t="str">
        <f t="shared" si="8"/>
        <v/>
      </c>
      <c r="Y7" t="str">
        <f t="shared" si="9"/>
        <v/>
      </c>
      <c r="Z7" t="str">
        <f t="shared" si="10"/>
        <v/>
      </c>
      <c r="AA7" t="str">
        <f t="shared" si="11"/>
        <v/>
      </c>
      <c r="AB7" t="str">
        <f t="shared" si="12"/>
        <v/>
      </c>
    </row>
    <row r="8" spans="1:28">
      <c r="A8" s="17"/>
      <c r="B8" s="17"/>
      <c r="D8" s="37"/>
      <c r="E8" s="23" t="str">
        <f t="shared" si="0"/>
        <v/>
      </c>
      <c r="F8" s="23" t="str">
        <f t="shared" si="1"/>
        <v/>
      </c>
      <c r="G8" s="24" t="str">
        <f t="shared" si="2"/>
        <v/>
      </c>
      <c r="K8" s="18">
        <f t="shared" si="3"/>
        <v>0</v>
      </c>
      <c r="L8">
        <f t="shared" si="4"/>
        <v>0</v>
      </c>
      <c r="M8">
        <f t="shared" si="5"/>
        <v>0</v>
      </c>
      <c r="Q8" s="18">
        <f t="shared" ref="Q8:Q40" si="13">Q7-1</f>
        <v>-5</v>
      </c>
      <c r="S8" t="str">
        <f t="shared" si="6"/>
        <v/>
      </c>
      <c r="T8" t="str">
        <f t="shared" si="6"/>
        <v/>
      </c>
      <c r="U8" t="str">
        <f t="shared" si="6"/>
        <v/>
      </c>
      <c r="W8" t="str">
        <f t="shared" si="7"/>
        <v/>
      </c>
      <c r="X8" t="str">
        <f t="shared" si="8"/>
        <v/>
      </c>
      <c r="Y8" t="str">
        <f t="shared" si="9"/>
        <v/>
      </c>
      <c r="Z8" t="str">
        <f t="shared" si="10"/>
        <v/>
      </c>
      <c r="AA8" t="str">
        <f t="shared" si="11"/>
        <v/>
      </c>
      <c r="AB8" t="str">
        <f t="shared" si="12"/>
        <v/>
      </c>
    </row>
    <row r="9" spans="1:28">
      <c r="A9" s="17"/>
      <c r="B9" s="17"/>
      <c r="D9" s="37"/>
      <c r="E9" s="23" t="str">
        <f t="shared" si="0"/>
        <v/>
      </c>
      <c r="F9" s="23" t="str">
        <f t="shared" si="1"/>
        <v/>
      </c>
      <c r="G9" s="24" t="str">
        <f t="shared" si="2"/>
        <v/>
      </c>
      <c r="K9" s="18">
        <f t="shared" si="3"/>
        <v>0</v>
      </c>
      <c r="L9">
        <f t="shared" si="4"/>
        <v>0</v>
      </c>
      <c r="M9">
        <f t="shared" si="5"/>
        <v>0</v>
      </c>
      <c r="Q9" s="18">
        <f t="shared" si="13"/>
        <v>-6</v>
      </c>
      <c r="S9" t="str">
        <f t="shared" si="6"/>
        <v/>
      </c>
      <c r="T9" t="str">
        <f t="shared" si="6"/>
        <v/>
      </c>
      <c r="U9" t="str">
        <f t="shared" si="6"/>
        <v/>
      </c>
      <c r="W9" t="str">
        <f t="shared" si="7"/>
        <v/>
      </c>
      <c r="X9" t="str">
        <f t="shared" si="8"/>
        <v/>
      </c>
      <c r="Y9" t="str">
        <f t="shared" si="9"/>
        <v/>
      </c>
      <c r="Z9" t="str">
        <f t="shared" si="10"/>
        <v/>
      </c>
      <c r="AA9" t="str">
        <f t="shared" si="11"/>
        <v/>
      </c>
      <c r="AB9" t="str">
        <f t="shared" si="12"/>
        <v/>
      </c>
    </row>
    <row r="10" spans="1:28">
      <c r="A10" s="17"/>
      <c r="B10" s="17"/>
      <c r="D10" s="37"/>
      <c r="E10" s="23" t="str">
        <f t="shared" si="0"/>
        <v/>
      </c>
      <c r="F10" s="23" t="str">
        <f t="shared" si="1"/>
        <v/>
      </c>
      <c r="G10" s="24" t="str">
        <f t="shared" si="2"/>
        <v/>
      </c>
      <c r="K10" s="18">
        <f t="shared" si="3"/>
        <v>0</v>
      </c>
      <c r="L10">
        <f t="shared" si="4"/>
        <v>0</v>
      </c>
      <c r="M10">
        <f t="shared" si="5"/>
        <v>0</v>
      </c>
      <c r="Q10" s="18">
        <f t="shared" si="13"/>
        <v>-7</v>
      </c>
      <c r="S10" t="str">
        <f t="shared" si="6"/>
        <v/>
      </c>
      <c r="T10" t="str">
        <f t="shared" si="6"/>
        <v/>
      </c>
      <c r="U10" t="str">
        <f t="shared" si="6"/>
        <v/>
      </c>
      <c r="W10" t="str">
        <f t="shared" si="7"/>
        <v/>
      </c>
      <c r="X10" t="str">
        <f t="shared" si="8"/>
        <v/>
      </c>
      <c r="Y10" t="str">
        <f t="shared" si="9"/>
        <v/>
      </c>
      <c r="Z10" t="str">
        <f t="shared" si="10"/>
        <v/>
      </c>
      <c r="AA10" t="str">
        <f t="shared" si="11"/>
        <v/>
      </c>
      <c r="AB10" t="str">
        <f t="shared" si="12"/>
        <v/>
      </c>
    </row>
    <row r="11" spans="1:28">
      <c r="A11" s="17"/>
      <c r="B11" s="17"/>
      <c r="D11" s="37"/>
      <c r="E11" s="23" t="str">
        <f t="shared" si="0"/>
        <v/>
      </c>
      <c r="F11" s="23" t="str">
        <f t="shared" si="1"/>
        <v/>
      </c>
      <c r="G11" s="24" t="str">
        <f t="shared" si="2"/>
        <v/>
      </c>
      <c r="K11" s="18">
        <f t="shared" si="3"/>
        <v>0</v>
      </c>
      <c r="L11">
        <f t="shared" si="4"/>
        <v>0</v>
      </c>
      <c r="M11">
        <f t="shared" si="5"/>
        <v>0</v>
      </c>
      <c r="Q11" s="18">
        <f t="shared" si="13"/>
        <v>-8</v>
      </c>
      <c r="S11" t="str">
        <f t="shared" si="6"/>
        <v/>
      </c>
      <c r="T11" t="str">
        <f t="shared" si="6"/>
        <v/>
      </c>
      <c r="U11" t="str">
        <f t="shared" si="6"/>
        <v/>
      </c>
      <c r="W11" t="str">
        <f t="shared" si="7"/>
        <v/>
      </c>
      <c r="X11" t="str">
        <f t="shared" si="8"/>
        <v/>
      </c>
      <c r="Y11" t="str">
        <f t="shared" si="9"/>
        <v/>
      </c>
      <c r="Z11" t="str">
        <f t="shared" si="10"/>
        <v/>
      </c>
      <c r="AA11" t="str">
        <f t="shared" si="11"/>
        <v/>
      </c>
      <c r="AB11" t="str">
        <f t="shared" si="12"/>
        <v/>
      </c>
    </row>
    <row r="12" spans="1:28">
      <c r="A12" s="17"/>
      <c r="B12" s="17"/>
      <c r="D12" s="37"/>
      <c r="E12" s="23" t="str">
        <f t="shared" si="0"/>
        <v/>
      </c>
      <c r="F12" s="23" t="str">
        <f t="shared" si="1"/>
        <v/>
      </c>
      <c r="G12" s="24" t="str">
        <f t="shared" si="2"/>
        <v/>
      </c>
      <c r="K12" s="18">
        <f t="shared" si="3"/>
        <v>0</v>
      </c>
      <c r="L12">
        <f t="shared" si="4"/>
        <v>0</v>
      </c>
      <c r="M12">
        <f t="shared" si="5"/>
        <v>0</v>
      </c>
      <c r="Q12" s="18">
        <f t="shared" si="13"/>
        <v>-9</v>
      </c>
      <c r="S12" t="str">
        <f t="shared" si="6"/>
        <v/>
      </c>
      <c r="T12" t="str">
        <f t="shared" si="6"/>
        <v/>
      </c>
      <c r="U12" t="str">
        <f t="shared" si="6"/>
        <v/>
      </c>
      <c r="W12" t="str">
        <f t="shared" si="7"/>
        <v/>
      </c>
      <c r="X12" t="str">
        <f t="shared" si="8"/>
        <v/>
      </c>
      <c r="Y12" t="str">
        <f t="shared" si="9"/>
        <v/>
      </c>
      <c r="Z12" t="str">
        <f t="shared" si="10"/>
        <v/>
      </c>
      <c r="AA12" t="str">
        <f t="shared" si="11"/>
        <v/>
      </c>
      <c r="AB12" t="str">
        <f t="shared" si="12"/>
        <v/>
      </c>
    </row>
    <row r="13" spans="1:28">
      <c r="A13" s="17"/>
      <c r="B13" s="17"/>
      <c r="D13" s="37"/>
      <c r="E13" s="23" t="str">
        <f t="shared" si="0"/>
        <v/>
      </c>
      <c r="F13" s="23" t="str">
        <f t="shared" si="1"/>
        <v/>
      </c>
      <c r="G13" s="24" t="str">
        <f t="shared" si="2"/>
        <v/>
      </c>
      <c r="K13" s="18">
        <f t="shared" si="3"/>
        <v>0</v>
      </c>
      <c r="L13">
        <f t="shared" si="4"/>
        <v>0</v>
      </c>
      <c r="M13">
        <f t="shared" si="5"/>
        <v>0</v>
      </c>
      <c r="Q13" s="18">
        <f t="shared" si="13"/>
        <v>-10</v>
      </c>
      <c r="S13" t="str">
        <f t="shared" si="6"/>
        <v/>
      </c>
      <c r="T13" t="str">
        <f t="shared" si="6"/>
        <v/>
      </c>
      <c r="U13" t="str">
        <f t="shared" si="6"/>
        <v/>
      </c>
      <c r="W13" t="str">
        <f t="shared" si="7"/>
        <v/>
      </c>
      <c r="X13" t="str">
        <f t="shared" si="8"/>
        <v/>
      </c>
      <c r="Y13" t="str">
        <f t="shared" si="9"/>
        <v/>
      </c>
      <c r="Z13" t="str">
        <f t="shared" si="10"/>
        <v/>
      </c>
      <c r="AA13" t="str">
        <f t="shared" si="11"/>
        <v/>
      </c>
      <c r="AB13" t="str">
        <f t="shared" si="12"/>
        <v/>
      </c>
    </row>
    <row r="14" spans="1:28">
      <c r="A14" s="17"/>
      <c r="B14" s="17"/>
      <c r="D14" s="37"/>
      <c r="E14" s="23" t="str">
        <f t="shared" si="0"/>
        <v/>
      </c>
      <c r="F14" s="23" t="str">
        <f t="shared" si="1"/>
        <v/>
      </c>
      <c r="G14" s="24" t="str">
        <f t="shared" si="2"/>
        <v/>
      </c>
      <c r="K14" s="18">
        <f t="shared" si="3"/>
        <v>0</v>
      </c>
      <c r="L14">
        <f t="shared" si="4"/>
        <v>0</v>
      </c>
      <c r="M14">
        <f t="shared" si="5"/>
        <v>0</v>
      </c>
      <c r="Q14" s="18">
        <f t="shared" si="13"/>
        <v>-11</v>
      </c>
      <c r="S14" t="str">
        <f t="shared" si="6"/>
        <v/>
      </c>
      <c r="T14" t="str">
        <f t="shared" si="6"/>
        <v/>
      </c>
      <c r="U14" t="str">
        <f t="shared" si="6"/>
        <v/>
      </c>
      <c r="W14" t="str">
        <f t="shared" si="7"/>
        <v/>
      </c>
      <c r="X14" t="str">
        <f t="shared" si="8"/>
        <v/>
      </c>
      <c r="Y14" t="str">
        <f t="shared" si="9"/>
        <v/>
      </c>
      <c r="Z14" t="str">
        <f t="shared" si="10"/>
        <v/>
      </c>
      <c r="AA14" t="str">
        <f t="shared" si="11"/>
        <v/>
      </c>
      <c r="AB14" t="str">
        <f t="shared" si="12"/>
        <v/>
      </c>
    </row>
    <row r="15" spans="1:28">
      <c r="A15" s="17"/>
      <c r="B15" s="17"/>
      <c r="D15" s="37"/>
      <c r="E15" s="23" t="str">
        <f t="shared" si="0"/>
        <v/>
      </c>
      <c r="F15" s="23" t="str">
        <f t="shared" si="1"/>
        <v/>
      </c>
      <c r="G15" s="24" t="str">
        <f t="shared" si="2"/>
        <v/>
      </c>
      <c r="K15" s="18">
        <f t="shared" si="3"/>
        <v>0</v>
      </c>
      <c r="L15">
        <f t="shared" si="4"/>
        <v>0</v>
      </c>
      <c r="M15">
        <f t="shared" si="5"/>
        <v>0</v>
      </c>
      <c r="Q15" s="18">
        <f t="shared" si="13"/>
        <v>-12</v>
      </c>
      <c r="S15" t="str">
        <f t="shared" si="6"/>
        <v/>
      </c>
      <c r="T15" t="str">
        <f t="shared" si="6"/>
        <v/>
      </c>
      <c r="U15" t="str">
        <f t="shared" si="6"/>
        <v/>
      </c>
      <c r="W15" t="str">
        <f t="shared" si="7"/>
        <v/>
      </c>
      <c r="X15" t="str">
        <f t="shared" si="8"/>
        <v/>
      </c>
      <c r="Y15" t="str">
        <f t="shared" si="9"/>
        <v/>
      </c>
      <c r="Z15" t="str">
        <f t="shared" si="10"/>
        <v/>
      </c>
      <c r="AA15" t="str">
        <f t="shared" si="11"/>
        <v/>
      </c>
      <c r="AB15" t="str">
        <f t="shared" si="12"/>
        <v/>
      </c>
    </row>
    <row r="16" spans="1:28">
      <c r="A16" s="17"/>
      <c r="B16" s="17"/>
      <c r="D16" s="37"/>
      <c r="E16" s="23" t="str">
        <f t="shared" si="0"/>
        <v/>
      </c>
      <c r="F16" s="23" t="str">
        <f t="shared" si="1"/>
        <v/>
      </c>
      <c r="G16" s="24" t="str">
        <f t="shared" si="2"/>
        <v/>
      </c>
      <c r="K16" s="18">
        <f t="shared" si="3"/>
        <v>0</v>
      </c>
      <c r="L16">
        <f t="shared" si="4"/>
        <v>0</v>
      </c>
      <c r="M16">
        <f t="shared" si="5"/>
        <v>0</v>
      </c>
      <c r="Q16" s="18">
        <f t="shared" si="13"/>
        <v>-13</v>
      </c>
      <c r="S16" t="str">
        <f t="shared" si="6"/>
        <v/>
      </c>
      <c r="T16" t="str">
        <f t="shared" si="6"/>
        <v/>
      </c>
      <c r="U16" t="str">
        <f t="shared" si="6"/>
        <v/>
      </c>
      <c r="W16" t="str">
        <f t="shared" si="7"/>
        <v/>
      </c>
      <c r="X16" t="str">
        <f t="shared" si="8"/>
        <v/>
      </c>
      <c r="Y16" t="str">
        <f t="shared" si="9"/>
        <v/>
      </c>
      <c r="Z16" t="str">
        <f t="shared" si="10"/>
        <v/>
      </c>
      <c r="AA16" t="str">
        <f t="shared" si="11"/>
        <v/>
      </c>
      <c r="AB16" t="str">
        <f t="shared" si="12"/>
        <v/>
      </c>
    </row>
    <row r="17" spans="1:28">
      <c r="A17" s="17"/>
      <c r="B17" s="17"/>
      <c r="D17" s="37"/>
      <c r="E17" s="23" t="str">
        <f t="shared" si="0"/>
        <v/>
      </c>
      <c r="F17" s="23" t="str">
        <f t="shared" si="1"/>
        <v/>
      </c>
      <c r="G17" s="24" t="str">
        <f t="shared" si="2"/>
        <v/>
      </c>
      <c r="K17" s="18">
        <f t="shared" si="3"/>
        <v>0</v>
      </c>
      <c r="L17">
        <f t="shared" si="4"/>
        <v>0</v>
      </c>
      <c r="M17">
        <f t="shared" si="5"/>
        <v>0</v>
      </c>
      <c r="Q17" s="18">
        <f t="shared" si="13"/>
        <v>-14</v>
      </c>
      <c r="S17" t="str">
        <f t="shared" si="6"/>
        <v/>
      </c>
      <c r="T17" t="str">
        <f t="shared" si="6"/>
        <v/>
      </c>
      <c r="U17" t="str">
        <f t="shared" si="6"/>
        <v/>
      </c>
      <c r="W17" t="str">
        <f t="shared" si="7"/>
        <v/>
      </c>
      <c r="X17" t="str">
        <f t="shared" si="8"/>
        <v/>
      </c>
      <c r="Y17" t="str">
        <f t="shared" si="9"/>
        <v/>
      </c>
      <c r="Z17" t="str">
        <f t="shared" si="10"/>
        <v/>
      </c>
      <c r="AA17" t="str">
        <f t="shared" si="11"/>
        <v/>
      </c>
      <c r="AB17" t="str">
        <f t="shared" si="12"/>
        <v/>
      </c>
    </row>
    <row r="18" spans="1:28">
      <c r="A18" s="17"/>
      <c r="B18" s="17"/>
      <c r="D18" s="37"/>
      <c r="E18" s="23" t="str">
        <f t="shared" si="0"/>
        <v/>
      </c>
      <c r="F18" s="23" t="str">
        <f t="shared" si="1"/>
        <v/>
      </c>
      <c r="G18" s="24" t="str">
        <f t="shared" si="2"/>
        <v/>
      </c>
      <c r="K18" s="18">
        <f t="shared" si="3"/>
        <v>0</v>
      </c>
      <c r="L18">
        <f t="shared" si="4"/>
        <v>0</v>
      </c>
      <c r="M18">
        <f t="shared" si="5"/>
        <v>0</v>
      </c>
      <c r="Q18" s="18">
        <f t="shared" si="13"/>
        <v>-15</v>
      </c>
      <c r="S18" t="str">
        <f t="shared" si="6"/>
        <v/>
      </c>
      <c r="T18" t="str">
        <f t="shared" si="6"/>
        <v/>
      </c>
      <c r="U18" t="str">
        <f t="shared" si="6"/>
        <v/>
      </c>
      <c r="W18" t="str">
        <f t="shared" si="7"/>
        <v/>
      </c>
      <c r="X18" t="str">
        <f t="shared" si="8"/>
        <v/>
      </c>
      <c r="Y18" t="str">
        <f t="shared" si="9"/>
        <v/>
      </c>
      <c r="Z18" t="str">
        <f t="shared" si="10"/>
        <v/>
      </c>
      <c r="AA18" t="str">
        <f t="shared" si="11"/>
        <v/>
      </c>
      <c r="AB18" t="str">
        <f t="shared" si="12"/>
        <v/>
      </c>
    </row>
    <row r="19" spans="1:28">
      <c r="A19" s="17"/>
      <c r="B19" s="17"/>
      <c r="D19" s="37"/>
      <c r="E19" s="23" t="str">
        <f t="shared" si="0"/>
        <v/>
      </c>
      <c r="F19" s="23" t="str">
        <f t="shared" si="1"/>
        <v/>
      </c>
      <c r="G19" s="24" t="str">
        <f t="shared" si="2"/>
        <v/>
      </c>
      <c r="K19" s="18">
        <f t="shared" si="3"/>
        <v>0</v>
      </c>
      <c r="L19">
        <f t="shared" si="4"/>
        <v>0</v>
      </c>
      <c r="M19">
        <f t="shared" si="5"/>
        <v>0</v>
      </c>
      <c r="Q19" s="18">
        <f t="shared" si="13"/>
        <v>-16</v>
      </c>
      <c r="S19" t="str">
        <f t="shared" si="6"/>
        <v/>
      </c>
      <c r="T19" t="str">
        <f t="shared" si="6"/>
        <v/>
      </c>
      <c r="U19" t="str">
        <f t="shared" si="6"/>
        <v/>
      </c>
      <c r="W19" t="str">
        <f t="shared" si="7"/>
        <v/>
      </c>
      <c r="X19" t="str">
        <f t="shared" si="8"/>
        <v/>
      </c>
      <c r="Y19" t="str">
        <f t="shared" si="9"/>
        <v/>
      </c>
      <c r="Z19" t="str">
        <f t="shared" si="10"/>
        <v/>
      </c>
      <c r="AA19" t="str">
        <f t="shared" si="11"/>
        <v/>
      </c>
      <c r="AB19" t="str">
        <f t="shared" si="12"/>
        <v/>
      </c>
    </row>
    <row r="20" spans="1:28">
      <c r="A20" s="17"/>
      <c r="B20" s="17"/>
      <c r="D20" s="37"/>
      <c r="E20" s="23" t="str">
        <f t="shared" si="0"/>
        <v/>
      </c>
      <c r="F20" s="23" t="str">
        <f t="shared" si="1"/>
        <v/>
      </c>
      <c r="G20" s="24" t="str">
        <f t="shared" si="2"/>
        <v/>
      </c>
      <c r="K20" s="18">
        <f t="shared" si="3"/>
        <v>0</v>
      </c>
      <c r="L20">
        <f t="shared" si="4"/>
        <v>0</v>
      </c>
      <c r="M20">
        <f t="shared" si="5"/>
        <v>0</v>
      </c>
      <c r="Q20" s="18">
        <f t="shared" si="13"/>
        <v>-17</v>
      </c>
      <c r="S20" t="str">
        <f t="shared" si="6"/>
        <v/>
      </c>
      <c r="T20" t="str">
        <f t="shared" si="6"/>
        <v/>
      </c>
      <c r="U20" t="str">
        <f t="shared" si="6"/>
        <v/>
      </c>
      <c r="W20" t="str">
        <f t="shared" si="7"/>
        <v/>
      </c>
      <c r="X20" t="str">
        <f t="shared" si="8"/>
        <v/>
      </c>
      <c r="Y20" t="str">
        <f t="shared" si="9"/>
        <v/>
      </c>
      <c r="Z20" t="str">
        <f t="shared" si="10"/>
        <v/>
      </c>
      <c r="AA20" t="str">
        <f t="shared" si="11"/>
        <v/>
      </c>
      <c r="AB20" t="str">
        <f t="shared" si="12"/>
        <v/>
      </c>
    </row>
    <row r="21" spans="1:28">
      <c r="A21" s="17"/>
      <c r="B21" s="17"/>
      <c r="D21" s="37"/>
      <c r="E21" s="23" t="str">
        <f t="shared" si="0"/>
        <v/>
      </c>
      <c r="F21" s="23" t="str">
        <f t="shared" si="1"/>
        <v/>
      </c>
      <c r="G21" s="24" t="str">
        <f t="shared" si="2"/>
        <v/>
      </c>
      <c r="K21" s="18">
        <f t="shared" si="3"/>
        <v>0</v>
      </c>
      <c r="L21">
        <f t="shared" si="4"/>
        <v>0</v>
      </c>
      <c r="M21">
        <f t="shared" si="5"/>
        <v>0</v>
      </c>
      <c r="Q21" s="18">
        <f t="shared" si="13"/>
        <v>-18</v>
      </c>
      <c r="S21" t="str">
        <f t="shared" si="6"/>
        <v/>
      </c>
      <c r="T21" t="str">
        <f t="shared" si="6"/>
        <v/>
      </c>
      <c r="U21" t="str">
        <f t="shared" si="6"/>
        <v/>
      </c>
      <c r="W21" t="str">
        <f t="shared" si="7"/>
        <v/>
      </c>
      <c r="X21" t="str">
        <f t="shared" si="8"/>
        <v/>
      </c>
      <c r="Y21" t="str">
        <f t="shared" si="9"/>
        <v/>
      </c>
      <c r="Z21" t="str">
        <f t="shared" si="10"/>
        <v/>
      </c>
      <c r="AA21" t="str">
        <f t="shared" si="11"/>
        <v/>
      </c>
      <c r="AB21" t="str">
        <f t="shared" si="12"/>
        <v/>
      </c>
    </row>
    <row r="22" spans="1:28">
      <c r="A22" s="17"/>
      <c r="B22" s="17"/>
      <c r="D22" s="37"/>
      <c r="E22" s="23" t="str">
        <f t="shared" si="0"/>
        <v/>
      </c>
      <c r="F22" s="23" t="str">
        <f t="shared" si="1"/>
        <v/>
      </c>
      <c r="G22" s="24" t="str">
        <f t="shared" si="2"/>
        <v/>
      </c>
      <c r="K22" s="18">
        <f t="shared" si="3"/>
        <v>0</v>
      </c>
      <c r="L22">
        <f t="shared" si="4"/>
        <v>0</v>
      </c>
      <c r="M22">
        <f t="shared" si="5"/>
        <v>0</v>
      </c>
      <c r="Q22" s="18">
        <f t="shared" si="13"/>
        <v>-19</v>
      </c>
      <c r="S22" t="str">
        <f t="shared" si="6"/>
        <v/>
      </c>
      <c r="T22" t="str">
        <f t="shared" si="6"/>
        <v/>
      </c>
      <c r="U22" t="str">
        <f t="shared" si="6"/>
        <v/>
      </c>
      <c r="W22" t="str">
        <f t="shared" si="7"/>
        <v/>
      </c>
      <c r="X22" t="str">
        <f t="shared" si="8"/>
        <v/>
      </c>
      <c r="Y22" t="str">
        <f t="shared" si="9"/>
        <v/>
      </c>
      <c r="Z22" t="str">
        <f t="shared" si="10"/>
        <v/>
      </c>
      <c r="AA22" t="str">
        <f t="shared" si="11"/>
        <v/>
      </c>
      <c r="AB22" t="str">
        <f t="shared" si="12"/>
        <v/>
      </c>
    </row>
    <row r="23" spans="1:28">
      <c r="A23" s="17"/>
      <c r="B23" s="17"/>
      <c r="D23" s="37"/>
      <c r="E23" s="23" t="str">
        <f t="shared" si="0"/>
        <v/>
      </c>
      <c r="F23" s="23" t="str">
        <f t="shared" si="1"/>
        <v/>
      </c>
      <c r="G23" s="24" t="str">
        <f t="shared" si="2"/>
        <v/>
      </c>
      <c r="K23" s="18">
        <f t="shared" si="3"/>
        <v>0</v>
      </c>
      <c r="L23">
        <f t="shared" si="4"/>
        <v>0</v>
      </c>
      <c r="M23">
        <f t="shared" si="5"/>
        <v>0</v>
      </c>
      <c r="Q23" s="18">
        <f t="shared" si="13"/>
        <v>-20</v>
      </c>
      <c r="S23" t="str">
        <f t="shared" si="6"/>
        <v/>
      </c>
      <c r="T23" t="str">
        <f t="shared" si="6"/>
        <v/>
      </c>
      <c r="U23" t="str">
        <f t="shared" si="6"/>
        <v/>
      </c>
      <c r="W23" t="str">
        <f t="shared" si="7"/>
        <v/>
      </c>
      <c r="X23" t="str">
        <f t="shared" si="8"/>
        <v/>
      </c>
      <c r="Y23" t="str">
        <f t="shared" si="9"/>
        <v/>
      </c>
      <c r="Z23" t="str">
        <f t="shared" si="10"/>
        <v/>
      </c>
      <c r="AA23" t="str">
        <f t="shared" si="11"/>
        <v/>
      </c>
      <c r="AB23" t="str">
        <f t="shared" si="12"/>
        <v/>
      </c>
    </row>
    <row r="24" spans="1:28">
      <c r="A24" s="17"/>
      <c r="B24" s="17"/>
      <c r="D24" s="37"/>
      <c r="E24" s="23" t="str">
        <f t="shared" si="0"/>
        <v/>
      </c>
      <c r="F24" s="23" t="str">
        <f t="shared" si="1"/>
        <v/>
      </c>
      <c r="G24" s="24" t="str">
        <f t="shared" si="2"/>
        <v/>
      </c>
      <c r="K24" s="18">
        <f t="shared" si="3"/>
        <v>0</v>
      </c>
      <c r="L24">
        <f t="shared" si="4"/>
        <v>0</v>
      </c>
      <c r="M24">
        <f t="shared" si="5"/>
        <v>0</v>
      </c>
      <c r="Q24" s="18">
        <f t="shared" si="13"/>
        <v>-21</v>
      </c>
      <c r="S24" t="str">
        <f t="shared" si="6"/>
        <v/>
      </c>
      <c r="T24" t="str">
        <f t="shared" si="6"/>
        <v/>
      </c>
      <c r="U24" t="str">
        <f t="shared" si="6"/>
        <v/>
      </c>
      <c r="W24" t="str">
        <f t="shared" si="7"/>
        <v/>
      </c>
      <c r="X24" t="str">
        <f t="shared" si="8"/>
        <v/>
      </c>
      <c r="Y24" t="str">
        <f t="shared" si="9"/>
        <v/>
      </c>
      <c r="Z24" t="str">
        <f t="shared" si="10"/>
        <v/>
      </c>
      <c r="AA24" t="str">
        <f t="shared" si="11"/>
        <v/>
      </c>
      <c r="AB24" t="str">
        <f t="shared" si="12"/>
        <v/>
      </c>
    </row>
    <row r="25" spans="1:28">
      <c r="A25" s="17"/>
      <c r="B25" s="17"/>
      <c r="D25" s="37"/>
      <c r="E25" s="23" t="str">
        <f t="shared" si="0"/>
        <v/>
      </c>
      <c r="F25" s="23" t="str">
        <f t="shared" si="1"/>
        <v/>
      </c>
      <c r="G25" s="24" t="str">
        <f t="shared" si="2"/>
        <v/>
      </c>
      <c r="K25" s="18">
        <f t="shared" si="3"/>
        <v>0</v>
      </c>
      <c r="L25">
        <f t="shared" si="4"/>
        <v>0</v>
      </c>
      <c r="M25">
        <f t="shared" si="5"/>
        <v>0</v>
      </c>
      <c r="Q25" s="18">
        <f t="shared" si="13"/>
        <v>-22</v>
      </c>
      <c r="S25" t="str">
        <f t="shared" si="6"/>
        <v/>
      </c>
      <c r="T25" t="str">
        <f t="shared" si="6"/>
        <v/>
      </c>
      <c r="U25" t="str">
        <f t="shared" si="6"/>
        <v/>
      </c>
      <c r="W25" t="str">
        <f t="shared" si="7"/>
        <v/>
      </c>
      <c r="X25" t="str">
        <f t="shared" si="8"/>
        <v/>
      </c>
      <c r="Y25" t="str">
        <f t="shared" si="9"/>
        <v/>
      </c>
      <c r="Z25" t="str">
        <f t="shared" si="10"/>
        <v/>
      </c>
      <c r="AA25" t="str">
        <f t="shared" si="11"/>
        <v/>
      </c>
      <c r="AB25" t="str">
        <f t="shared" si="12"/>
        <v/>
      </c>
    </row>
    <row r="26" spans="1:28">
      <c r="A26" s="17"/>
      <c r="B26" s="17"/>
      <c r="D26" s="37"/>
      <c r="E26" s="23" t="str">
        <f t="shared" si="0"/>
        <v/>
      </c>
      <c r="F26" s="23" t="str">
        <f t="shared" si="1"/>
        <v/>
      </c>
      <c r="G26" s="24" t="str">
        <f t="shared" si="2"/>
        <v/>
      </c>
      <c r="K26" s="18">
        <f t="shared" si="3"/>
        <v>0</v>
      </c>
      <c r="L26">
        <f t="shared" si="4"/>
        <v>0</v>
      </c>
      <c r="M26">
        <f t="shared" si="5"/>
        <v>0</v>
      </c>
      <c r="Q26" s="18">
        <f t="shared" si="13"/>
        <v>-23</v>
      </c>
      <c r="S26" t="str">
        <f t="shared" si="6"/>
        <v/>
      </c>
      <c r="T26" t="str">
        <f t="shared" si="6"/>
        <v/>
      </c>
      <c r="U26" t="str">
        <f t="shared" si="6"/>
        <v/>
      </c>
      <c r="W26" t="str">
        <f t="shared" si="7"/>
        <v/>
      </c>
      <c r="X26" t="str">
        <f t="shared" si="8"/>
        <v/>
      </c>
      <c r="Y26" t="str">
        <f t="shared" si="9"/>
        <v/>
      </c>
      <c r="Z26" t="str">
        <f t="shared" si="10"/>
        <v/>
      </c>
      <c r="AA26" t="str">
        <f t="shared" si="11"/>
        <v/>
      </c>
      <c r="AB26" t="str">
        <f t="shared" si="12"/>
        <v/>
      </c>
    </row>
    <row r="27" spans="1:28">
      <c r="A27" s="17"/>
      <c r="B27" s="17"/>
      <c r="D27" s="37"/>
      <c r="E27" s="23" t="str">
        <f t="shared" si="0"/>
        <v/>
      </c>
      <c r="F27" s="23" t="str">
        <f t="shared" si="1"/>
        <v/>
      </c>
      <c r="G27" s="24" t="str">
        <f t="shared" si="2"/>
        <v/>
      </c>
      <c r="K27" s="18">
        <f t="shared" si="3"/>
        <v>0</v>
      </c>
      <c r="L27">
        <f t="shared" si="4"/>
        <v>0</v>
      </c>
      <c r="M27">
        <f t="shared" si="5"/>
        <v>0</v>
      </c>
      <c r="Q27" s="18">
        <f t="shared" si="13"/>
        <v>-24</v>
      </c>
      <c r="S27" t="str">
        <f t="shared" si="6"/>
        <v/>
      </c>
      <c r="T27" t="str">
        <f t="shared" si="6"/>
        <v/>
      </c>
      <c r="U27" t="str">
        <f t="shared" si="6"/>
        <v/>
      </c>
      <c r="W27" t="str">
        <f t="shared" si="7"/>
        <v/>
      </c>
      <c r="X27" t="str">
        <f t="shared" si="8"/>
        <v/>
      </c>
      <c r="Y27" t="str">
        <f t="shared" si="9"/>
        <v/>
      </c>
      <c r="Z27" t="str">
        <f t="shared" si="10"/>
        <v/>
      </c>
      <c r="AA27" t="str">
        <f t="shared" si="11"/>
        <v/>
      </c>
      <c r="AB27" t="str">
        <f t="shared" si="12"/>
        <v/>
      </c>
    </row>
    <row r="28" spans="1:28">
      <c r="A28" s="17"/>
      <c r="B28" s="17"/>
      <c r="D28" s="37"/>
      <c r="E28" s="23" t="str">
        <f t="shared" si="0"/>
        <v/>
      </c>
      <c r="F28" s="23" t="str">
        <f t="shared" si="1"/>
        <v/>
      </c>
      <c r="G28" s="24" t="str">
        <f t="shared" si="2"/>
        <v/>
      </c>
      <c r="K28" s="18">
        <f t="shared" si="3"/>
        <v>0</v>
      </c>
      <c r="L28">
        <f t="shared" si="4"/>
        <v>0</v>
      </c>
      <c r="M28">
        <f t="shared" si="5"/>
        <v>0</v>
      </c>
      <c r="Q28" s="18">
        <f t="shared" si="13"/>
        <v>-25</v>
      </c>
      <c r="S28" t="str">
        <f t="shared" si="6"/>
        <v/>
      </c>
      <c r="T28" t="str">
        <f t="shared" si="6"/>
        <v/>
      </c>
      <c r="U28" t="str">
        <f t="shared" si="6"/>
        <v/>
      </c>
      <c r="W28" t="str">
        <f t="shared" si="7"/>
        <v/>
      </c>
      <c r="X28" t="str">
        <f t="shared" si="8"/>
        <v/>
      </c>
      <c r="Y28" t="str">
        <f t="shared" si="9"/>
        <v/>
      </c>
      <c r="Z28" t="str">
        <f t="shared" si="10"/>
        <v/>
      </c>
      <c r="AA28" t="str">
        <f t="shared" si="11"/>
        <v/>
      </c>
      <c r="AB28" t="str">
        <f t="shared" si="12"/>
        <v/>
      </c>
    </row>
    <row r="29" spans="1:28">
      <c r="A29" s="17"/>
      <c r="B29" s="17"/>
      <c r="D29" s="37"/>
      <c r="E29" s="23" t="str">
        <f t="shared" si="0"/>
        <v/>
      </c>
      <c r="F29" s="23" t="str">
        <f t="shared" si="1"/>
        <v/>
      </c>
      <c r="G29" s="24" t="str">
        <f t="shared" si="2"/>
        <v/>
      </c>
      <c r="K29" s="18">
        <f t="shared" si="3"/>
        <v>0</v>
      </c>
      <c r="L29">
        <f t="shared" si="4"/>
        <v>0</v>
      </c>
      <c r="M29">
        <f t="shared" si="5"/>
        <v>0</v>
      </c>
      <c r="Q29" s="18">
        <f t="shared" si="13"/>
        <v>-26</v>
      </c>
      <c r="S29" t="str">
        <f t="shared" si="6"/>
        <v/>
      </c>
      <c r="T29" t="str">
        <f t="shared" si="6"/>
        <v/>
      </c>
      <c r="U29" t="str">
        <f t="shared" si="6"/>
        <v/>
      </c>
      <c r="W29" t="str">
        <f t="shared" si="7"/>
        <v/>
      </c>
      <c r="X29" t="str">
        <f t="shared" si="8"/>
        <v/>
      </c>
      <c r="Y29" t="str">
        <f t="shared" si="9"/>
        <v/>
      </c>
      <c r="Z29" t="str">
        <f t="shared" si="10"/>
        <v/>
      </c>
      <c r="AA29" t="str">
        <f t="shared" si="11"/>
        <v/>
      </c>
      <c r="AB29" t="str">
        <f t="shared" si="12"/>
        <v/>
      </c>
    </row>
    <row r="30" spans="1:28">
      <c r="A30" s="17"/>
      <c r="B30" s="17"/>
      <c r="D30" s="37"/>
      <c r="E30" s="23" t="str">
        <f t="shared" si="0"/>
        <v/>
      </c>
      <c r="F30" s="23" t="str">
        <f t="shared" si="1"/>
        <v/>
      </c>
      <c r="G30" s="24" t="str">
        <f t="shared" si="2"/>
        <v/>
      </c>
      <c r="K30" s="18">
        <f t="shared" si="3"/>
        <v>0</v>
      </c>
      <c r="L30">
        <f t="shared" si="4"/>
        <v>0</v>
      </c>
      <c r="M30">
        <f t="shared" si="5"/>
        <v>0</v>
      </c>
      <c r="Q30" s="18">
        <f t="shared" si="13"/>
        <v>-27</v>
      </c>
      <c r="S30" t="str">
        <f t="shared" si="6"/>
        <v/>
      </c>
      <c r="T30" t="str">
        <f t="shared" si="6"/>
        <v/>
      </c>
      <c r="U30" t="str">
        <f t="shared" si="6"/>
        <v/>
      </c>
      <c r="W30" t="str">
        <f t="shared" si="7"/>
        <v/>
      </c>
      <c r="X30" t="str">
        <f t="shared" si="8"/>
        <v/>
      </c>
      <c r="Y30" t="str">
        <f t="shared" si="9"/>
        <v/>
      </c>
      <c r="Z30" t="str">
        <f t="shared" si="10"/>
        <v/>
      </c>
      <c r="AA30" t="str">
        <f t="shared" si="11"/>
        <v/>
      </c>
      <c r="AB30" t="str">
        <f t="shared" si="12"/>
        <v/>
      </c>
    </row>
    <row r="31" spans="1:28">
      <c r="A31" s="17"/>
      <c r="B31" s="17"/>
      <c r="D31" s="37"/>
      <c r="E31" s="23" t="str">
        <f t="shared" si="0"/>
        <v/>
      </c>
      <c r="F31" s="23" t="str">
        <f t="shared" si="1"/>
        <v/>
      </c>
      <c r="G31" s="24" t="str">
        <f t="shared" si="2"/>
        <v/>
      </c>
      <c r="K31" s="18">
        <f t="shared" si="3"/>
        <v>0</v>
      </c>
      <c r="L31">
        <f t="shared" si="4"/>
        <v>0</v>
      </c>
      <c r="M31">
        <f t="shared" si="5"/>
        <v>0</v>
      </c>
      <c r="Q31" s="18">
        <f t="shared" si="13"/>
        <v>-28</v>
      </c>
      <c r="S31" t="str">
        <f t="shared" si="6"/>
        <v/>
      </c>
      <c r="T31" t="str">
        <f t="shared" si="6"/>
        <v/>
      </c>
      <c r="U31" t="str">
        <f t="shared" si="6"/>
        <v/>
      </c>
      <c r="W31" t="str">
        <f t="shared" si="7"/>
        <v/>
      </c>
      <c r="X31" t="str">
        <f t="shared" si="8"/>
        <v/>
      </c>
      <c r="Y31" t="str">
        <f t="shared" si="9"/>
        <v/>
      </c>
      <c r="Z31" t="str">
        <f t="shared" si="10"/>
        <v/>
      </c>
      <c r="AA31" t="str">
        <f t="shared" si="11"/>
        <v/>
      </c>
      <c r="AB31" t="str">
        <f t="shared" si="12"/>
        <v/>
      </c>
    </row>
    <row r="32" spans="1:28">
      <c r="A32" s="17"/>
      <c r="B32" s="17"/>
      <c r="D32" s="37"/>
      <c r="E32" s="23" t="str">
        <f t="shared" si="0"/>
        <v/>
      </c>
      <c r="F32" s="23" t="str">
        <f t="shared" si="1"/>
        <v/>
      </c>
      <c r="G32" s="24" t="str">
        <f t="shared" si="2"/>
        <v/>
      </c>
      <c r="K32" s="18">
        <f t="shared" si="3"/>
        <v>0</v>
      </c>
      <c r="L32">
        <f t="shared" si="4"/>
        <v>0</v>
      </c>
      <c r="M32">
        <f t="shared" si="5"/>
        <v>0</v>
      </c>
      <c r="Q32" s="18">
        <f t="shared" si="13"/>
        <v>-29</v>
      </c>
      <c r="S32" t="str">
        <f t="shared" si="6"/>
        <v/>
      </c>
      <c r="T32" t="str">
        <f t="shared" si="6"/>
        <v/>
      </c>
      <c r="U32" t="str">
        <f t="shared" si="6"/>
        <v/>
      </c>
      <c r="W32" t="str">
        <f t="shared" si="7"/>
        <v/>
      </c>
      <c r="X32" t="str">
        <f>IF(S32="","",IF((S32-W32)=0,S32,""))</f>
        <v/>
      </c>
      <c r="Y32" t="str">
        <f t="shared" si="9"/>
        <v/>
      </c>
      <c r="Z32" t="str">
        <f t="shared" si="10"/>
        <v/>
      </c>
      <c r="AA32" t="str">
        <f t="shared" si="11"/>
        <v/>
      </c>
      <c r="AB32" t="str">
        <f t="shared" si="12"/>
        <v/>
      </c>
    </row>
    <row r="33" spans="1:28">
      <c r="A33" s="17"/>
      <c r="B33" s="17"/>
      <c r="D33" s="37"/>
      <c r="E33" s="23" t="str">
        <f t="shared" si="0"/>
        <v/>
      </c>
      <c r="F33" s="23" t="str">
        <f t="shared" si="1"/>
        <v/>
      </c>
      <c r="G33" s="24" t="str">
        <f t="shared" si="2"/>
        <v/>
      </c>
      <c r="K33" s="18">
        <f t="shared" si="3"/>
        <v>0</v>
      </c>
      <c r="L33">
        <f t="shared" si="4"/>
        <v>0</v>
      </c>
      <c r="M33">
        <f t="shared" si="5"/>
        <v>0</v>
      </c>
      <c r="Q33" s="18">
        <f t="shared" si="13"/>
        <v>-30</v>
      </c>
      <c r="S33" t="str">
        <f t="shared" si="6"/>
        <v/>
      </c>
      <c r="T33" t="str">
        <f t="shared" si="6"/>
        <v/>
      </c>
      <c r="U33" t="str">
        <f t="shared" si="6"/>
        <v/>
      </c>
      <c r="W33" t="str">
        <f t="shared" si="7"/>
        <v/>
      </c>
      <c r="X33" t="str">
        <f t="shared" si="8"/>
        <v/>
      </c>
      <c r="Y33" t="str">
        <f t="shared" si="9"/>
        <v/>
      </c>
      <c r="Z33" t="str">
        <f t="shared" si="10"/>
        <v/>
      </c>
      <c r="AA33" t="str">
        <f t="shared" si="11"/>
        <v/>
      </c>
      <c r="AB33" t="str">
        <f t="shared" si="12"/>
        <v/>
      </c>
    </row>
    <row r="34" spans="1:28">
      <c r="A34" s="17"/>
      <c r="B34" s="17"/>
      <c r="D34" s="37"/>
      <c r="E34" s="23" t="str">
        <f t="shared" si="0"/>
        <v/>
      </c>
      <c r="F34" s="23" t="str">
        <f t="shared" si="1"/>
        <v/>
      </c>
      <c r="G34" s="24" t="str">
        <f t="shared" si="2"/>
        <v/>
      </c>
      <c r="K34" s="18">
        <f t="shared" si="3"/>
        <v>0</v>
      </c>
      <c r="L34">
        <f t="shared" si="4"/>
        <v>0</v>
      </c>
      <c r="M34">
        <f t="shared" si="5"/>
        <v>0</v>
      </c>
      <c r="Q34" s="18">
        <f t="shared" si="13"/>
        <v>-31</v>
      </c>
      <c r="S34" t="str">
        <f t="shared" si="6"/>
        <v/>
      </c>
      <c r="T34" t="str">
        <f t="shared" si="6"/>
        <v/>
      </c>
      <c r="U34" t="str">
        <f t="shared" si="6"/>
        <v/>
      </c>
      <c r="W34" t="str">
        <f t="shared" si="7"/>
        <v/>
      </c>
      <c r="X34" t="str">
        <f t="shared" si="8"/>
        <v/>
      </c>
      <c r="Y34" t="str">
        <f t="shared" si="9"/>
        <v/>
      </c>
      <c r="Z34" t="str">
        <f t="shared" si="10"/>
        <v/>
      </c>
      <c r="AA34" t="str">
        <f t="shared" si="11"/>
        <v/>
      </c>
      <c r="AB34" t="str">
        <f t="shared" si="12"/>
        <v/>
      </c>
    </row>
    <row r="35" spans="1:28">
      <c r="A35" s="17"/>
      <c r="B35" s="17"/>
      <c r="D35" s="37"/>
      <c r="E35" s="23" t="str">
        <f>X35</f>
        <v/>
      </c>
      <c r="F35" s="23" t="str">
        <f t="shared" si="1"/>
        <v/>
      </c>
      <c r="G35" s="24" t="str">
        <f t="shared" si="2"/>
        <v/>
      </c>
      <c r="K35" s="18">
        <f t="shared" si="3"/>
        <v>0</v>
      </c>
      <c r="L35">
        <f t="shared" si="4"/>
        <v>0</v>
      </c>
      <c r="M35">
        <f t="shared" si="5"/>
        <v>0</v>
      </c>
      <c r="Q35" s="18">
        <f t="shared" si="13"/>
        <v>-32</v>
      </c>
      <c r="S35" t="str">
        <f t="shared" si="6"/>
        <v/>
      </c>
      <c r="T35" t="str">
        <f t="shared" si="6"/>
        <v/>
      </c>
      <c r="U35" t="str">
        <f t="shared" si="6"/>
        <v/>
      </c>
      <c r="W35" t="str">
        <f t="shared" si="7"/>
        <v/>
      </c>
      <c r="X35" t="str">
        <f t="shared" si="8"/>
        <v/>
      </c>
      <c r="Y35" t="str">
        <f t="shared" si="9"/>
        <v/>
      </c>
      <c r="Z35" t="str">
        <f t="shared" si="10"/>
        <v/>
      </c>
      <c r="AA35" t="str">
        <f t="shared" si="11"/>
        <v/>
      </c>
      <c r="AB35" t="str">
        <f t="shared" si="12"/>
        <v/>
      </c>
    </row>
    <row r="36" spans="1:28">
      <c r="A36" s="17"/>
      <c r="B36" s="17"/>
      <c r="D36" s="37"/>
      <c r="E36" s="23" t="str">
        <f t="shared" si="0"/>
        <v/>
      </c>
      <c r="F36" s="23" t="str">
        <f t="shared" si="1"/>
        <v/>
      </c>
      <c r="G36" s="24" t="str">
        <f t="shared" si="2"/>
        <v/>
      </c>
      <c r="K36" s="18">
        <f t="shared" si="3"/>
        <v>0</v>
      </c>
      <c r="L36">
        <f t="shared" si="4"/>
        <v>0</v>
      </c>
      <c r="M36">
        <f t="shared" si="5"/>
        <v>0</v>
      </c>
      <c r="Q36" s="18">
        <f t="shared" si="13"/>
        <v>-33</v>
      </c>
      <c r="S36" t="str">
        <f t="shared" si="6"/>
        <v/>
      </c>
      <c r="T36" t="str">
        <f t="shared" si="6"/>
        <v/>
      </c>
      <c r="U36" t="str">
        <f t="shared" si="6"/>
        <v/>
      </c>
      <c r="W36" t="str">
        <f t="shared" si="7"/>
        <v/>
      </c>
      <c r="X36" t="str">
        <f t="shared" si="8"/>
        <v/>
      </c>
      <c r="Y36" t="str">
        <f t="shared" si="9"/>
        <v/>
      </c>
      <c r="Z36" t="str">
        <f t="shared" si="10"/>
        <v/>
      </c>
      <c r="AA36" t="str">
        <f t="shared" si="11"/>
        <v/>
      </c>
      <c r="AB36" t="str">
        <f t="shared" si="12"/>
        <v/>
      </c>
    </row>
    <row r="37" spans="1:28">
      <c r="A37" s="17"/>
      <c r="B37" s="17"/>
      <c r="D37" s="37"/>
      <c r="E37" s="23" t="str">
        <f t="shared" si="0"/>
        <v/>
      </c>
      <c r="F37" s="23" t="str">
        <f t="shared" si="1"/>
        <v/>
      </c>
      <c r="G37" s="24" t="str">
        <f t="shared" si="2"/>
        <v/>
      </c>
      <c r="K37" s="18">
        <f t="shared" si="3"/>
        <v>0</v>
      </c>
      <c r="L37">
        <f t="shared" si="4"/>
        <v>0</v>
      </c>
      <c r="M37">
        <f t="shared" si="5"/>
        <v>0</v>
      </c>
      <c r="Q37" s="18">
        <f t="shared" si="13"/>
        <v>-34</v>
      </c>
      <c r="S37" t="str">
        <f t="shared" si="6"/>
        <v/>
      </c>
      <c r="T37" t="str">
        <f t="shared" si="6"/>
        <v/>
      </c>
      <c r="U37" t="str">
        <f t="shared" si="6"/>
        <v/>
      </c>
      <c r="W37" t="str">
        <f t="shared" si="7"/>
        <v/>
      </c>
      <c r="X37" t="str">
        <f t="shared" si="8"/>
        <v/>
      </c>
      <c r="Y37" t="str">
        <f t="shared" si="9"/>
        <v/>
      </c>
      <c r="Z37" t="str">
        <f t="shared" si="10"/>
        <v/>
      </c>
      <c r="AA37" t="str">
        <f t="shared" si="11"/>
        <v/>
      </c>
      <c r="AB37" t="str">
        <f t="shared" si="12"/>
        <v/>
      </c>
    </row>
    <row r="38" spans="1:28">
      <c r="A38" s="17"/>
      <c r="B38" s="17"/>
      <c r="D38" s="37"/>
      <c r="E38" s="23" t="str">
        <f t="shared" si="0"/>
        <v/>
      </c>
      <c r="F38" s="23" t="str">
        <f t="shared" si="1"/>
        <v/>
      </c>
      <c r="G38" s="24" t="str">
        <f t="shared" si="2"/>
        <v/>
      </c>
      <c r="K38" s="18">
        <f t="shared" si="3"/>
        <v>0</v>
      </c>
      <c r="L38">
        <f t="shared" si="4"/>
        <v>0</v>
      </c>
      <c r="M38">
        <f t="shared" si="5"/>
        <v>0</v>
      </c>
      <c r="Q38" s="18">
        <f t="shared" si="13"/>
        <v>-35</v>
      </c>
      <c r="S38" t="str">
        <f t="shared" si="6"/>
        <v/>
      </c>
      <c r="T38" t="str">
        <f t="shared" si="6"/>
        <v/>
      </c>
      <c r="U38" t="str">
        <f t="shared" si="6"/>
        <v/>
      </c>
      <c r="W38" t="str">
        <f t="shared" si="7"/>
        <v/>
      </c>
      <c r="X38" t="str">
        <f t="shared" si="8"/>
        <v/>
      </c>
      <c r="Y38" t="str">
        <f t="shared" si="9"/>
        <v/>
      </c>
      <c r="Z38" t="str">
        <f t="shared" si="10"/>
        <v/>
      </c>
      <c r="AA38" t="str">
        <f t="shared" si="11"/>
        <v/>
      </c>
      <c r="AB38" t="str">
        <f t="shared" si="12"/>
        <v/>
      </c>
    </row>
    <row r="39" spans="1:28">
      <c r="A39" s="17"/>
      <c r="B39" s="17"/>
      <c r="D39" s="37"/>
      <c r="E39" s="23" t="str">
        <f t="shared" si="0"/>
        <v/>
      </c>
      <c r="F39" s="23" t="str">
        <f t="shared" si="1"/>
        <v/>
      </c>
      <c r="G39" s="24" t="str">
        <f t="shared" si="2"/>
        <v/>
      </c>
      <c r="K39" s="18">
        <f t="shared" si="3"/>
        <v>0</v>
      </c>
      <c r="L39">
        <f t="shared" si="4"/>
        <v>0</v>
      </c>
      <c r="M39">
        <f t="shared" si="5"/>
        <v>0</v>
      </c>
      <c r="Q39" s="18">
        <f t="shared" si="13"/>
        <v>-36</v>
      </c>
      <c r="S39" t="str">
        <f t="shared" si="6"/>
        <v/>
      </c>
      <c r="T39" t="str">
        <f t="shared" si="6"/>
        <v/>
      </c>
      <c r="U39" t="str">
        <f t="shared" si="6"/>
        <v/>
      </c>
      <c r="W39" t="str">
        <f t="shared" si="7"/>
        <v/>
      </c>
      <c r="X39" t="str">
        <f t="shared" si="8"/>
        <v/>
      </c>
      <c r="Y39" t="str">
        <f t="shared" si="9"/>
        <v/>
      </c>
      <c r="Z39" t="str">
        <f t="shared" si="10"/>
        <v/>
      </c>
      <c r="AA39" t="str">
        <f t="shared" si="11"/>
        <v/>
      </c>
      <c r="AB39" t="str">
        <f t="shared" si="12"/>
        <v/>
      </c>
    </row>
    <row r="40" spans="1:28">
      <c r="A40" s="17"/>
      <c r="B40" s="17"/>
      <c r="D40" s="37"/>
      <c r="E40" s="23" t="str">
        <f t="shared" si="0"/>
        <v/>
      </c>
      <c r="F40" s="23" t="str">
        <f t="shared" si="1"/>
        <v/>
      </c>
      <c r="G40" s="24" t="str">
        <f t="shared" si="2"/>
        <v/>
      </c>
      <c r="K40" s="18">
        <f t="shared" si="3"/>
        <v>0</v>
      </c>
      <c r="L40">
        <f t="shared" si="4"/>
        <v>0</v>
      </c>
      <c r="M40">
        <f t="shared" si="5"/>
        <v>0</v>
      </c>
      <c r="Q40" s="18">
        <f t="shared" si="13"/>
        <v>-37</v>
      </c>
      <c r="S40" t="str">
        <f t="shared" si="6"/>
        <v/>
      </c>
      <c r="T40" t="str">
        <f t="shared" si="6"/>
        <v/>
      </c>
      <c r="U40" t="str">
        <f t="shared" si="6"/>
        <v/>
      </c>
      <c r="W40" t="str">
        <f t="shared" si="7"/>
        <v/>
      </c>
      <c r="X40" t="str">
        <f t="shared" si="8"/>
        <v/>
      </c>
      <c r="Y40" t="str">
        <f t="shared" si="9"/>
        <v/>
      </c>
      <c r="Z40" t="str">
        <f t="shared" si="10"/>
        <v/>
      </c>
      <c r="AA40" t="str">
        <f t="shared" si="11"/>
        <v/>
      </c>
      <c r="AB40" t="str">
        <f t="shared" si="12"/>
        <v/>
      </c>
    </row>
    <row r="41" spans="1:28">
      <c r="A41" s="17"/>
      <c r="B41" s="17"/>
      <c r="D41" s="37"/>
      <c r="E41" s="23" t="str">
        <f t="shared" si="0"/>
        <v/>
      </c>
      <c r="F41" s="23" t="str">
        <f t="shared" si="1"/>
        <v/>
      </c>
      <c r="G41" s="24" t="str">
        <f t="shared" si="2"/>
        <v/>
      </c>
      <c r="K41" s="18">
        <f t="shared" si="3"/>
        <v>0</v>
      </c>
      <c r="L41">
        <f t="shared" si="4"/>
        <v>0</v>
      </c>
      <c r="M41">
        <f t="shared" si="5"/>
        <v>0</v>
      </c>
      <c r="Q41" s="18">
        <f>Q40-1</f>
        <v>-38</v>
      </c>
      <c r="S41" t="str">
        <f t="shared" si="6"/>
        <v/>
      </c>
      <c r="T41" t="str">
        <f t="shared" si="6"/>
        <v/>
      </c>
      <c r="U41" t="str">
        <f t="shared" si="6"/>
        <v/>
      </c>
      <c r="W41" t="str">
        <f t="shared" si="7"/>
        <v/>
      </c>
      <c r="X41" t="str">
        <f t="shared" si="8"/>
        <v/>
      </c>
      <c r="Y41" t="str">
        <f t="shared" si="9"/>
        <v/>
      </c>
      <c r="Z41" t="str">
        <f t="shared" si="10"/>
        <v/>
      </c>
      <c r="AA41" t="str">
        <f t="shared" si="11"/>
        <v/>
      </c>
      <c r="AB41" t="str">
        <f t="shared" si="12"/>
        <v/>
      </c>
    </row>
    <row r="42" spans="1:28">
      <c r="A42" s="17"/>
      <c r="B42" s="17"/>
      <c r="D42" s="37"/>
      <c r="E42" s="23" t="str">
        <f t="shared" si="0"/>
        <v/>
      </c>
      <c r="F42" s="23" t="str">
        <f t="shared" si="1"/>
        <v/>
      </c>
      <c r="G42" s="24" t="str">
        <f t="shared" si="2"/>
        <v/>
      </c>
      <c r="K42" s="18">
        <f t="shared" si="3"/>
        <v>0</v>
      </c>
      <c r="L42">
        <f t="shared" si="4"/>
        <v>0</v>
      </c>
      <c r="M42">
        <f t="shared" si="5"/>
        <v>0</v>
      </c>
      <c r="Q42" s="18">
        <f>Q41-1</f>
        <v>-39</v>
      </c>
      <c r="S42" t="str">
        <f t="shared" si="6"/>
        <v/>
      </c>
      <c r="T42" t="str">
        <f t="shared" si="6"/>
        <v/>
      </c>
      <c r="U42" t="str">
        <f t="shared" si="6"/>
        <v/>
      </c>
      <c r="W42" t="str">
        <f t="shared" si="7"/>
        <v/>
      </c>
      <c r="X42" t="str">
        <f>IF(S42="","",IF((S42-W42)=0,S42,""))</f>
        <v/>
      </c>
      <c r="Y42" t="str">
        <f>IF(Q90&gt;0,FLOOR(T42,1),"")</f>
        <v/>
      </c>
      <c r="Z42" t="str">
        <f t="shared" si="10"/>
        <v/>
      </c>
      <c r="AA42" t="str">
        <f>IF(Q138&gt;0,FLOOR(U42,1),"")</f>
        <v/>
      </c>
      <c r="AB42" t="str">
        <f>IF(U42="","",IF((U42-AA42)=0,U42,""))</f>
        <v/>
      </c>
    </row>
    <row r="43" spans="1:28">
      <c r="A43" s="17"/>
      <c r="B43" s="17"/>
      <c r="D43" s="37"/>
      <c r="E43" s="23" t="str">
        <f t="shared" si="0"/>
        <v/>
      </c>
      <c r="F43" s="23" t="str">
        <f>Z43</f>
        <v/>
      </c>
      <c r="G43" s="24" t="str">
        <f t="shared" si="2"/>
        <v/>
      </c>
      <c r="K43" s="18">
        <f>IF(Q43=0,"",$B$3/Q43)</f>
        <v>0</v>
      </c>
      <c r="L43">
        <f>IF(Q91=0,"",$B$3/Q91)</f>
        <v>0</v>
      </c>
      <c r="M43">
        <f>IF(Q139=0,"",$B$3/Q139)</f>
        <v>0</v>
      </c>
      <c r="Q43" s="18">
        <f>Q42-1</f>
        <v>-40</v>
      </c>
      <c r="S43" t="str">
        <f>IF(K43&gt;0,K43,"")</f>
        <v/>
      </c>
      <c r="T43" t="str">
        <f>IF(L43&gt;0,L43,"")</f>
        <v/>
      </c>
      <c r="U43" t="str">
        <f t="shared" si="6"/>
        <v/>
      </c>
      <c r="W43" t="str">
        <f t="shared" si="7"/>
        <v/>
      </c>
      <c r="X43" t="str">
        <f t="shared" si="8"/>
        <v/>
      </c>
      <c r="Y43" t="str">
        <f t="shared" si="9"/>
        <v/>
      </c>
      <c r="Z43" t="str">
        <f t="shared" si="10"/>
        <v/>
      </c>
      <c r="AA43" t="str">
        <f t="shared" si="11"/>
        <v/>
      </c>
      <c r="AB43" t="str">
        <f t="shared" si="12"/>
        <v/>
      </c>
    </row>
    <row r="44" spans="1:28">
      <c r="A44" s="17"/>
      <c r="B44" s="17"/>
      <c r="D44" s="37"/>
      <c r="E44" s="23" t="str">
        <f t="shared" si="0"/>
        <v/>
      </c>
      <c r="F44" s="23" t="str">
        <f t="shared" si="1"/>
        <v/>
      </c>
      <c r="G44" s="24" t="str">
        <f t="shared" si="2"/>
        <v/>
      </c>
      <c r="K44" s="18">
        <f t="shared" si="3"/>
        <v>0</v>
      </c>
      <c r="L44">
        <f t="shared" si="4"/>
        <v>0</v>
      </c>
      <c r="M44">
        <f t="shared" si="5"/>
        <v>0</v>
      </c>
      <c r="Q44" s="18">
        <f>Q43-1</f>
        <v>-41</v>
      </c>
      <c r="S44" t="str">
        <f t="shared" si="6"/>
        <v/>
      </c>
      <c r="T44" t="str">
        <f t="shared" si="6"/>
        <v/>
      </c>
      <c r="U44" t="str">
        <f t="shared" si="6"/>
        <v/>
      </c>
      <c r="W44" t="str">
        <f t="shared" si="7"/>
        <v/>
      </c>
      <c r="X44" t="str">
        <f t="shared" si="8"/>
        <v/>
      </c>
      <c r="Y44" t="str">
        <f t="shared" si="9"/>
        <v/>
      </c>
      <c r="Z44" t="str">
        <f t="shared" si="10"/>
        <v/>
      </c>
      <c r="AA44" t="str">
        <f t="shared" si="11"/>
        <v/>
      </c>
      <c r="AB44" t="str">
        <f t="shared" si="12"/>
        <v/>
      </c>
    </row>
    <row r="45" spans="1:28">
      <c r="A45" s="17"/>
      <c r="B45" s="17"/>
      <c r="D45" s="37"/>
      <c r="E45" s="23" t="str">
        <f t="shared" si="0"/>
        <v/>
      </c>
      <c r="F45" s="23" t="str">
        <f t="shared" si="1"/>
        <v/>
      </c>
      <c r="G45" s="24" t="str">
        <f t="shared" si="2"/>
        <v/>
      </c>
      <c r="K45" s="18">
        <f t="shared" si="3"/>
        <v>0</v>
      </c>
      <c r="L45">
        <f t="shared" si="4"/>
        <v>0</v>
      </c>
      <c r="M45">
        <f t="shared" si="5"/>
        <v>0</v>
      </c>
      <c r="Q45" s="18">
        <f t="shared" ref="Q45:Q108" si="14">Q44-1</f>
        <v>-42</v>
      </c>
      <c r="S45" t="str">
        <f t="shared" si="6"/>
        <v/>
      </c>
      <c r="T45" t="str">
        <f t="shared" si="6"/>
        <v/>
      </c>
      <c r="U45" t="str">
        <f t="shared" si="6"/>
        <v/>
      </c>
      <c r="W45" t="str">
        <f t="shared" si="7"/>
        <v/>
      </c>
      <c r="X45" t="str">
        <f t="shared" si="8"/>
        <v/>
      </c>
      <c r="Y45" t="str">
        <f t="shared" si="9"/>
        <v/>
      </c>
      <c r="Z45" t="str">
        <f t="shared" si="10"/>
        <v/>
      </c>
      <c r="AA45" t="str">
        <f t="shared" si="11"/>
        <v/>
      </c>
      <c r="AB45" t="str">
        <f t="shared" si="12"/>
        <v/>
      </c>
    </row>
    <row r="46" spans="1:28">
      <c r="A46" s="17"/>
      <c r="B46" s="17"/>
      <c r="D46" s="37"/>
      <c r="E46" s="23" t="str">
        <f t="shared" si="0"/>
        <v/>
      </c>
      <c r="F46" s="23" t="str">
        <f t="shared" si="1"/>
        <v/>
      </c>
      <c r="G46" s="24" t="str">
        <f t="shared" si="2"/>
        <v/>
      </c>
      <c r="K46" s="18">
        <f t="shared" si="3"/>
        <v>0</v>
      </c>
      <c r="L46">
        <f t="shared" si="4"/>
        <v>0</v>
      </c>
      <c r="M46">
        <f t="shared" si="5"/>
        <v>0</v>
      </c>
      <c r="Q46" s="18">
        <f t="shared" si="14"/>
        <v>-43</v>
      </c>
      <c r="S46" t="str">
        <f t="shared" si="6"/>
        <v/>
      </c>
      <c r="T46" t="str">
        <f t="shared" si="6"/>
        <v/>
      </c>
      <c r="U46" t="str">
        <f t="shared" si="6"/>
        <v/>
      </c>
      <c r="W46" t="str">
        <f t="shared" si="7"/>
        <v/>
      </c>
      <c r="X46" t="str">
        <f t="shared" si="8"/>
        <v/>
      </c>
      <c r="Y46" t="str">
        <f t="shared" si="9"/>
        <v/>
      </c>
      <c r="Z46" t="str">
        <f t="shared" si="10"/>
        <v/>
      </c>
      <c r="AA46" t="str">
        <f t="shared" si="11"/>
        <v/>
      </c>
      <c r="AB46" t="str">
        <f t="shared" si="12"/>
        <v/>
      </c>
    </row>
    <row r="47" spans="1:28">
      <c r="A47" s="17"/>
      <c r="B47" s="17"/>
      <c r="D47" s="37"/>
      <c r="E47" s="23" t="str">
        <f t="shared" si="0"/>
        <v/>
      </c>
      <c r="F47" s="23" t="str">
        <f t="shared" si="1"/>
        <v/>
      </c>
      <c r="G47" s="24" t="str">
        <f t="shared" si="2"/>
        <v/>
      </c>
      <c r="K47" s="18">
        <f t="shared" si="3"/>
        <v>0</v>
      </c>
      <c r="L47">
        <f t="shared" si="4"/>
        <v>0</v>
      </c>
      <c r="M47">
        <f t="shared" si="5"/>
        <v>0</v>
      </c>
      <c r="Q47" s="18">
        <f t="shared" si="14"/>
        <v>-44</v>
      </c>
      <c r="S47" t="str">
        <f t="shared" si="6"/>
        <v/>
      </c>
      <c r="T47" t="str">
        <f t="shared" si="6"/>
        <v/>
      </c>
      <c r="U47" t="str">
        <f t="shared" si="6"/>
        <v/>
      </c>
      <c r="W47" t="str">
        <f t="shared" si="7"/>
        <v/>
      </c>
      <c r="X47" t="str">
        <f t="shared" si="8"/>
        <v/>
      </c>
      <c r="Y47" t="str">
        <f t="shared" si="9"/>
        <v/>
      </c>
      <c r="Z47" t="str">
        <f t="shared" si="10"/>
        <v/>
      </c>
      <c r="AA47" t="str">
        <f t="shared" si="11"/>
        <v/>
      </c>
      <c r="AB47" t="str">
        <f t="shared" si="12"/>
        <v/>
      </c>
    </row>
    <row r="48" spans="1:28">
      <c r="A48" s="17"/>
      <c r="B48" s="17"/>
      <c r="D48" s="37"/>
      <c r="E48" s="23" t="str">
        <f t="shared" si="0"/>
        <v/>
      </c>
      <c r="F48" s="23" t="str">
        <f t="shared" si="1"/>
        <v/>
      </c>
      <c r="G48" s="24" t="str">
        <f t="shared" si="2"/>
        <v/>
      </c>
      <c r="K48" s="18">
        <f t="shared" si="3"/>
        <v>0</v>
      </c>
      <c r="L48">
        <f t="shared" si="4"/>
        <v>0</v>
      </c>
      <c r="M48">
        <f t="shared" si="5"/>
        <v>0</v>
      </c>
      <c r="Q48" s="18">
        <f t="shared" si="14"/>
        <v>-45</v>
      </c>
      <c r="S48" t="str">
        <f t="shared" si="6"/>
        <v/>
      </c>
      <c r="T48" t="str">
        <f t="shared" si="6"/>
        <v/>
      </c>
      <c r="U48" t="str">
        <f t="shared" si="6"/>
        <v/>
      </c>
      <c r="W48" t="str">
        <f t="shared" si="7"/>
        <v/>
      </c>
      <c r="X48" t="str">
        <f t="shared" si="8"/>
        <v/>
      </c>
      <c r="Y48" t="str">
        <f t="shared" si="9"/>
        <v/>
      </c>
      <c r="Z48" t="str">
        <f t="shared" si="10"/>
        <v/>
      </c>
      <c r="AA48" t="str">
        <f t="shared" si="11"/>
        <v/>
      </c>
      <c r="AB48" t="str">
        <f t="shared" si="12"/>
        <v/>
      </c>
    </row>
    <row r="49" spans="1:28">
      <c r="A49" s="17"/>
      <c r="B49" s="17"/>
      <c r="D49" s="37"/>
      <c r="E49" s="23" t="str">
        <f t="shared" si="0"/>
        <v/>
      </c>
      <c r="F49" s="23" t="str">
        <f t="shared" si="1"/>
        <v/>
      </c>
      <c r="G49" s="24" t="str">
        <f t="shared" si="2"/>
        <v/>
      </c>
      <c r="K49" s="18">
        <f t="shared" si="3"/>
        <v>0</v>
      </c>
      <c r="L49">
        <f t="shared" si="4"/>
        <v>0</v>
      </c>
      <c r="M49">
        <f t="shared" si="5"/>
        <v>0</v>
      </c>
      <c r="Q49" s="18">
        <f t="shared" si="14"/>
        <v>-46</v>
      </c>
      <c r="S49" t="str">
        <f t="shared" si="6"/>
        <v/>
      </c>
      <c r="T49" t="str">
        <f t="shared" si="6"/>
        <v/>
      </c>
      <c r="U49" t="str">
        <f t="shared" si="6"/>
        <v/>
      </c>
      <c r="W49" t="str">
        <f t="shared" si="7"/>
        <v/>
      </c>
      <c r="X49" t="str">
        <f t="shared" si="8"/>
        <v/>
      </c>
      <c r="Y49" t="str">
        <f t="shared" si="9"/>
        <v/>
      </c>
      <c r="Z49" t="str">
        <f t="shared" si="10"/>
        <v/>
      </c>
      <c r="AA49" t="str">
        <f t="shared" si="11"/>
        <v/>
      </c>
      <c r="AB49" t="str">
        <f t="shared" si="12"/>
        <v/>
      </c>
    </row>
    <row r="50" spans="1:28">
      <c r="A50" s="17"/>
      <c r="B50" s="17"/>
      <c r="D50" s="37"/>
      <c r="E50" s="25" t="str">
        <f t="shared" si="0"/>
        <v/>
      </c>
      <c r="F50" s="26" t="str">
        <f t="shared" si="1"/>
        <v/>
      </c>
      <c r="G50" s="27" t="str">
        <f t="shared" si="2"/>
        <v/>
      </c>
      <c r="K50" s="18">
        <f t="shared" si="3"/>
        <v>0</v>
      </c>
      <c r="L50">
        <f t="shared" si="4"/>
        <v>0</v>
      </c>
      <c r="M50">
        <f t="shared" si="5"/>
        <v>0</v>
      </c>
      <c r="Q50" s="18">
        <f t="shared" si="14"/>
        <v>-47</v>
      </c>
      <c r="S50" t="str">
        <f t="shared" si="6"/>
        <v/>
      </c>
      <c r="T50" t="str">
        <f t="shared" si="6"/>
        <v/>
      </c>
      <c r="U50" t="str">
        <f t="shared" si="6"/>
        <v/>
      </c>
      <c r="W50" t="str">
        <f t="shared" si="7"/>
        <v/>
      </c>
      <c r="X50" t="str">
        <f t="shared" si="8"/>
        <v/>
      </c>
      <c r="Y50" t="str">
        <f t="shared" si="9"/>
        <v/>
      </c>
      <c r="Z50" t="str">
        <f t="shared" si="10"/>
        <v/>
      </c>
      <c r="AA50" t="str">
        <f t="shared" si="11"/>
        <v/>
      </c>
      <c r="AB50" t="str">
        <f t="shared" si="12"/>
        <v/>
      </c>
    </row>
    <row r="51" spans="1:28">
      <c r="A51" s="17"/>
      <c r="B51" s="17"/>
      <c r="G51" s="18"/>
      <c r="K51" s="18"/>
      <c r="Q51" s="18">
        <f t="shared" si="14"/>
        <v>-48</v>
      </c>
    </row>
    <row r="52" spans="1:28">
      <c r="A52" s="17"/>
      <c r="B52" s="17"/>
      <c r="G52" s="18"/>
      <c r="K52" s="18"/>
      <c r="Q52" s="18">
        <f t="shared" si="14"/>
        <v>-49</v>
      </c>
    </row>
    <row r="53" spans="1:28">
      <c r="A53" s="17"/>
      <c r="B53" s="17"/>
      <c r="G53" s="18"/>
      <c r="K53" s="18"/>
      <c r="Q53" s="18">
        <f t="shared" si="14"/>
        <v>-50</v>
      </c>
    </row>
    <row r="54" spans="1:28">
      <c r="A54" s="17"/>
      <c r="B54" s="17"/>
      <c r="G54" s="18"/>
      <c r="K54" s="18"/>
      <c r="Q54" s="18">
        <f t="shared" si="14"/>
        <v>-51</v>
      </c>
    </row>
    <row r="55" spans="1:28">
      <c r="A55" s="17"/>
      <c r="B55" s="17"/>
      <c r="G55" s="18"/>
      <c r="K55" s="18"/>
      <c r="Q55" s="18">
        <f t="shared" si="14"/>
        <v>-52</v>
      </c>
    </row>
    <row r="56" spans="1:28">
      <c r="A56" s="17"/>
      <c r="B56" s="17"/>
      <c r="G56" s="18"/>
      <c r="K56" s="18"/>
      <c r="Q56" s="18">
        <f t="shared" si="14"/>
        <v>-53</v>
      </c>
    </row>
    <row r="57" spans="1:28">
      <c r="A57" s="17"/>
      <c r="B57" s="17"/>
      <c r="G57" s="18"/>
      <c r="K57" s="18"/>
      <c r="Q57" s="18">
        <f t="shared" si="14"/>
        <v>-54</v>
      </c>
    </row>
    <row r="58" spans="1:28">
      <c r="A58" s="17"/>
      <c r="B58" s="17"/>
      <c r="G58" s="18"/>
      <c r="K58" s="18"/>
      <c r="Q58" s="18">
        <f t="shared" si="14"/>
        <v>-55</v>
      </c>
    </row>
    <row r="59" spans="1:28">
      <c r="A59" s="17"/>
      <c r="B59" s="17"/>
      <c r="G59" s="18"/>
      <c r="K59" s="18"/>
      <c r="Q59" s="18">
        <f t="shared" si="14"/>
        <v>-56</v>
      </c>
    </row>
    <row r="60" spans="1:28">
      <c r="A60" s="17"/>
      <c r="B60" s="17"/>
      <c r="G60" s="18"/>
      <c r="K60" s="18"/>
      <c r="Q60" s="18">
        <f t="shared" si="14"/>
        <v>-57</v>
      </c>
    </row>
    <row r="61" spans="1:28">
      <c r="A61" s="17"/>
      <c r="B61" s="17"/>
      <c r="G61" s="18"/>
      <c r="K61" s="18"/>
      <c r="Q61" s="18">
        <f t="shared" si="14"/>
        <v>-58</v>
      </c>
    </row>
    <row r="62" spans="1:28">
      <c r="A62" s="17"/>
      <c r="B62" s="17"/>
      <c r="G62" s="18"/>
      <c r="K62" s="18"/>
      <c r="Q62" s="18">
        <f t="shared" si="14"/>
        <v>-59</v>
      </c>
    </row>
    <row r="63" spans="1:28">
      <c r="A63" s="17"/>
      <c r="B63" s="17"/>
      <c r="G63" s="18"/>
      <c r="K63" s="18"/>
      <c r="Q63" s="18">
        <f t="shared" si="14"/>
        <v>-60</v>
      </c>
    </row>
    <row r="64" spans="1:28">
      <c r="A64" s="17"/>
      <c r="B64" s="17"/>
      <c r="G64" s="18"/>
      <c r="K64" s="18"/>
      <c r="Q64" s="18">
        <f t="shared" si="14"/>
        <v>-61</v>
      </c>
    </row>
    <row r="65" spans="1:17">
      <c r="A65" s="17"/>
      <c r="B65" s="17"/>
      <c r="G65" s="18"/>
      <c r="K65" s="18"/>
      <c r="Q65" s="18">
        <f t="shared" si="14"/>
        <v>-62</v>
      </c>
    </row>
    <row r="66" spans="1:17">
      <c r="A66" s="17"/>
      <c r="B66" s="17"/>
      <c r="G66" s="18"/>
      <c r="K66" s="18"/>
      <c r="Q66" s="18">
        <f t="shared" si="14"/>
        <v>-63</v>
      </c>
    </row>
    <row r="67" spans="1:17">
      <c r="A67" s="17"/>
      <c r="B67" s="17"/>
      <c r="G67" s="18"/>
      <c r="K67" s="18"/>
      <c r="Q67" s="18">
        <f t="shared" si="14"/>
        <v>-64</v>
      </c>
    </row>
    <row r="68" spans="1:17">
      <c r="A68" s="17"/>
      <c r="B68" s="17"/>
      <c r="G68" s="18"/>
      <c r="K68" s="18"/>
      <c r="Q68" s="18">
        <f t="shared" si="14"/>
        <v>-65</v>
      </c>
    </row>
    <row r="69" spans="1:17">
      <c r="A69" s="17"/>
      <c r="B69" s="17"/>
      <c r="G69" s="18"/>
      <c r="K69" s="18"/>
      <c r="Q69" s="18">
        <f t="shared" si="14"/>
        <v>-66</v>
      </c>
    </row>
    <row r="70" spans="1:17">
      <c r="A70" s="17"/>
      <c r="B70" s="17"/>
      <c r="G70" s="18"/>
      <c r="K70" s="18"/>
      <c r="Q70" s="18">
        <f t="shared" si="14"/>
        <v>-67</v>
      </c>
    </row>
    <row r="71" spans="1:17">
      <c r="A71" s="17"/>
      <c r="B71" s="17"/>
      <c r="G71" s="18"/>
      <c r="K71" s="18"/>
      <c r="Q71" s="18">
        <f t="shared" si="14"/>
        <v>-68</v>
      </c>
    </row>
    <row r="72" spans="1:17">
      <c r="A72" s="17"/>
      <c r="B72" s="17"/>
      <c r="G72" s="18"/>
      <c r="K72" s="18"/>
      <c r="Q72" s="18">
        <f t="shared" si="14"/>
        <v>-69</v>
      </c>
    </row>
    <row r="73" spans="1:17">
      <c r="A73" s="17"/>
      <c r="B73" s="17"/>
      <c r="G73" s="18"/>
      <c r="K73" s="18"/>
      <c r="Q73" s="18">
        <f t="shared" si="14"/>
        <v>-70</v>
      </c>
    </row>
    <row r="74" spans="1:17">
      <c r="A74" s="17"/>
      <c r="B74" s="17"/>
      <c r="G74" s="18"/>
      <c r="K74" s="18"/>
      <c r="Q74" s="18">
        <f t="shared" si="14"/>
        <v>-71</v>
      </c>
    </row>
    <row r="75" spans="1:17">
      <c r="A75" s="17"/>
      <c r="B75" s="17"/>
      <c r="G75" s="18"/>
      <c r="K75" s="18"/>
      <c r="Q75" s="18">
        <f t="shared" si="14"/>
        <v>-72</v>
      </c>
    </row>
    <row r="76" spans="1:17">
      <c r="A76" s="17"/>
      <c r="B76" s="17"/>
      <c r="G76" s="18"/>
      <c r="K76" s="18"/>
      <c r="Q76" s="18">
        <f t="shared" si="14"/>
        <v>-73</v>
      </c>
    </row>
    <row r="77" spans="1:17">
      <c r="A77" s="17"/>
      <c r="B77" s="17"/>
      <c r="G77" s="18"/>
      <c r="K77" s="18"/>
      <c r="Q77" s="18">
        <f t="shared" si="14"/>
        <v>-74</v>
      </c>
    </row>
    <row r="78" spans="1:17">
      <c r="A78" s="17"/>
      <c r="B78" s="17"/>
      <c r="G78" s="18"/>
      <c r="K78" s="18"/>
      <c r="Q78" s="18">
        <f t="shared" si="14"/>
        <v>-75</v>
      </c>
    </row>
    <row r="79" spans="1:17">
      <c r="A79" s="17"/>
      <c r="B79" s="17"/>
      <c r="G79" s="18"/>
      <c r="K79" s="18"/>
      <c r="Q79" s="18">
        <f t="shared" si="14"/>
        <v>-76</v>
      </c>
    </row>
    <row r="80" spans="1:17">
      <c r="A80" s="17"/>
      <c r="B80" s="17"/>
      <c r="G80" s="18"/>
      <c r="K80" s="18"/>
      <c r="Q80" s="18">
        <f t="shared" si="14"/>
        <v>-77</v>
      </c>
    </row>
    <row r="81" spans="1:17">
      <c r="A81" s="17"/>
      <c r="B81" s="17"/>
      <c r="G81" s="18"/>
      <c r="K81" s="18"/>
      <c r="Q81" s="18">
        <f t="shared" si="14"/>
        <v>-78</v>
      </c>
    </row>
    <row r="82" spans="1:17">
      <c r="A82" s="17"/>
      <c r="B82" s="17"/>
      <c r="G82" s="18"/>
      <c r="K82" s="18"/>
      <c r="Q82" s="18">
        <f t="shared" si="14"/>
        <v>-79</v>
      </c>
    </row>
    <row r="83" spans="1:17">
      <c r="A83" s="17"/>
      <c r="B83" s="17"/>
      <c r="G83" s="18"/>
      <c r="K83" s="18"/>
      <c r="Q83" s="18">
        <f t="shared" si="14"/>
        <v>-80</v>
      </c>
    </row>
    <row r="84" spans="1:17">
      <c r="A84" s="17"/>
      <c r="B84" s="17"/>
      <c r="G84" s="18"/>
      <c r="K84" s="18"/>
      <c r="Q84" s="18">
        <f t="shared" si="14"/>
        <v>-81</v>
      </c>
    </row>
    <row r="85" spans="1:17">
      <c r="A85" s="17"/>
      <c r="B85" s="17"/>
      <c r="G85" s="18"/>
      <c r="K85" s="18"/>
      <c r="Q85" s="18">
        <f t="shared" si="14"/>
        <v>-82</v>
      </c>
    </row>
    <row r="86" spans="1:17">
      <c r="A86" s="17"/>
      <c r="B86" s="17"/>
      <c r="G86" s="18"/>
      <c r="K86" s="18"/>
      <c r="Q86" s="18">
        <f t="shared" si="14"/>
        <v>-83</v>
      </c>
    </row>
    <row r="87" spans="1:17">
      <c r="A87" s="17"/>
      <c r="B87" s="17"/>
      <c r="G87" s="18"/>
      <c r="K87" s="18"/>
      <c r="Q87" s="18">
        <f t="shared" si="14"/>
        <v>-84</v>
      </c>
    </row>
    <row r="88" spans="1:17">
      <c r="A88" s="17"/>
      <c r="B88" s="17"/>
      <c r="G88" s="18"/>
      <c r="K88" s="18"/>
      <c r="Q88" s="18">
        <f t="shared" si="14"/>
        <v>-85</v>
      </c>
    </row>
    <row r="89" spans="1:17">
      <c r="A89" s="17"/>
      <c r="B89" s="17"/>
      <c r="G89" s="18"/>
      <c r="K89" s="18"/>
      <c r="Q89" s="18">
        <f t="shared" si="14"/>
        <v>-86</v>
      </c>
    </row>
    <row r="90" spans="1:17">
      <c r="A90" s="17"/>
      <c r="B90" s="17"/>
      <c r="G90" s="18"/>
      <c r="K90" s="18"/>
      <c r="Q90" s="18">
        <f t="shared" si="14"/>
        <v>-87</v>
      </c>
    </row>
    <row r="91" spans="1:17">
      <c r="A91" s="17"/>
      <c r="B91" s="17"/>
      <c r="G91" s="18"/>
      <c r="K91" s="18"/>
      <c r="Q91" s="18">
        <f t="shared" si="14"/>
        <v>-88</v>
      </c>
    </row>
    <row r="92" spans="1:17">
      <c r="A92" s="17"/>
      <c r="B92" s="17"/>
      <c r="G92" s="18"/>
      <c r="K92" s="18"/>
      <c r="Q92" s="18">
        <f t="shared" si="14"/>
        <v>-89</v>
      </c>
    </row>
    <row r="93" spans="1:17">
      <c r="A93" s="17"/>
      <c r="B93" s="17"/>
      <c r="G93" s="18"/>
      <c r="K93" s="18"/>
      <c r="Q93" s="18">
        <f t="shared" si="14"/>
        <v>-90</v>
      </c>
    </row>
    <row r="94" spans="1:17">
      <c r="A94" s="17"/>
      <c r="B94" s="17"/>
      <c r="G94" s="18"/>
      <c r="K94" s="18"/>
      <c r="Q94" s="18">
        <f t="shared" si="14"/>
        <v>-91</v>
      </c>
    </row>
    <row r="95" spans="1:17">
      <c r="A95" s="17"/>
      <c r="B95" s="17"/>
      <c r="G95" s="18"/>
      <c r="K95" s="18"/>
      <c r="Q95" s="18">
        <f t="shared" si="14"/>
        <v>-92</v>
      </c>
    </row>
    <row r="96" spans="1:17">
      <c r="A96" s="17"/>
      <c r="B96" s="17"/>
      <c r="G96" s="18"/>
      <c r="K96" s="18"/>
      <c r="Q96" s="18">
        <f t="shared" si="14"/>
        <v>-93</v>
      </c>
    </row>
    <row r="97" spans="1:17">
      <c r="A97" s="17"/>
      <c r="B97" s="17"/>
      <c r="G97" s="18"/>
      <c r="K97" s="18"/>
      <c r="Q97" s="18">
        <f t="shared" si="14"/>
        <v>-94</v>
      </c>
    </row>
    <row r="98" spans="1:17">
      <c r="A98" s="17"/>
      <c r="B98" s="17"/>
      <c r="G98" s="18"/>
      <c r="K98" s="18"/>
      <c r="Q98" s="18">
        <f t="shared" si="14"/>
        <v>-95</v>
      </c>
    </row>
    <row r="99" spans="1:17">
      <c r="A99" s="17"/>
      <c r="B99" s="17"/>
      <c r="G99" s="18"/>
      <c r="K99" s="18"/>
      <c r="Q99" s="18">
        <f t="shared" si="14"/>
        <v>-96</v>
      </c>
    </row>
    <row r="100" spans="1:17">
      <c r="A100" s="17"/>
      <c r="B100" s="17"/>
      <c r="G100" s="18"/>
      <c r="K100" s="18"/>
      <c r="Q100" s="18">
        <f t="shared" si="14"/>
        <v>-97</v>
      </c>
    </row>
    <row r="101" spans="1:17">
      <c r="A101" s="17"/>
      <c r="B101" s="17"/>
      <c r="G101" s="18"/>
      <c r="K101" s="18"/>
      <c r="Q101" s="18">
        <f t="shared" si="14"/>
        <v>-98</v>
      </c>
    </row>
    <row r="102" spans="1:17">
      <c r="A102" s="17"/>
      <c r="B102" s="17"/>
      <c r="G102" s="18"/>
      <c r="K102" s="18"/>
      <c r="Q102" s="18">
        <f t="shared" si="14"/>
        <v>-99</v>
      </c>
    </row>
    <row r="103" spans="1:17">
      <c r="A103" s="17"/>
      <c r="B103" s="17"/>
      <c r="G103" s="18"/>
      <c r="K103" s="18"/>
      <c r="Q103" s="18">
        <f t="shared" si="14"/>
        <v>-100</v>
      </c>
    </row>
    <row r="104" spans="1:17">
      <c r="A104" s="17"/>
      <c r="B104" s="17"/>
      <c r="G104" s="18"/>
      <c r="K104" s="18"/>
      <c r="Q104" s="18">
        <f t="shared" si="14"/>
        <v>-101</v>
      </c>
    </row>
    <row r="105" spans="1:17">
      <c r="A105" s="17"/>
      <c r="B105" s="17"/>
      <c r="G105" s="18"/>
      <c r="K105" s="18"/>
      <c r="Q105" s="18">
        <f t="shared" si="14"/>
        <v>-102</v>
      </c>
    </row>
    <row r="106" spans="1:17">
      <c r="A106" s="17"/>
      <c r="B106" s="17"/>
      <c r="G106" s="18"/>
      <c r="K106" s="18"/>
      <c r="Q106" s="18">
        <f t="shared" si="14"/>
        <v>-103</v>
      </c>
    </row>
    <row r="107" spans="1:17">
      <c r="A107" s="17"/>
      <c r="B107" s="17"/>
      <c r="G107" s="18"/>
      <c r="K107" s="18"/>
      <c r="Q107" s="18">
        <f t="shared" si="14"/>
        <v>-104</v>
      </c>
    </row>
    <row r="108" spans="1:17">
      <c r="A108" s="17"/>
      <c r="B108" s="17"/>
      <c r="G108" s="18"/>
      <c r="K108" s="18"/>
      <c r="Q108" s="18">
        <f t="shared" si="14"/>
        <v>-105</v>
      </c>
    </row>
    <row r="109" spans="1:17">
      <c r="A109" s="17"/>
      <c r="B109" s="17"/>
      <c r="G109" s="18"/>
      <c r="K109" s="18"/>
      <c r="Q109" s="18">
        <f t="shared" ref="Q109:Q150" si="15">Q108-1</f>
        <v>-106</v>
      </c>
    </row>
    <row r="110" spans="1:17">
      <c r="A110" s="17"/>
      <c r="B110" s="17"/>
      <c r="G110" s="18"/>
      <c r="K110" s="18"/>
      <c r="Q110" s="18">
        <f t="shared" si="15"/>
        <v>-107</v>
      </c>
    </row>
    <row r="111" spans="1:17">
      <c r="A111" s="17"/>
      <c r="B111" s="17"/>
      <c r="G111" s="18"/>
      <c r="K111" s="18"/>
      <c r="Q111" s="18">
        <f t="shared" si="15"/>
        <v>-108</v>
      </c>
    </row>
    <row r="112" spans="1:17">
      <c r="A112" s="17"/>
      <c r="B112" s="17"/>
      <c r="G112" s="18"/>
      <c r="K112" s="18"/>
      <c r="Q112" s="18">
        <f t="shared" si="15"/>
        <v>-109</v>
      </c>
    </row>
    <row r="113" spans="1:17">
      <c r="A113" s="17"/>
      <c r="B113" s="17"/>
      <c r="G113" s="18"/>
      <c r="K113" s="18"/>
      <c r="Q113" s="18">
        <f t="shared" si="15"/>
        <v>-110</v>
      </c>
    </row>
    <row r="114" spans="1:17">
      <c r="A114" s="17"/>
      <c r="B114" s="17"/>
      <c r="G114" s="18"/>
      <c r="K114" s="18"/>
      <c r="Q114" s="18">
        <f t="shared" si="15"/>
        <v>-111</v>
      </c>
    </row>
    <row r="115" spans="1:17">
      <c r="A115" s="17"/>
      <c r="B115" s="17"/>
      <c r="G115" s="18"/>
      <c r="K115" s="18"/>
      <c r="Q115" s="18">
        <f t="shared" si="15"/>
        <v>-112</v>
      </c>
    </row>
    <row r="116" spans="1:17">
      <c r="A116" s="17"/>
      <c r="B116" s="17"/>
      <c r="G116" s="18"/>
      <c r="K116" s="18"/>
      <c r="Q116" s="18">
        <f t="shared" si="15"/>
        <v>-113</v>
      </c>
    </row>
    <row r="117" spans="1:17">
      <c r="A117" s="17"/>
      <c r="B117" s="17"/>
      <c r="G117" s="18"/>
      <c r="K117" s="18"/>
      <c r="Q117" s="18">
        <f t="shared" si="15"/>
        <v>-114</v>
      </c>
    </row>
    <row r="118" spans="1:17">
      <c r="A118" s="17"/>
      <c r="B118" s="17"/>
      <c r="G118" s="18"/>
      <c r="K118" s="18"/>
      <c r="Q118" s="18">
        <f t="shared" si="15"/>
        <v>-115</v>
      </c>
    </row>
    <row r="119" spans="1:17">
      <c r="A119" s="17"/>
      <c r="B119" s="17"/>
      <c r="G119" s="18"/>
      <c r="K119" s="18"/>
      <c r="Q119" s="18">
        <f t="shared" si="15"/>
        <v>-116</v>
      </c>
    </row>
    <row r="120" spans="1:17">
      <c r="A120" s="17"/>
      <c r="B120" s="17"/>
      <c r="G120" s="18"/>
      <c r="K120" s="18"/>
      <c r="Q120" s="18">
        <f t="shared" si="15"/>
        <v>-117</v>
      </c>
    </row>
    <row r="121" spans="1:17">
      <c r="A121" s="17"/>
      <c r="B121" s="17"/>
      <c r="G121" s="18"/>
      <c r="K121" s="18"/>
      <c r="Q121" s="18">
        <f t="shared" si="15"/>
        <v>-118</v>
      </c>
    </row>
    <row r="122" spans="1:17">
      <c r="A122" s="17"/>
      <c r="B122" s="17"/>
      <c r="G122" s="18"/>
      <c r="K122" s="18"/>
      <c r="Q122" s="18">
        <f t="shared" si="15"/>
        <v>-119</v>
      </c>
    </row>
    <row r="123" spans="1:17">
      <c r="A123" s="17"/>
      <c r="B123" s="17"/>
      <c r="G123" s="18"/>
      <c r="K123" s="18"/>
      <c r="Q123" s="18">
        <f t="shared" si="15"/>
        <v>-120</v>
      </c>
    </row>
    <row r="124" spans="1:17">
      <c r="A124" s="17"/>
      <c r="B124" s="17"/>
      <c r="G124" s="18"/>
      <c r="K124" s="18"/>
      <c r="Q124" s="18">
        <f t="shared" si="15"/>
        <v>-121</v>
      </c>
    </row>
    <row r="125" spans="1:17">
      <c r="A125" s="17"/>
      <c r="B125" s="17"/>
      <c r="G125" s="18"/>
      <c r="K125" s="18"/>
      <c r="Q125" s="18">
        <f t="shared" si="15"/>
        <v>-122</v>
      </c>
    </row>
    <row r="126" spans="1:17">
      <c r="A126" s="17"/>
      <c r="B126" s="17"/>
      <c r="G126" s="18"/>
      <c r="K126" s="18"/>
      <c r="Q126" s="18">
        <f t="shared" si="15"/>
        <v>-123</v>
      </c>
    </row>
    <row r="127" spans="1:17">
      <c r="A127" s="17"/>
      <c r="B127" s="17"/>
      <c r="G127" s="18"/>
      <c r="K127" s="18"/>
      <c r="Q127" s="18">
        <f t="shared" si="15"/>
        <v>-124</v>
      </c>
    </row>
    <row r="128" spans="1:17">
      <c r="A128" s="17"/>
      <c r="B128" s="17"/>
      <c r="G128" s="18"/>
      <c r="K128" s="18"/>
      <c r="Q128" s="18">
        <f t="shared" si="15"/>
        <v>-125</v>
      </c>
    </row>
    <row r="129" spans="1:17">
      <c r="A129" s="17"/>
      <c r="B129" s="17"/>
      <c r="G129" s="18"/>
      <c r="K129" s="18"/>
      <c r="Q129" s="18">
        <f t="shared" si="15"/>
        <v>-126</v>
      </c>
    </row>
    <row r="130" spans="1:17">
      <c r="A130" s="17"/>
      <c r="B130" s="17"/>
      <c r="G130" s="18"/>
      <c r="K130" s="18"/>
      <c r="Q130" s="18">
        <f t="shared" si="15"/>
        <v>-127</v>
      </c>
    </row>
    <row r="131" spans="1:17">
      <c r="A131" s="17"/>
      <c r="B131" s="17"/>
      <c r="G131" s="18"/>
      <c r="K131" s="18"/>
      <c r="Q131" s="18">
        <f t="shared" si="15"/>
        <v>-128</v>
      </c>
    </row>
    <row r="132" spans="1:17">
      <c r="A132" s="17"/>
      <c r="B132" s="17"/>
      <c r="G132" s="18"/>
      <c r="K132" s="18"/>
      <c r="Q132" s="18">
        <f t="shared" si="15"/>
        <v>-129</v>
      </c>
    </row>
    <row r="133" spans="1:17">
      <c r="A133" s="17"/>
      <c r="B133" s="17"/>
      <c r="G133" s="18"/>
      <c r="K133" s="18"/>
      <c r="Q133" s="18">
        <f t="shared" si="15"/>
        <v>-130</v>
      </c>
    </row>
    <row r="134" spans="1:17">
      <c r="A134" s="17"/>
      <c r="B134" s="17"/>
      <c r="G134" s="18"/>
      <c r="K134" s="18"/>
      <c r="Q134" s="18">
        <f t="shared" si="15"/>
        <v>-131</v>
      </c>
    </row>
    <row r="135" spans="1:17">
      <c r="A135" s="17"/>
      <c r="B135" s="17"/>
      <c r="G135" s="18"/>
      <c r="K135" s="18"/>
      <c r="Q135" s="18">
        <f t="shared" si="15"/>
        <v>-132</v>
      </c>
    </row>
    <row r="136" spans="1:17">
      <c r="A136" s="17"/>
      <c r="B136" s="17"/>
      <c r="G136" s="18"/>
      <c r="K136" s="18"/>
      <c r="Q136" s="18">
        <f t="shared" si="15"/>
        <v>-133</v>
      </c>
    </row>
    <row r="137" spans="1:17">
      <c r="A137" s="17"/>
      <c r="B137" s="17"/>
      <c r="G137" s="18"/>
      <c r="K137" s="18"/>
      <c r="Q137" s="18">
        <f t="shared" si="15"/>
        <v>-134</v>
      </c>
    </row>
    <row r="138" spans="1:17">
      <c r="A138" s="17"/>
      <c r="B138" s="17"/>
      <c r="G138" s="18"/>
      <c r="K138" s="18"/>
      <c r="Q138" s="18">
        <f t="shared" si="15"/>
        <v>-135</v>
      </c>
    </row>
    <row r="139" spans="1:17">
      <c r="A139" s="17"/>
      <c r="B139" s="17"/>
      <c r="G139" s="18"/>
      <c r="K139" s="18"/>
      <c r="Q139" s="18">
        <f t="shared" si="15"/>
        <v>-136</v>
      </c>
    </row>
    <row r="140" spans="1:17">
      <c r="A140" s="17"/>
      <c r="B140" s="17"/>
      <c r="G140" s="18"/>
      <c r="K140" s="18"/>
      <c r="Q140" s="18">
        <f t="shared" si="15"/>
        <v>-137</v>
      </c>
    </row>
    <row r="141" spans="1:17">
      <c r="A141" s="17"/>
      <c r="B141" s="17"/>
      <c r="G141" s="18"/>
      <c r="K141" s="18"/>
      <c r="Q141" s="18">
        <f t="shared" si="15"/>
        <v>-138</v>
      </c>
    </row>
    <row r="142" spans="1:17">
      <c r="A142" s="17"/>
      <c r="B142" s="17"/>
      <c r="G142" s="18"/>
      <c r="K142" s="18"/>
      <c r="Q142" s="18">
        <f t="shared" si="15"/>
        <v>-139</v>
      </c>
    </row>
    <row r="143" spans="1:17">
      <c r="A143" s="17"/>
      <c r="B143" s="17"/>
      <c r="G143" s="18"/>
      <c r="K143" s="18"/>
      <c r="Q143" s="18">
        <f t="shared" si="15"/>
        <v>-140</v>
      </c>
    </row>
    <row r="144" spans="1:17">
      <c r="A144" s="17"/>
      <c r="B144" s="17"/>
      <c r="G144" s="18"/>
      <c r="K144" s="18"/>
      <c r="Q144" s="18">
        <f t="shared" si="15"/>
        <v>-141</v>
      </c>
    </row>
    <row r="145" spans="1:17">
      <c r="A145" s="17"/>
      <c r="B145" s="17"/>
      <c r="G145" s="18"/>
      <c r="K145" s="18"/>
      <c r="Q145" s="18">
        <f t="shared" si="15"/>
        <v>-142</v>
      </c>
    </row>
    <row r="146" spans="1:17">
      <c r="A146" s="17"/>
      <c r="B146" s="17"/>
      <c r="G146" s="18"/>
      <c r="K146" s="18"/>
      <c r="Q146" s="18">
        <f t="shared" si="15"/>
        <v>-143</v>
      </c>
    </row>
    <row r="147" spans="1:17">
      <c r="A147" s="17"/>
      <c r="B147" s="17"/>
      <c r="G147" s="18"/>
      <c r="K147" s="18"/>
      <c r="Q147" s="18">
        <f t="shared" si="15"/>
        <v>-144</v>
      </c>
    </row>
    <row r="148" spans="1:17">
      <c r="A148" s="17"/>
      <c r="B148" s="17"/>
      <c r="G148" s="18"/>
      <c r="K148" s="18"/>
      <c r="Q148" s="18">
        <f t="shared" si="15"/>
        <v>-145</v>
      </c>
    </row>
    <row r="149" spans="1:17">
      <c r="A149" s="17"/>
      <c r="B149" s="17"/>
      <c r="G149" s="18"/>
      <c r="K149" s="18"/>
      <c r="Q149" s="18">
        <f t="shared" si="15"/>
        <v>-146</v>
      </c>
    </row>
    <row r="150" spans="1:17">
      <c r="A150" s="17"/>
      <c r="B150" s="17"/>
      <c r="G150" s="18"/>
      <c r="K150" s="18"/>
      <c r="Q150" s="18">
        <f t="shared" si="15"/>
        <v>-147</v>
      </c>
    </row>
    <row r="151" spans="1:17">
      <c r="A151" s="17"/>
      <c r="B151" s="17"/>
      <c r="G151" s="18"/>
      <c r="K151" s="18"/>
    </row>
    <row r="152" spans="1:17">
      <c r="A152" s="17"/>
      <c r="B152" s="17"/>
      <c r="G152" s="18"/>
      <c r="K152" s="18"/>
    </row>
    <row r="153" spans="1:17">
      <c r="A153" s="17"/>
      <c r="B153" s="17"/>
      <c r="G153" s="18"/>
      <c r="K153" s="18"/>
    </row>
    <row r="154" spans="1:17">
      <c r="A154" s="17"/>
      <c r="B154" s="17"/>
      <c r="G154" s="18"/>
      <c r="K154" s="18"/>
    </row>
    <row r="155" spans="1:17">
      <c r="A155" s="17"/>
      <c r="B155" s="17"/>
      <c r="G155" s="18"/>
      <c r="K155" s="18"/>
    </row>
    <row r="156" spans="1:17">
      <c r="A156" s="17"/>
      <c r="B156" s="17"/>
      <c r="G156" s="18"/>
      <c r="K156" s="18"/>
    </row>
    <row r="157" spans="1:17">
      <c r="A157" s="17"/>
      <c r="B157" s="17"/>
      <c r="G157" s="18"/>
      <c r="K157" s="18"/>
    </row>
    <row r="158" spans="1:17">
      <c r="A158" s="17"/>
      <c r="B158" s="17"/>
      <c r="G158" s="18"/>
      <c r="K158" s="18"/>
    </row>
    <row r="159" spans="1:17">
      <c r="A159" s="17"/>
      <c r="B159" s="17"/>
      <c r="G159" s="18"/>
      <c r="K159" s="18"/>
    </row>
    <row r="160" spans="1:17">
      <c r="A160" s="17"/>
      <c r="B160" s="17"/>
      <c r="G160" s="18"/>
      <c r="K160" s="18"/>
    </row>
    <row r="161" spans="1:11">
      <c r="A161" s="17"/>
      <c r="B161" s="17"/>
      <c r="G161" s="18"/>
      <c r="K161" s="18"/>
    </row>
    <row r="162" spans="1:11">
      <c r="A162" s="17"/>
      <c r="B162" s="17"/>
      <c r="G162" s="18"/>
      <c r="K162" s="18"/>
    </row>
    <row r="163" spans="1:11">
      <c r="A163" s="17"/>
      <c r="B163" s="17"/>
      <c r="G163" s="18"/>
      <c r="K163" s="18"/>
    </row>
    <row r="164" spans="1:11">
      <c r="A164" s="17"/>
      <c r="B164" s="17"/>
      <c r="G164" s="18"/>
      <c r="K164" s="18"/>
    </row>
    <row r="165" spans="1:11">
      <c r="A165" s="17"/>
      <c r="B165" s="17"/>
      <c r="G165" s="18"/>
      <c r="K165" s="18"/>
    </row>
    <row r="166" spans="1:11">
      <c r="A166" s="17"/>
      <c r="B166" s="17"/>
      <c r="G166" s="18"/>
      <c r="K166" s="18"/>
    </row>
    <row r="167" spans="1:11">
      <c r="A167" s="17"/>
      <c r="B167" s="17"/>
      <c r="G167" s="18"/>
      <c r="K167" s="18"/>
    </row>
    <row r="168" spans="1:11">
      <c r="A168" s="17"/>
      <c r="B168" s="17"/>
      <c r="G168" s="18"/>
      <c r="K168" s="18"/>
    </row>
    <row r="169" spans="1:11">
      <c r="A169" s="17"/>
      <c r="B169" s="17"/>
      <c r="G169" s="18"/>
      <c r="K169" s="18"/>
    </row>
    <row r="170" spans="1:11">
      <c r="A170" s="17"/>
      <c r="B170" s="17"/>
      <c r="G170" s="18"/>
      <c r="K170" s="18"/>
    </row>
    <row r="171" spans="1:11">
      <c r="A171" s="17"/>
      <c r="B171" s="17"/>
      <c r="G171" s="18"/>
      <c r="K171" s="18"/>
    </row>
    <row r="172" spans="1:11">
      <c r="A172" s="17"/>
      <c r="B172" s="17"/>
      <c r="G172" s="18"/>
      <c r="K172" s="18"/>
    </row>
    <row r="173" spans="1:11">
      <c r="A173" s="17"/>
      <c r="B173" s="17"/>
      <c r="G173" s="18"/>
      <c r="K173" s="18"/>
    </row>
  </sheetData>
  <sheetProtection password="B2A3" sheet="1" objects="1" scenarios="1"/>
  <pageMargins left="0.7" right="0.7" top="0.75" bottom="0.75" header="0.3" footer="0.3"/>
  <pageSetup paperSize="9" orientation="portrait" horizont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238125</xdr:colOff>
                    <xdr:row>0</xdr:row>
                    <xdr:rowOff>238125</xdr:rowOff>
                  </from>
                  <to>
                    <xdr:col>30</xdr:col>
                    <xdr:colOff>38100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B1:AA27"/>
  <sheetViews>
    <sheetView workbookViewId="0">
      <selection activeCell="E6" sqref="E6"/>
    </sheetView>
  </sheetViews>
  <sheetFormatPr defaultRowHeight="15"/>
  <cols>
    <col min="1" max="1" width="10.7109375" customWidth="1"/>
    <col min="2" max="2" width="13.42578125" customWidth="1"/>
    <col min="3" max="3" width="14.42578125" style="17" customWidth="1"/>
    <col min="4" max="4" width="2.7109375" style="17" customWidth="1"/>
    <col min="5" max="5" width="16.7109375" style="17" customWidth="1"/>
    <col min="6" max="7" width="10.7109375" customWidth="1"/>
    <col min="8" max="8" width="15.5703125" customWidth="1"/>
    <col min="9" max="9" width="10.7109375" style="17" customWidth="1"/>
    <col min="27" max="27" width="9.140625" style="1"/>
  </cols>
  <sheetData>
    <row r="1" spans="2:27" ht="18.75">
      <c r="E1" s="38" t="s">
        <v>46</v>
      </c>
    </row>
    <row r="2" spans="2:27">
      <c r="AA2" s="1" t="s">
        <v>42</v>
      </c>
    </row>
    <row r="3" spans="2:27">
      <c r="B3" s="30" t="s">
        <v>0</v>
      </c>
      <c r="C3" s="39">
        <f>PowrtSkiving!B6</f>
        <v>138</v>
      </c>
      <c r="D3" s="32"/>
      <c r="E3" s="33" t="str">
        <f>IF(C3&lt;0,"INTERNO",IF(C3&gt;0,"ESTERNO"))</f>
        <v>ESTERNO</v>
      </c>
      <c r="AA3" s="1" t="s">
        <v>78</v>
      </c>
    </row>
    <row r="6" spans="2:27">
      <c r="B6" s="30" t="s">
        <v>41</v>
      </c>
      <c r="C6" s="39">
        <f>PowrtSkiving!D9</f>
        <v>0</v>
      </c>
      <c r="D6" s="32"/>
      <c r="E6" s="31"/>
    </row>
    <row r="8" spans="2:27">
      <c r="B8" s="30" t="s">
        <v>43</v>
      </c>
      <c r="C8" s="39">
        <f>PowrtSkiving!E9</f>
        <v>0</v>
      </c>
      <c r="D8" s="32"/>
      <c r="E8" s="31"/>
    </row>
    <row r="9" spans="2:27">
      <c r="I9" s="34"/>
    </row>
    <row r="10" spans="2:27">
      <c r="H10" s="35" t="s">
        <v>44</v>
      </c>
      <c r="I10" s="36">
        <f>IF(E3="INTERNO",IF(E6=E8,C6-C8,C6+C8),IF(E6=E8,C6+C8,C6-C8))</f>
        <v>0</v>
      </c>
    </row>
    <row r="17" spans="2:9" ht="18.75">
      <c r="E17" s="38" t="s">
        <v>45</v>
      </c>
    </row>
    <row r="20" spans="2:9">
      <c r="B20" s="30" t="s">
        <v>0</v>
      </c>
      <c r="C20" s="31"/>
      <c r="E20" s="33" t="b">
        <f>IF(C20&lt;0,"INTERNO",IF(C20&gt;0,"ESTERNO"))</f>
        <v>0</v>
      </c>
    </row>
    <row r="23" spans="2:9">
      <c r="B23" s="30" t="s">
        <v>41</v>
      </c>
      <c r="C23" s="31"/>
      <c r="E23" s="31"/>
    </row>
    <row r="25" spans="2:9">
      <c r="B25" s="30" t="s">
        <v>43</v>
      </c>
      <c r="C25" s="31"/>
      <c r="E25" s="31"/>
    </row>
    <row r="27" spans="2:9">
      <c r="H27" s="35" t="s">
        <v>44</v>
      </c>
      <c r="I27" s="36">
        <f>IF(E20="INTERNO",IF(E23=E25,C23-C25,C23+C25),IF(E23=E25,C23+C25,C23-C25))</f>
        <v>0</v>
      </c>
    </row>
  </sheetData>
  <sheetProtection password="B2A3" sheet="1" objects="1" scenarios="1"/>
  <dataValidations count="1">
    <dataValidation type="list" allowBlank="1" showInputMessage="1" showErrorMessage="1" sqref="E6 E8 E23 E25" xr:uid="{00000000-0002-0000-0400-000000000000}">
      <formula1>$AA:$AA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M40"/>
  <sheetViews>
    <sheetView workbookViewId="0">
      <selection activeCell="E9" sqref="E9"/>
    </sheetView>
  </sheetViews>
  <sheetFormatPr defaultRowHeight="15"/>
  <cols>
    <col min="2" max="2" width="12.7109375" customWidth="1"/>
    <col min="3" max="3" width="14.7109375" customWidth="1"/>
    <col min="5" max="5" width="12" customWidth="1"/>
    <col min="7" max="7" width="12.7109375" customWidth="1"/>
    <col min="8" max="8" width="13.28515625" customWidth="1"/>
    <col min="9" max="9" width="15.42578125" hidden="1" customWidth="1"/>
    <col min="10" max="12" width="0" hidden="1" customWidth="1"/>
    <col min="13" max="13" width="3.7109375" hidden="1" customWidth="1"/>
  </cols>
  <sheetData>
    <row r="1" spans="1:13">
      <c r="A1" s="18"/>
      <c r="B1" s="18"/>
      <c r="C1" s="3"/>
      <c r="D1" s="3"/>
      <c r="E1" s="18"/>
      <c r="F1" s="18"/>
      <c r="G1" s="18"/>
      <c r="H1" s="18"/>
      <c r="I1" s="18"/>
      <c r="J1" s="18"/>
      <c r="K1" s="44"/>
      <c r="L1" s="44"/>
      <c r="M1" s="18"/>
    </row>
    <row r="2" spans="1:13">
      <c r="A2" s="18"/>
      <c r="B2" s="18" t="s">
        <v>2</v>
      </c>
      <c r="C2" s="31">
        <f>PowrtSkiving!B4</f>
        <v>1.3050999999999999</v>
      </c>
      <c r="D2" s="3"/>
      <c r="E2" s="18"/>
      <c r="F2" s="18" t="s">
        <v>10</v>
      </c>
      <c r="G2" s="18">
        <f>C2/COS(C5*PI()/180)</f>
        <v>1.3050999999999999</v>
      </c>
      <c r="H2" s="18"/>
      <c r="I2" s="18" t="s">
        <v>48</v>
      </c>
      <c r="J2" s="18">
        <f>G2*C3</f>
        <v>180.10379999999998</v>
      </c>
      <c r="K2" s="44"/>
      <c r="L2" s="44"/>
      <c r="M2" s="18"/>
    </row>
    <row r="3" spans="1:13">
      <c r="A3" s="18"/>
      <c r="B3" s="18" t="s">
        <v>49</v>
      </c>
      <c r="C3" s="31">
        <f>PowrtSkiving!B6</f>
        <v>138</v>
      </c>
      <c r="D3" s="3"/>
      <c r="E3" s="18"/>
      <c r="F3" s="18"/>
      <c r="G3" s="18"/>
      <c r="H3" s="18"/>
      <c r="I3" s="18"/>
      <c r="J3" s="18"/>
      <c r="K3" s="44"/>
      <c r="L3" s="44"/>
      <c r="M3" s="18"/>
    </row>
    <row r="4" spans="1:13">
      <c r="A4" s="18"/>
      <c r="B4" s="18" t="s">
        <v>50</v>
      </c>
      <c r="C4" s="31">
        <f>PowrtSkiving!B7</f>
        <v>22.5</v>
      </c>
      <c r="D4" s="3"/>
      <c r="E4" s="18"/>
      <c r="F4" s="18" t="s">
        <v>51</v>
      </c>
      <c r="G4" s="18">
        <f>ATAN(J6/J7)*180/PI()</f>
        <v>22.5</v>
      </c>
      <c r="H4" s="18"/>
      <c r="I4" s="18" t="s">
        <v>52</v>
      </c>
      <c r="J4" s="18">
        <f>(TAN(G4*PI()/180))-RADIANS(G4)</f>
        <v>2.1514480674370895E-2</v>
      </c>
      <c r="K4" s="44"/>
      <c r="L4" s="44"/>
      <c r="M4" s="18"/>
    </row>
    <row r="5" spans="1:13">
      <c r="A5" s="18"/>
      <c r="B5" s="18" t="s">
        <v>3</v>
      </c>
      <c r="C5" s="48">
        <f>PowrtSkiving!B9</f>
        <v>0</v>
      </c>
      <c r="D5" s="3"/>
      <c r="E5" s="18"/>
      <c r="F5" s="18"/>
      <c r="G5" s="18"/>
      <c r="H5" s="18"/>
      <c r="I5" s="18" t="s">
        <v>53</v>
      </c>
      <c r="J5" s="18">
        <f>COS(C4*PI()/180)</f>
        <v>0.92387953251128674</v>
      </c>
      <c r="K5" s="44"/>
      <c r="L5" s="44" t="s">
        <v>54</v>
      </c>
      <c r="M5" s="18">
        <f>COS(G4*PI()/180)</f>
        <v>0.92387953251128674</v>
      </c>
    </row>
    <row r="6" spans="1:13">
      <c r="A6" s="18"/>
      <c r="B6" s="18"/>
      <c r="C6" s="3"/>
      <c r="D6" s="3"/>
      <c r="E6" s="18"/>
      <c r="F6" s="18"/>
      <c r="G6" s="18"/>
      <c r="H6" s="18"/>
      <c r="I6" s="18" t="s">
        <v>55</v>
      </c>
      <c r="J6" s="18">
        <f>TAN(C4*PI()/180)</f>
        <v>0.41421356237309503</v>
      </c>
      <c r="K6" s="44"/>
      <c r="L6" s="44"/>
      <c r="M6" s="18"/>
    </row>
    <row r="7" spans="1:13">
      <c r="A7" s="18"/>
      <c r="B7" s="18"/>
      <c r="C7" s="3"/>
      <c r="D7" s="3"/>
      <c r="E7" s="18"/>
      <c r="F7" s="18"/>
      <c r="G7" s="18"/>
      <c r="H7" s="18"/>
      <c r="I7" s="18" t="s">
        <v>56</v>
      </c>
      <c r="J7" s="18">
        <f>COS(C5*PI()/180)</f>
        <v>1</v>
      </c>
      <c r="K7" s="44"/>
      <c r="L7" s="44"/>
      <c r="M7" s="18"/>
    </row>
    <row r="8" spans="1:13">
      <c r="A8" s="18"/>
      <c r="B8" s="18"/>
      <c r="C8" s="3"/>
      <c r="D8" s="3"/>
      <c r="E8" s="18"/>
      <c r="F8" s="18"/>
      <c r="G8" s="18"/>
      <c r="H8" s="18"/>
      <c r="I8" s="18" t="s">
        <v>57</v>
      </c>
      <c r="J8" s="18">
        <f>C2*PI()*J5</f>
        <v>3.7879916088571708</v>
      </c>
      <c r="K8" s="44"/>
      <c r="L8" s="44"/>
      <c r="M8" s="18"/>
    </row>
    <row r="9" spans="1:13">
      <c r="A9" s="18"/>
      <c r="B9" s="18" t="s">
        <v>58</v>
      </c>
      <c r="C9" s="31">
        <v>57.156999999999996</v>
      </c>
      <c r="D9" s="3" t="str">
        <f>IF($C$3&gt;0,"sn",IF($C$3&lt;0,"en"))</f>
        <v>sn</v>
      </c>
      <c r="E9" s="45">
        <f>IF(C10,IF(C3&gt;0,C9/J5-C2*(ABS(C3)*J4+PI()*C10)+C2*PI(),IF(C3&lt;0,C9/J5-C2*(ABS(C3)*J4+PI()*C10)+C2*PI()))," ")</f>
        <v>0.59015525683105885</v>
      </c>
      <c r="F9" s="18"/>
      <c r="G9" s="18"/>
      <c r="H9" s="18"/>
      <c r="I9" s="18" t="s">
        <v>59</v>
      </c>
      <c r="J9" s="18">
        <f>C9-J8*(C10-1)</f>
        <v>4.1251174759996019</v>
      </c>
      <c r="K9" s="44"/>
      <c r="L9" s="44" t="s">
        <v>60</v>
      </c>
      <c r="M9" s="18" t="e">
        <f>IF(C3&gt;0,J10/(C15-C16),J10/(C15+C16))</f>
        <v>#DIV/0!</v>
      </c>
    </row>
    <row r="10" spans="1:13">
      <c r="A10" s="18"/>
      <c r="B10" s="18" t="s">
        <v>61</v>
      </c>
      <c r="C10" s="31">
        <v>15</v>
      </c>
      <c r="D10" s="3"/>
      <c r="E10" s="18"/>
      <c r="F10" s="18"/>
      <c r="G10" s="18"/>
      <c r="H10" s="18"/>
      <c r="I10" s="18" t="s">
        <v>62</v>
      </c>
      <c r="J10" s="18">
        <f>ABS(J2)*M5</f>
        <v>166.39421454750627</v>
      </c>
      <c r="K10" s="44"/>
      <c r="L10" s="44" t="s">
        <v>63</v>
      </c>
      <c r="M10" s="18" t="e">
        <f>IF(C3&gt;0,(J10/(C15-C16))*COS((90/C3*PI()/180)),(J10/(C15+C16))*COS((90/C3*PI()/180)))</f>
        <v>#DIV/0!</v>
      </c>
    </row>
    <row r="11" spans="1:13">
      <c r="A11" s="18"/>
      <c r="B11" s="18"/>
      <c r="C11" s="3"/>
      <c r="D11" s="3"/>
      <c r="E11" s="18"/>
      <c r="F11" s="18"/>
      <c r="G11" s="18"/>
      <c r="H11" s="18"/>
      <c r="I11" s="18" t="s">
        <v>64</v>
      </c>
      <c r="J11" s="18">
        <f>ATAN(TAN(C5*PI()/180)*M5)*180/PI()</f>
        <v>0</v>
      </c>
      <c r="K11" s="44"/>
      <c r="L11" s="44" t="s">
        <v>65</v>
      </c>
      <c r="M11" s="18" t="e">
        <f>ACOS(M9)*180/PI()</f>
        <v>#DIV/0!</v>
      </c>
    </row>
    <row r="12" spans="1:13">
      <c r="A12" s="18"/>
      <c r="B12" s="18"/>
      <c r="C12" s="3"/>
      <c r="D12" s="3"/>
      <c r="E12" s="18"/>
      <c r="F12" s="18"/>
      <c r="G12" s="228" t="s">
        <v>77</v>
      </c>
      <c r="H12" s="18"/>
      <c r="I12" s="18" t="s">
        <v>66</v>
      </c>
      <c r="J12" s="18"/>
      <c r="K12" s="44"/>
      <c r="L12" s="44" t="s">
        <v>67</v>
      </c>
      <c r="M12" s="18" t="e">
        <f>ACOS(M10)*180/PI()</f>
        <v>#DIV/0!</v>
      </c>
    </row>
    <row r="13" spans="1:13">
      <c r="A13" s="18"/>
      <c r="B13" s="18"/>
      <c r="C13" s="3"/>
      <c r="D13" s="3"/>
      <c r="E13" s="18"/>
      <c r="F13" s="18"/>
      <c r="G13" s="18"/>
      <c r="H13" s="18"/>
      <c r="I13" s="18" t="s">
        <v>68</v>
      </c>
      <c r="J13" s="18">
        <f>COS(J11*PI()/180)</f>
        <v>1</v>
      </c>
      <c r="K13" s="44"/>
      <c r="L13" s="44" t="s">
        <v>69</v>
      </c>
      <c r="M13" s="18" t="e">
        <f>TAN(M11*PI()/180)-RADIANS(M11)</f>
        <v>#DIV/0!</v>
      </c>
    </row>
    <row r="14" spans="1:13">
      <c r="A14" s="18"/>
      <c r="B14" s="18"/>
      <c r="C14" s="3"/>
      <c r="D14" s="3"/>
      <c r="E14" s="18"/>
      <c r="F14" s="18"/>
      <c r="G14" s="18"/>
      <c r="I14" s="18"/>
      <c r="J14" s="18"/>
      <c r="K14" s="44"/>
      <c r="L14" s="44" t="s">
        <v>70</v>
      </c>
      <c r="M14" s="18" t="e">
        <f>TAN(M12*PI()/180)-RADIANS(M12)</f>
        <v>#DIV/0!</v>
      </c>
    </row>
    <row r="15" spans="1:13">
      <c r="A15" s="18"/>
      <c r="B15" s="18" t="s">
        <v>71</v>
      </c>
      <c r="C15" s="229"/>
      <c r="D15" s="3" t="str">
        <f>IF($C$3&gt;0,"sn",IF($C$3&lt;0,"en"))</f>
        <v>sn</v>
      </c>
      <c r="E15" s="45" t="str">
        <f>IF(C16,IF($C$3&gt;0,L16,IF($C$3&lt;0,L18))," ")</f>
        <v xml:space="preserve"> </v>
      </c>
      <c r="F15" s="18"/>
      <c r="G15" s="18"/>
      <c r="H15" s="18"/>
      <c r="I15" s="18"/>
      <c r="J15" s="18"/>
      <c r="K15" s="44"/>
      <c r="L15" s="44"/>
      <c r="M15" s="18"/>
    </row>
    <row r="16" spans="1:13">
      <c r="A16" s="18"/>
      <c r="B16" s="18" t="s">
        <v>72</v>
      </c>
      <c r="C16" s="31"/>
      <c r="D16" s="3"/>
      <c r="E16" s="18"/>
      <c r="F16" s="18"/>
      <c r="G16" s="18"/>
      <c r="H16" s="18"/>
      <c r="I16" s="18" t="s">
        <v>73</v>
      </c>
      <c r="J16" s="18" t="e">
        <f>ABS(J2)*(PI()/ABS(C3)+IF(I20="pari",M13,IF(I20="dispari",M14))-J4-(C16/(J10*J13)))</f>
        <v>#DIV/0!</v>
      </c>
      <c r="K16" s="44" t="s">
        <v>74</v>
      </c>
      <c r="L16" s="44" t="e">
        <f>J16*$J$7</f>
        <v>#DIV/0!</v>
      </c>
      <c r="M16" s="18"/>
    </row>
    <row r="17" spans="1:13">
      <c r="A17" s="18"/>
      <c r="B17" s="18"/>
      <c r="C17" s="3"/>
      <c r="D17" s="3"/>
      <c r="E17" s="18"/>
      <c r="F17" s="18"/>
      <c r="G17" s="18"/>
      <c r="H17" s="18"/>
      <c r="I17" s="18" t="s">
        <v>75</v>
      </c>
      <c r="J17" s="18" t="e">
        <f>ABS(J2)*(PI()/ABS(C3)-IF(I20="pari",M13,IF(I20="dispari",M14))+J4-(C16/(J10*J13)))</f>
        <v>#DIV/0!</v>
      </c>
      <c r="K17" s="44"/>
      <c r="L17" s="44" t="e">
        <f>J17*$J$7</f>
        <v>#DIV/0!</v>
      </c>
      <c r="M17" s="18"/>
    </row>
    <row r="18" spans="1:13">
      <c r="A18" s="18"/>
      <c r="B18" s="18"/>
      <c r="C18" s="3"/>
      <c r="D18" s="3"/>
      <c r="E18" s="18"/>
      <c r="F18" s="18"/>
      <c r="G18" s="18"/>
      <c r="H18" s="18"/>
      <c r="I18" s="18" t="s">
        <v>76</v>
      </c>
      <c r="J18" s="18" t="e">
        <f>G2*PI()-J17</f>
        <v>#DIV/0!</v>
      </c>
      <c r="K18" s="44"/>
      <c r="L18" s="44" t="e">
        <f>J18*$J$7</f>
        <v>#DIV/0!</v>
      </c>
      <c r="M18" s="18"/>
    </row>
    <row r="19" spans="1:13">
      <c r="A19" s="18"/>
      <c r="B19" s="18"/>
      <c r="C19" s="3"/>
      <c r="D19" s="3"/>
      <c r="E19" s="18"/>
      <c r="F19" s="18"/>
      <c r="G19" s="18"/>
      <c r="H19" s="18"/>
      <c r="I19" s="18"/>
      <c r="J19" s="18"/>
      <c r="K19" s="44"/>
      <c r="L19" s="44"/>
      <c r="M19" s="18"/>
    </row>
    <row r="20" spans="1:13">
      <c r="A20" s="18"/>
      <c r="B20" s="18"/>
      <c r="C20" s="3"/>
      <c r="D20" s="3"/>
      <c r="E20" s="18"/>
      <c r="F20" s="18"/>
      <c r="G20" s="18"/>
      <c r="H20" s="18"/>
      <c r="I20" s="18" t="str">
        <f>IF(INT(C3/2)=C3/2,"Pari","Dispari")</f>
        <v>Pari</v>
      </c>
      <c r="J20" s="18"/>
      <c r="K20" s="44"/>
      <c r="L20" s="44"/>
      <c r="M20" s="18"/>
    </row>
    <row r="21" spans="1:13">
      <c r="A21" s="18"/>
      <c r="C21" s="3"/>
      <c r="D21" s="3"/>
      <c r="E21" s="18"/>
      <c r="F21" s="18"/>
      <c r="G21" s="18"/>
      <c r="H21" s="18"/>
      <c r="I21" s="18"/>
      <c r="J21" s="18"/>
      <c r="K21" s="44"/>
      <c r="L21" s="44"/>
      <c r="M21" s="18"/>
    </row>
    <row r="22" spans="1:13">
      <c r="A22" s="18"/>
      <c r="B22" s="18"/>
      <c r="C22" s="3"/>
      <c r="D22" s="3"/>
      <c r="E22" s="18"/>
      <c r="F22" s="18"/>
      <c r="G22" s="18"/>
      <c r="H22" s="18"/>
      <c r="I22" s="18"/>
      <c r="J22" s="18"/>
      <c r="K22" s="44"/>
      <c r="L22" s="44"/>
      <c r="M22" s="18"/>
    </row>
    <row r="23" spans="1:13">
      <c r="A23" s="18"/>
      <c r="B23" s="18"/>
      <c r="C23" s="3"/>
      <c r="D23" s="3"/>
      <c r="E23" s="18"/>
      <c r="F23" s="18"/>
      <c r="G23" s="18"/>
      <c r="H23" s="18"/>
      <c r="I23" s="18"/>
      <c r="J23" s="18"/>
      <c r="K23" s="44"/>
      <c r="L23" s="44"/>
      <c r="M23" s="18"/>
    </row>
    <row r="24" spans="1:13">
      <c r="A24" s="18"/>
      <c r="B24" s="18" t="s">
        <v>13645</v>
      </c>
      <c r="C24" s="31"/>
      <c r="D24" s="3" t="s">
        <v>13647</v>
      </c>
      <c r="E24" s="45" t="str">
        <f>IF(C24,2*SQRT(POWER((PowrtSkiving!B18/2),2)+POWER((PowrtSkiving!B18/2)*RADIANS(C24),2)),"")</f>
        <v/>
      </c>
      <c r="F24" s="18"/>
      <c r="G24" s="18" t="s">
        <v>13649</v>
      </c>
      <c r="H24" s="45" t="str">
        <f>IF(C24,C24*ABS(PowrtSkiving!B18)*PI()/360,"")</f>
        <v/>
      </c>
      <c r="I24" s="18"/>
      <c r="J24" s="18"/>
      <c r="K24" s="44"/>
      <c r="L24" s="44"/>
      <c r="M24" s="18"/>
    </row>
    <row r="25" spans="1:13">
      <c r="A25" s="18"/>
      <c r="B25" s="18"/>
      <c r="C25" s="3"/>
      <c r="D25" s="3"/>
      <c r="E25" s="18"/>
      <c r="F25" s="18"/>
      <c r="G25" s="18"/>
      <c r="H25" s="18"/>
      <c r="I25" s="18"/>
      <c r="J25" s="18"/>
      <c r="K25" s="44"/>
      <c r="L25" s="44"/>
      <c r="M25" s="18"/>
    </row>
    <row r="26" spans="1:13">
      <c r="A26" s="18"/>
      <c r="B26" s="18" t="s">
        <v>13646</v>
      </c>
      <c r="C26" s="226"/>
      <c r="D26" s="3" t="s">
        <v>13648</v>
      </c>
      <c r="E26" s="45" t="str">
        <f>IF(C26,2*SQRT(POWER((PowrtSkiving!B18/2),2)+POWER((PowrtSkiving!B18/2)*RADIANS(C26),2)),"")</f>
        <v/>
      </c>
      <c r="F26" s="18"/>
      <c r="G26" s="18" t="s">
        <v>13650</v>
      </c>
      <c r="H26" s="45" t="str">
        <f>IF(C26,C26*ABS(PowrtSkiving!B18)*PI()/360,"")</f>
        <v/>
      </c>
      <c r="I26" s="18"/>
      <c r="J26" s="18"/>
      <c r="K26" s="44"/>
      <c r="L26" s="44"/>
      <c r="M26" s="18"/>
    </row>
    <row r="27" spans="1:13">
      <c r="A27" s="18"/>
      <c r="B27" s="18"/>
      <c r="C27" s="3"/>
      <c r="D27" s="3"/>
      <c r="E27" s="227"/>
      <c r="F27" s="18"/>
      <c r="G27" s="18"/>
      <c r="I27" s="18"/>
      <c r="J27" s="18"/>
      <c r="K27" s="44"/>
      <c r="L27" s="44"/>
      <c r="M27" s="18"/>
    </row>
    <row r="28" spans="1:13">
      <c r="A28" s="18"/>
      <c r="B28" s="18" t="s">
        <v>13649</v>
      </c>
      <c r="C28" s="31"/>
      <c r="D28" s="3" t="s">
        <v>13647</v>
      </c>
      <c r="E28" s="45" t="str">
        <f>IF(C28,2*SQRT(POWER(C28,2)+(POWER(PowrtSkiving!B18/2,2))),"")</f>
        <v/>
      </c>
      <c r="F28" s="18"/>
      <c r="G28" s="18"/>
      <c r="H28" s="18"/>
      <c r="I28" s="18"/>
      <c r="J28" s="18"/>
      <c r="K28" s="44"/>
      <c r="L28" s="44"/>
      <c r="M28" s="18"/>
    </row>
    <row r="29" spans="1:13">
      <c r="B29" s="18"/>
      <c r="C29" s="3"/>
      <c r="D29" s="3"/>
      <c r="E29" s="18"/>
      <c r="K29" s="46"/>
      <c r="L29" s="46"/>
    </row>
    <row r="30" spans="1:13">
      <c r="B30" s="18" t="s">
        <v>13650</v>
      </c>
      <c r="C30" s="31"/>
      <c r="D30" s="3" t="s">
        <v>13648</v>
      </c>
      <c r="E30" s="45" t="str">
        <f>IF(C30,2*SQRT(POWER(C30,2)+(POWER(PowrtSkiving!B18/2,2))),"")</f>
        <v/>
      </c>
      <c r="K30" s="46"/>
      <c r="L30" s="46"/>
    </row>
    <row r="31" spans="1:13">
      <c r="C31" s="17"/>
      <c r="D31" s="17"/>
      <c r="K31" s="46"/>
      <c r="L31" s="46"/>
    </row>
    <row r="32" spans="1:13">
      <c r="C32" s="17"/>
      <c r="D32" s="17"/>
      <c r="K32" s="46"/>
      <c r="L32" s="46"/>
    </row>
    <row r="33" spans="3:12">
      <c r="C33" s="17"/>
      <c r="D33" s="17"/>
      <c r="K33" s="46"/>
      <c r="L33" s="46"/>
    </row>
    <row r="34" spans="3:12">
      <c r="C34" s="17"/>
      <c r="D34" s="17"/>
      <c r="K34" s="46"/>
      <c r="L34" s="46"/>
    </row>
    <row r="35" spans="3:12">
      <c r="C35" s="17"/>
      <c r="D35" s="17"/>
      <c r="K35" s="46"/>
      <c r="L35" s="46"/>
    </row>
    <row r="36" spans="3:12">
      <c r="C36" s="17"/>
      <c r="D36" s="17"/>
      <c r="K36" s="46"/>
      <c r="L36" s="46"/>
    </row>
    <row r="37" spans="3:12">
      <c r="C37" s="17"/>
      <c r="D37" s="17"/>
      <c r="K37" s="46"/>
      <c r="L37" s="46"/>
    </row>
    <row r="38" spans="3:12">
      <c r="C38" s="17"/>
      <c r="D38" s="17"/>
      <c r="K38" s="46"/>
      <c r="L38" s="46"/>
    </row>
    <row r="39" spans="3:12">
      <c r="C39" s="17"/>
      <c r="D39" s="17"/>
      <c r="K39" s="46"/>
      <c r="L39" s="46"/>
    </row>
    <row r="40" spans="3:12">
      <c r="C40" s="17"/>
      <c r="D40" s="17"/>
      <c r="K40" s="46"/>
      <c r="L40" s="46"/>
    </row>
  </sheetData>
  <sheetProtection algorithmName="SHA-512" hashValue="j4W8QK6SlSOnWMtNKWz0yXGdt5K3hLwnJgYShgL3ztsezhRJhc7JUJsO+kNcnVJybdy1AgmCiYJKLpPzqNf2vQ==" saltValue="DouWaLriyJAtgZOgTlt7l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W75"/>
  <sheetViews>
    <sheetView topLeftCell="A7" workbookViewId="0">
      <selection activeCell="D16" sqref="D16"/>
    </sheetView>
  </sheetViews>
  <sheetFormatPr defaultColWidth="9.140625" defaultRowHeight="12.75"/>
  <cols>
    <col min="1" max="1" width="3" style="352" customWidth="1"/>
    <col min="2" max="2" width="14.7109375" style="400" bestFit="1" customWidth="1"/>
    <col min="3" max="3" width="10.7109375" style="352" customWidth="1"/>
    <col min="4" max="4" width="10" style="352" bestFit="1" customWidth="1"/>
    <col min="5" max="5" width="10.7109375" style="352" customWidth="1"/>
    <col min="6" max="6" width="1.7109375" style="390" customWidth="1"/>
    <col min="7" max="7" width="14.7109375" style="352" bestFit="1" customWidth="1"/>
    <col min="8" max="8" width="10.7109375" style="352" customWidth="1"/>
    <col min="9" max="9" width="9.7109375" style="352" customWidth="1"/>
    <col min="10" max="10" width="10.7109375" style="352" customWidth="1"/>
    <col min="11" max="11" width="3" style="352" bestFit="1" customWidth="1"/>
    <col min="12" max="12" width="9.5703125" style="352" bestFit="1" customWidth="1"/>
    <col min="13" max="13" width="10.7109375" style="352" customWidth="1"/>
    <col min="14" max="14" width="1.85546875" style="399" customWidth="1"/>
    <col min="15" max="15" width="10.140625" style="399" customWidth="1"/>
    <col min="16" max="16" width="1.85546875" style="399" customWidth="1"/>
    <col min="17" max="17" width="9.140625" style="352" customWidth="1"/>
    <col min="18" max="16384" width="9.140625" style="352"/>
  </cols>
  <sheetData>
    <row r="1" spans="1:11" ht="25.5" customHeight="1">
      <c r="A1" s="397"/>
      <c r="B1" s="484" t="s">
        <v>14096</v>
      </c>
      <c r="C1" s="484"/>
      <c r="D1" s="398">
        <f ca="1">NOW()</f>
        <v>43524.674062268517</v>
      </c>
      <c r="E1" s="482" t="s">
        <v>14039</v>
      </c>
      <c r="F1" s="482"/>
      <c r="G1" s="482"/>
      <c r="H1" s="483" t="str">
        <f ca="1">MID(CELL("FILENAME",G96),FIND("[",CELL("FILENAME",G96))+1,FIND("]",CELL("FILENAME",G96))-FIND("[",CELL("FILENAME",G96))-6)</f>
        <v>main powerskyving</v>
      </c>
      <c r="I1" s="483"/>
      <c r="J1" s="483"/>
      <c r="K1" s="350"/>
    </row>
    <row r="2" spans="1:11" ht="12.75" customHeight="1"/>
    <row r="3" spans="1:11" ht="12.75" customHeight="1">
      <c r="B3" s="470" t="s">
        <v>14081</v>
      </c>
      <c r="C3" s="470"/>
      <c r="D3" s="470"/>
      <c r="E3" s="470"/>
      <c r="G3" s="470" t="s">
        <v>14059</v>
      </c>
      <c r="H3" s="470"/>
      <c r="I3" s="470"/>
      <c r="J3" s="470"/>
    </row>
    <row r="4" spans="1:11" ht="12.75" customHeight="1">
      <c r="B4" s="401" t="s">
        <v>14085</v>
      </c>
      <c r="C4" s="401" t="s">
        <v>14084</v>
      </c>
      <c r="D4" s="401" t="s">
        <v>14082</v>
      </c>
      <c r="E4" s="402" t="s">
        <v>14083</v>
      </c>
      <c r="G4" s="470"/>
      <c r="H4" s="470"/>
      <c r="I4" s="470"/>
      <c r="J4" s="470"/>
    </row>
    <row r="5" spans="1:11" ht="12.75" customHeight="1">
      <c r="C5" s="399"/>
      <c r="D5" s="399"/>
    </row>
    <row r="6" spans="1:11" ht="12.75" customHeight="1">
      <c r="B6" s="370" t="s">
        <v>2</v>
      </c>
      <c r="C6" s="371">
        <f>IF(D6,D6,E6)</f>
        <v>1.2057551778804803</v>
      </c>
      <c r="D6" s="448"/>
      <c r="E6" s="403">
        <f>PowrtSkiving!E4</f>
        <v>1.2057551778804803</v>
      </c>
      <c r="G6" s="355" t="s">
        <v>13564</v>
      </c>
      <c r="H6" s="351">
        <f>IF(C22,C6/COS(C22*PI()/180),C6)</f>
        <v>1.2057551778804803</v>
      </c>
    </row>
    <row r="7" spans="1:11" ht="12.75" customHeight="1">
      <c r="B7" s="370"/>
      <c r="C7" s="372"/>
      <c r="E7" s="403"/>
      <c r="G7" s="390"/>
      <c r="I7" s="390" t="s">
        <v>13565</v>
      </c>
      <c r="J7" s="351" t="str">
        <f>IFERROR(IF(C8&gt;0,C16+C12,C16-ABS(C12)),"")</f>
        <v/>
      </c>
    </row>
    <row r="8" spans="1:11" ht="12.75" customHeight="1">
      <c r="B8" s="370" t="s">
        <v>13566</v>
      </c>
      <c r="C8" s="371">
        <f>IF(D8,D8,E8)</f>
        <v>138</v>
      </c>
      <c r="D8" s="448"/>
      <c r="E8" s="403">
        <f>PowrtSkiving!E6</f>
        <v>138</v>
      </c>
      <c r="G8" s="391" t="s">
        <v>13570</v>
      </c>
      <c r="H8" s="351" t="str">
        <f>IF(C10,IF(C22,IF(C22,DEGREES(ATAN((TAN(C10*PI()/180)/COS(C22*PI()/180)))),C10),C10),"")</f>
        <v/>
      </c>
    </row>
    <row r="9" spans="1:11" ht="12.75" customHeight="1">
      <c r="B9" s="370"/>
      <c r="C9" s="372"/>
      <c r="E9" s="403"/>
      <c r="I9" s="391" t="s">
        <v>13573</v>
      </c>
      <c r="J9" s="351" t="str">
        <f>IFERROR((ACOS(J13/(H12*ABS(C8))))*180/PI(),"")</f>
        <v/>
      </c>
    </row>
    <row r="10" spans="1:11" ht="12.75" customHeight="1">
      <c r="B10" s="404" t="s">
        <v>14086</v>
      </c>
      <c r="C10" s="371">
        <f>IF(D10,D10,E10)</f>
        <v>0</v>
      </c>
      <c r="D10" s="448"/>
      <c r="E10" s="403">
        <f>PowrtSkiving!E7</f>
        <v>0</v>
      </c>
      <c r="G10" s="390" t="s">
        <v>13581</v>
      </c>
      <c r="H10" s="351" t="e">
        <f>COS(H8*PI()/180)*H6*C14</f>
        <v>#VALUE!</v>
      </c>
      <c r="J10" s="372"/>
    </row>
    <row r="11" spans="1:11" ht="12.75" customHeight="1">
      <c r="B11" s="370"/>
      <c r="C11" s="372"/>
      <c r="E11" s="403"/>
      <c r="I11" s="390" t="s">
        <v>13568</v>
      </c>
      <c r="J11" s="351">
        <f>IF(C8,H6*C8," ")</f>
        <v>166.39421454750627</v>
      </c>
    </row>
    <row r="12" spans="1:11" ht="12.75" customHeight="1">
      <c r="B12" s="370" t="s">
        <v>13572</v>
      </c>
      <c r="C12" s="371">
        <f>IF(D12,D12,E12)</f>
        <v>173.3</v>
      </c>
      <c r="D12" s="448"/>
      <c r="E12" s="403">
        <f>PowrtSkiving!E11</f>
        <v>173.3</v>
      </c>
      <c r="G12" s="390" t="s">
        <v>13567</v>
      </c>
      <c r="H12" s="351" t="str">
        <f>IFERROR(J7/(C8+C14),"")</f>
        <v/>
      </c>
    </row>
    <row r="13" spans="1:11" ht="12.75" customHeight="1">
      <c r="B13" s="370"/>
      <c r="C13" s="372"/>
      <c r="E13" s="403"/>
      <c r="I13" s="390" t="s">
        <v>13571</v>
      </c>
      <c r="J13" s="351" t="e">
        <f>H6*ABS(C8)*COS(H8*PI()/180)</f>
        <v>#VALUE!</v>
      </c>
    </row>
    <row r="14" spans="1:11" ht="12.75" customHeight="1">
      <c r="B14" s="370" t="s">
        <v>13575</v>
      </c>
      <c r="C14" s="371">
        <f>IF(D14,D14,E14)</f>
        <v>0</v>
      </c>
      <c r="D14" s="448"/>
      <c r="E14" s="403">
        <f>PowrtSkiving!H22</f>
        <v>0</v>
      </c>
    </row>
    <row r="15" spans="1:11" ht="12.75" customHeight="1">
      <c r="B15" s="370"/>
      <c r="C15" s="372"/>
      <c r="E15" s="403"/>
    </row>
    <row r="16" spans="1:11" ht="12.75" customHeight="1">
      <c r="B16" s="370" t="s">
        <v>13578</v>
      </c>
      <c r="C16" s="371" t="str">
        <f>IF(D16,D16,"")</f>
        <v/>
      </c>
      <c r="D16" s="448"/>
      <c r="E16" s="403"/>
      <c r="F16" s="405" t="s">
        <v>14094</v>
      </c>
      <c r="G16" s="390"/>
    </row>
    <row r="17" spans="2:23" ht="12.75" customHeight="1">
      <c r="B17" s="393"/>
      <c r="C17" s="372"/>
      <c r="E17" s="403"/>
      <c r="G17" s="390"/>
    </row>
    <row r="18" spans="2:23" ht="12.75" customHeight="1">
      <c r="B18" s="370" t="s">
        <v>13577</v>
      </c>
      <c r="C18" s="371" t="str">
        <f>IF(D18,D18,"")</f>
        <v/>
      </c>
      <c r="D18" s="448"/>
      <c r="E18" s="403"/>
    </row>
    <row r="19" spans="2:23" ht="12.75" customHeight="1">
      <c r="B19" s="393"/>
      <c r="C19" s="372"/>
      <c r="E19" s="403"/>
      <c r="G19" s="406"/>
      <c r="H19" s="372"/>
    </row>
    <row r="20" spans="2:23" ht="12.75" customHeight="1">
      <c r="B20" s="370" t="s">
        <v>13579</v>
      </c>
      <c r="C20" s="371" t="str">
        <f>IF(D20,D20,"")</f>
        <v/>
      </c>
      <c r="D20" s="448"/>
      <c r="E20" s="403"/>
      <c r="I20" s="372"/>
      <c r="J20" s="353"/>
    </row>
    <row r="21" spans="2:23" ht="12.75" customHeight="1">
      <c r="B21" s="393"/>
      <c r="C21" s="372"/>
      <c r="E21" s="403"/>
      <c r="I21" s="372"/>
    </row>
    <row r="22" spans="2:23" ht="12.75" customHeight="1">
      <c r="B22" s="370" t="s">
        <v>13586</v>
      </c>
      <c r="C22" s="371">
        <f>IF(D22,D22,E22)</f>
        <v>0</v>
      </c>
      <c r="D22" s="448"/>
      <c r="E22" s="403">
        <f>PowrtSkiving!E9</f>
        <v>0</v>
      </c>
      <c r="I22" s="372"/>
    </row>
    <row r="23" spans="2:23" ht="12.75" customHeight="1">
      <c r="B23" s="372"/>
      <c r="C23" s="373"/>
      <c r="E23" s="403"/>
      <c r="I23" s="372"/>
    </row>
    <row r="24" spans="2:23" ht="12.75" customHeight="1">
      <c r="B24" s="370" t="s">
        <v>13880</v>
      </c>
      <c r="C24" s="396">
        <f>IF(OR(D24="DESTRO",D24="SINISTRO"),D24,E24)</f>
        <v>0</v>
      </c>
      <c r="D24" s="449"/>
      <c r="E24" s="407">
        <f>PowrtSkiving!G9</f>
        <v>0</v>
      </c>
      <c r="I24" s="372"/>
    </row>
    <row r="25" spans="2:23" ht="12.75" customHeight="1">
      <c r="B25" s="372"/>
      <c r="C25" s="373"/>
      <c r="E25" s="403"/>
      <c r="I25" s="372"/>
    </row>
    <row r="26" spans="2:23" ht="12.75" customHeight="1">
      <c r="B26" s="370" t="s">
        <v>14087</v>
      </c>
      <c r="C26" s="371" t="str">
        <f>IF(D26,D26,E26)</f>
        <v/>
      </c>
      <c r="D26" s="448"/>
      <c r="E26" s="403" t="str">
        <f>IFERROR(IF(C16,C16,""),"")</f>
        <v/>
      </c>
      <c r="F26" s="405" t="s">
        <v>14088</v>
      </c>
      <c r="I26" s="372"/>
    </row>
    <row r="27" spans="2:23" ht="12.75" customHeight="1" thickBot="1">
      <c r="B27" s="372"/>
      <c r="C27" s="373"/>
      <c r="E27" s="403"/>
      <c r="I27" s="372"/>
    </row>
    <row r="28" spans="2:23" ht="15">
      <c r="B28" s="485" t="s">
        <v>14058</v>
      </c>
      <c r="C28" s="486"/>
      <c r="D28" s="486"/>
      <c r="E28" s="486"/>
      <c r="F28" s="486"/>
      <c r="G28" s="486"/>
      <c r="H28" s="486"/>
      <c r="I28" s="486"/>
      <c r="J28" s="487"/>
    </row>
    <row r="29" spans="2:23" ht="13.5" thickBot="1">
      <c r="B29" s="408"/>
      <c r="C29" s="354"/>
      <c r="D29" s="409" t="s">
        <v>14063</v>
      </c>
      <c r="E29" s="354"/>
      <c r="F29" s="410"/>
      <c r="G29" s="354"/>
      <c r="H29" s="354"/>
      <c r="I29" s="354"/>
      <c r="J29" s="411"/>
    </row>
    <row r="30" spans="2:23" ht="12.75" customHeight="1">
      <c r="B30" s="412" t="s">
        <v>14045</v>
      </c>
      <c r="C30" s="448"/>
      <c r="D30" s="450"/>
      <c r="E30" s="413"/>
      <c r="F30" s="414"/>
      <c r="G30" s="415"/>
      <c r="H30" s="416" t="s">
        <v>14051</v>
      </c>
      <c r="I30" s="415"/>
      <c r="J30" s="359" t="str">
        <f>IF(C30,SQRT(POWER(SQRT(C30*C30-$J$13*$J$13)-SIN($J$9*PI()/180)*ABS($J$7),2)+$H$10*$H$10)," ")</f>
        <v xml:space="preserve"> </v>
      </c>
      <c r="L30" s="417" t="s">
        <v>14034</v>
      </c>
      <c r="M30" s="469" t="s">
        <v>14035</v>
      </c>
      <c r="Q30" s="479" t="s">
        <v>14095</v>
      </c>
      <c r="R30" s="480"/>
      <c r="S30" s="480"/>
      <c r="T30" s="480"/>
      <c r="U30" s="480"/>
      <c r="V30" s="480"/>
      <c r="W30" s="481"/>
    </row>
    <row r="31" spans="2:23">
      <c r="B31" s="418" t="s">
        <v>14064</v>
      </c>
      <c r="C31" s="362" t="e">
        <f>SQRT(POWER(SIN($J$9*PI()/180)*ABS($J$7),2)+POWER($J$13,2))</f>
        <v>#VALUE!</v>
      </c>
      <c r="F31" s="414"/>
      <c r="G31" s="419"/>
      <c r="H31" s="354"/>
      <c r="I31" s="354"/>
      <c r="J31" s="411"/>
      <c r="L31" s="393"/>
      <c r="M31" s="469"/>
      <c r="Q31" s="453"/>
      <c r="R31" s="454"/>
      <c r="S31" s="454"/>
      <c r="T31" s="454"/>
      <c r="U31" s="454"/>
      <c r="V31" s="454"/>
      <c r="W31" s="455"/>
    </row>
    <row r="32" spans="2:23">
      <c r="B32" s="412" t="s">
        <v>14046</v>
      </c>
      <c r="C32" s="448"/>
      <c r="D32" s="450"/>
      <c r="E32" s="413"/>
      <c r="F32" s="414"/>
      <c r="G32" s="420"/>
      <c r="H32" s="416" t="s">
        <v>14053</v>
      </c>
      <c r="I32" s="415"/>
      <c r="J32" s="359"/>
      <c r="L32" s="417" t="s">
        <v>14034</v>
      </c>
      <c r="M32" s="469"/>
      <c r="Q32" s="453"/>
      <c r="R32" s="454"/>
      <c r="S32" s="454"/>
      <c r="T32" s="454"/>
      <c r="U32" s="454"/>
      <c r="V32" s="454"/>
      <c r="W32" s="455"/>
    </row>
    <row r="33" spans="2:23">
      <c r="B33" s="421"/>
      <c r="C33" s="354"/>
      <c r="D33" s="413"/>
      <c r="E33" s="413"/>
      <c r="F33" s="414"/>
      <c r="G33" s="419"/>
      <c r="H33" s="354"/>
      <c r="I33" s="354"/>
      <c r="J33" s="411"/>
      <c r="L33" s="393"/>
      <c r="M33" s="469"/>
      <c r="Q33" s="453"/>
      <c r="R33" s="454"/>
      <c r="S33" s="454"/>
      <c r="T33" s="454"/>
      <c r="U33" s="454"/>
      <c r="V33" s="454"/>
      <c r="W33" s="455"/>
    </row>
    <row r="34" spans="2:23">
      <c r="B34" s="412" t="s">
        <v>14047</v>
      </c>
      <c r="C34" s="448"/>
      <c r="D34" s="450"/>
      <c r="E34" s="413"/>
      <c r="F34" s="414"/>
      <c r="G34" s="420"/>
      <c r="H34" s="416" t="s">
        <v>14052</v>
      </c>
      <c r="I34" s="415"/>
      <c r="J34" s="359" t="str">
        <f>IF(C34,SQRT(POWER(SQRT(C34*C34-$J$13*$J$13)-SIN($J$9*PI()/180)*ABS($J$7),2)+$H$10*$H$10)," ")</f>
        <v xml:space="preserve"> </v>
      </c>
      <c r="L34" s="417" t="s">
        <v>14034</v>
      </c>
      <c r="M34" s="469"/>
      <c r="Q34" s="453"/>
      <c r="R34" s="454"/>
      <c r="S34" s="454"/>
      <c r="T34" s="454"/>
      <c r="U34" s="454"/>
      <c r="V34" s="454"/>
      <c r="W34" s="455"/>
    </row>
    <row r="35" spans="2:23">
      <c r="B35" s="421"/>
      <c r="C35" s="354"/>
      <c r="D35" s="354"/>
      <c r="E35" s="354"/>
      <c r="F35" s="410"/>
      <c r="G35" s="419"/>
      <c r="H35" s="354"/>
      <c r="I35" s="354"/>
      <c r="J35" s="411"/>
      <c r="L35" s="393"/>
      <c r="M35" s="469"/>
      <c r="Q35" s="453"/>
      <c r="R35" s="454"/>
      <c r="S35" s="454"/>
      <c r="T35" s="454"/>
      <c r="U35" s="454"/>
      <c r="V35" s="454"/>
      <c r="W35" s="455"/>
    </row>
    <row r="36" spans="2:23" ht="12.75" customHeight="1">
      <c r="B36" s="412" t="s">
        <v>14048</v>
      </c>
      <c r="C36" s="448"/>
      <c r="D36" s="450"/>
      <c r="E36" s="413"/>
      <c r="F36" s="414"/>
      <c r="G36" s="420"/>
      <c r="H36" s="416" t="s">
        <v>14054</v>
      </c>
      <c r="I36" s="415"/>
      <c r="J36" s="359" t="str">
        <f>IF(C36,SQRT(POWER(SQRT(C36*C36-$J$13*$J$13)-SIN($J$9*PI()/180)*ABS($J$7),2)+$H$10*$H$10)," ")</f>
        <v xml:space="preserve"> </v>
      </c>
      <c r="L36" s="417" t="s">
        <v>14034</v>
      </c>
      <c r="M36" s="469"/>
      <c r="Q36" s="453"/>
      <c r="R36" s="454"/>
      <c r="S36" s="454"/>
      <c r="T36" s="454"/>
      <c r="U36" s="454"/>
      <c r="V36" s="454"/>
      <c r="W36" s="455"/>
    </row>
    <row r="37" spans="2:23">
      <c r="B37" s="421"/>
      <c r="C37" s="354"/>
      <c r="D37" s="354"/>
      <c r="E37" s="354"/>
      <c r="F37" s="410"/>
      <c r="G37" s="419"/>
      <c r="H37" s="422"/>
      <c r="I37" s="354"/>
      <c r="J37" s="411"/>
      <c r="Q37" s="453"/>
      <c r="R37" s="454"/>
      <c r="S37" s="454"/>
      <c r="T37" s="454"/>
      <c r="U37" s="454"/>
      <c r="V37" s="454"/>
      <c r="W37" s="455"/>
    </row>
    <row r="38" spans="2:23">
      <c r="B38" s="421" t="s">
        <v>14049</v>
      </c>
      <c r="C38" s="448"/>
      <c r="D38" s="354"/>
      <c r="E38" s="354"/>
      <c r="F38" s="410"/>
      <c r="G38" s="419"/>
      <c r="H38" s="422" t="s">
        <v>14055</v>
      </c>
      <c r="I38" s="354"/>
      <c r="J38" s="360" t="str">
        <f>IF(C38,SQRT(POWER(SQRT(C38*C38-$J$13*$J$13)-SIN($J$9*PI()/180)*ABS($J$7),2)+$H$10*$H$10)," ")</f>
        <v xml:space="preserve"> </v>
      </c>
      <c r="L38" s="423" t="s">
        <v>14034</v>
      </c>
      <c r="M38" s="468" t="s">
        <v>14036</v>
      </c>
      <c r="Q38" s="453"/>
      <c r="R38" s="454"/>
      <c r="S38" s="454"/>
      <c r="T38" s="454"/>
      <c r="U38" s="454"/>
      <c r="V38" s="454"/>
      <c r="W38" s="455"/>
    </row>
    <row r="39" spans="2:23">
      <c r="B39" s="421"/>
      <c r="C39" s="354"/>
      <c r="D39" s="354"/>
      <c r="E39" s="354"/>
      <c r="F39" s="410"/>
      <c r="G39" s="419"/>
      <c r="H39" s="422"/>
      <c r="I39" s="354"/>
      <c r="J39" s="411"/>
      <c r="L39" s="424"/>
      <c r="M39" s="468"/>
      <c r="Q39" s="453"/>
      <c r="R39" s="454"/>
      <c r="S39" s="454"/>
      <c r="T39" s="454"/>
      <c r="U39" s="454"/>
      <c r="V39" s="454"/>
      <c r="W39" s="455"/>
    </row>
    <row r="40" spans="2:23">
      <c r="B40" s="421" t="s">
        <v>14050</v>
      </c>
      <c r="C40" s="448"/>
      <c r="D40" s="354"/>
      <c r="E40" s="354"/>
      <c r="F40" s="410"/>
      <c r="G40" s="419"/>
      <c r="H40" s="422" t="s">
        <v>14056</v>
      </c>
      <c r="I40" s="354"/>
      <c r="J40" s="360" t="str">
        <f>IF(C40,SQRT(POWER(SQRT(C40*C40-$J$13*$J$13)-SIN($J$9*PI()/180)*ABS($J$7),2)+$H$10*$H$10)," ")</f>
        <v xml:space="preserve"> </v>
      </c>
      <c r="L40" s="423" t="s">
        <v>14034</v>
      </c>
      <c r="M40" s="468"/>
      <c r="Q40" s="453"/>
      <c r="R40" s="454"/>
      <c r="S40" s="454"/>
      <c r="T40" s="454"/>
      <c r="U40" s="454"/>
      <c r="V40" s="454"/>
      <c r="W40" s="455"/>
    </row>
    <row r="41" spans="2:23">
      <c r="B41" s="421"/>
      <c r="C41" s="354"/>
      <c r="D41" s="354"/>
      <c r="E41" s="354"/>
      <c r="F41" s="410"/>
      <c r="G41" s="419"/>
      <c r="H41" s="422"/>
      <c r="I41" s="354"/>
      <c r="J41" s="361"/>
      <c r="L41" s="424"/>
      <c r="M41" s="468"/>
      <c r="Q41" s="453"/>
      <c r="R41" s="454"/>
      <c r="S41" s="454"/>
      <c r="T41" s="454"/>
      <c r="U41" s="454"/>
      <c r="V41" s="454"/>
      <c r="W41" s="455"/>
    </row>
    <row r="42" spans="2:23">
      <c r="B42" s="421" t="s">
        <v>14061</v>
      </c>
      <c r="C42" s="448"/>
      <c r="D42" s="354"/>
      <c r="E42" s="354"/>
      <c r="F42" s="410"/>
      <c r="G42" s="419"/>
      <c r="H42" s="422" t="s">
        <v>14065</v>
      </c>
      <c r="I42" s="354"/>
      <c r="J42" s="360" t="str">
        <f>IF(C42,SQRT(POWER(SQRT(C42*C42-$J$13*$J$13)-SIN($J$9*PI()/180)*ABS($J$7),2)+$H$10*$H$10)," ")</f>
        <v xml:space="preserve"> </v>
      </c>
      <c r="L42" s="423" t="s">
        <v>14034</v>
      </c>
      <c r="M42" s="468"/>
      <c r="Q42" s="453"/>
      <c r="R42" s="454"/>
      <c r="S42" s="454"/>
      <c r="T42" s="454"/>
      <c r="U42" s="454"/>
      <c r="V42" s="454"/>
      <c r="W42" s="455"/>
    </row>
    <row r="43" spans="2:23">
      <c r="B43" s="421"/>
      <c r="C43" s="354"/>
      <c r="D43" s="354"/>
      <c r="E43" s="354"/>
      <c r="F43" s="410"/>
      <c r="G43" s="419"/>
      <c r="H43" s="422"/>
      <c r="I43" s="354"/>
      <c r="J43" s="361"/>
      <c r="L43" s="423"/>
      <c r="M43" s="468"/>
      <c r="Q43" s="453"/>
      <c r="R43" s="454"/>
      <c r="S43" s="454"/>
      <c r="T43" s="454"/>
      <c r="U43" s="454"/>
      <c r="V43" s="454"/>
      <c r="W43" s="455"/>
    </row>
    <row r="44" spans="2:23" ht="13.5" thickBot="1">
      <c r="B44" s="421" t="s">
        <v>14062</v>
      </c>
      <c r="C44" s="448"/>
      <c r="D44" s="354"/>
      <c r="E44" s="354"/>
      <c r="F44" s="410"/>
      <c r="G44" s="419"/>
      <c r="H44" s="422" t="s">
        <v>14066</v>
      </c>
      <c r="I44" s="354"/>
      <c r="J44" s="360" t="str">
        <f>IF(C44,SQRT(POWER(SQRT(C44*C44-$J$13*$J$13)-SIN($J$9*PI()/180)*ABS($J$7),2)+$H$10*$H$10)," ")</f>
        <v xml:space="preserve"> </v>
      </c>
      <c r="L44" s="423" t="s">
        <v>14034</v>
      </c>
      <c r="M44" s="468"/>
      <c r="Q44" s="456"/>
      <c r="R44" s="457"/>
      <c r="S44" s="457"/>
      <c r="T44" s="457"/>
      <c r="U44" s="457"/>
      <c r="V44" s="457"/>
      <c r="W44" s="458"/>
    </row>
    <row r="45" spans="2:23" ht="13.5" thickBot="1">
      <c r="B45" s="425"/>
      <c r="C45" s="426"/>
      <c r="D45" s="426"/>
      <c r="E45" s="426"/>
      <c r="F45" s="427"/>
      <c r="G45" s="426"/>
      <c r="H45" s="426"/>
      <c r="I45" s="426"/>
      <c r="J45" s="428"/>
    </row>
    <row r="46" spans="2:23">
      <c r="B46" s="429"/>
    </row>
    <row r="47" spans="2:23" ht="15.75">
      <c r="B47" s="478" t="str">
        <f>CONCATENATE("↓ Fianco Sinistro (",IF(C24="DESTRO","Basso",IF(C24="SINISTRO","Alto","")),") ↓")</f>
        <v>↓ Fianco Sinistro () ↓</v>
      </c>
      <c r="C47" s="478"/>
      <c r="D47" s="478"/>
      <c r="E47" s="478"/>
      <c r="G47" s="478" t="str">
        <f>CONCATENATE("↓ Fianco Destro (",IF(C24="SINISTRO","Basso",IF(C24="DESTRO","Alto","")),") ↓")</f>
        <v>↓ Fianco Destro () ↓</v>
      </c>
      <c r="H47" s="478"/>
      <c r="I47" s="478"/>
      <c r="J47" s="478"/>
      <c r="M47" s="369"/>
      <c r="N47" s="352"/>
      <c r="O47" s="352"/>
      <c r="P47" s="352"/>
      <c r="R47" s="369"/>
    </row>
    <row r="48" spans="2:23" ht="13.5" thickBot="1">
      <c r="C48" s="429"/>
      <c r="D48" s="429"/>
      <c r="E48" s="429"/>
      <c r="F48" s="355"/>
      <c r="G48" s="429"/>
      <c r="H48" s="429"/>
      <c r="I48" s="429"/>
      <c r="J48" s="429"/>
    </row>
    <row r="49" spans="2:10" ht="15">
      <c r="B49" s="472" t="s">
        <v>14016</v>
      </c>
      <c r="C49" s="473"/>
      <c r="D49" s="473"/>
      <c r="E49" s="473"/>
      <c r="F49" s="473"/>
      <c r="G49" s="473"/>
      <c r="H49" s="473"/>
      <c r="I49" s="473"/>
      <c r="J49" s="474"/>
    </row>
    <row r="50" spans="2:10">
      <c r="B50" s="430"/>
      <c r="C50" s="354"/>
      <c r="D50" s="354"/>
      <c r="E50" s="354"/>
      <c r="F50" s="419"/>
      <c r="G50" s="354"/>
      <c r="H50" s="354"/>
      <c r="I50" s="354"/>
      <c r="J50" s="431"/>
    </row>
    <row r="51" spans="2:10">
      <c r="B51" s="432" t="s">
        <v>14017</v>
      </c>
      <c r="C51" s="448"/>
      <c r="D51" s="410" t="s">
        <v>14018</v>
      </c>
      <c r="E51" s="448"/>
      <c r="F51" s="410"/>
      <c r="G51" s="410" t="s">
        <v>14017</v>
      </c>
      <c r="H51" s="448"/>
      <c r="I51" s="410" t="s">
        <v>14018</v>
      </c>
      <c r="J51" s="452"/>
    </row>
    <row r="52" spans="2:10">
      <c r="B52" s="433"/>
      <c r="C52" s="354"/>
      <c r="D52" s="410"/>
      <c r="E52" s="434"/>
      <c r="F52" s="410"/>
      <c r="G52" s="410"/>
      <c r="H52" s="354"/>
      <c r="I52" s="354"/>
      <c r="J52" s="435"/>
    </row>
    <row r="53" spans="2:10">
      <c r="B53" s="432" t="s">
        <v>14040</v>
      </c>
      <c r="C53" s="448"/>
      <c r="D53" s="436" t="s">
        <v>14020</v>
      </c>
      <c r="E53" s="347" t="str">
        <f>IF(C53,($C$26-($C$51*COS($E$51*PI()/180))-(SIN($E$51*PI()/180)*SQRT(C53*C53-$C$51*$C$51)))/2," ")</f>
        <v xml:space="preserve"> </v>
      </c>
      <c r="F53" s="410"/>
      <c r="G53" s="410" t="s">
        <v>14019</v>
      </c>
      <c r="H53" s="448"/>
      <c r="I53" s="436" t="s">
        <v>14020</v>
      </c>
      <c r="J53" s="358" t="str">
        <f>IF(H53,($C$26-($H$51*COS($J$51*PI()/180))-(SIN($J$51*PI()/180)*SQRT(H53*H53-$H$51*$H$51)))/2," ")</f>
        <v xml:space="preserve"> </v>
      </c>
    </row>
    <row r="54" spans="2:10">
      <c r="B54" s="433"/>
      <c r="C54" s="434"/>
      <c r="D54" s="436"/>
      <c r="E54" s="354"/>
      <c r="F54" s="410"/>
      <c r="G54" s="410"/>
      <c r="H54" s="434"/>
      <c r="I54" s="436"/>
      <c r="J54" s="431"/>
    </row>
    <row r="55" spans="2:10">
      <c r="B55" s="432" t="s">
        <v>14041</v>
      </c>
      <c r="C55" s="448"/>
      <c r="D55" s="410" t="s">
        <v>14022</v>
      </c>
      <c r="E55" s="347" t="str">
        <f>IF(C55,($C$26-($C$51*COS($E$51*PI()/180))-(SIN($E$51*PI()/180)*SQRT(C55*C55-$C$51*$C$51)))/2," ")</f>
        <v xml:space="preserve"> </v>
      </c>
      <c r="F55" s="410"/>
      <c r="G55" s="410" t="s">
        <v>14021</v>
      </c>
      <c r="H55" s="448"/>
      <c r="I55" s="410" t="s">
        <v>14022</v>
      </c>
      <c r="J55" s="358" t="str">
        <f>IF(H55,($C$26-($H$51*COS($J$51*PI()/180))-(SIN($J$51*PI()/180)*SQRT(H55*H55-$H$51*$H$51)))/2," ")</f>
        <v xml:space="preserve"> </v>
      </c>
    </row>
    <row r="56" spans="2:10">
      <c r="B56" s="433"/>
      <c r="C56" s="434"/>
      <c r="D56" s="410"/>
      <c r="E56" s="354"/>
      <c r="F56" s="410"/>
      <c r="G56" s="410"/>
      <c r="H56" s="434"/>
      <c r="I56" s="410"/>
      <c r="J56" s="431"/>
    </row>
    <row r="57" spans="2:10">
      <c r="B57" s="432" t="s">
        <v>14042</v>
      </c>
      <c r="C57" s="451"/>
      <c r="D57" s="410" t="s">
        <v>14024</v>
      </c>
      <c r="E57" s="347" t="str">
        <f>IF(C57,($C$26-($C$51*COS($E$51*PI()/180))-(SIN($E$51*PI()/180)*SQRT(C57*C57-$C$51*$C$51)))/2," ")</f>
        <v xml:space="preserve"> </v>
      </c>
      <c r="F57" s="410"/>
      <c r="G57" s="410" t="s">
        <v>14023</v>
      </c>
      <c r="H57" s="451"/>
      <c r="I57" s="410" t="s">
        <v>14024</v>
      </c>
      <c r="J57" s="358" t="str">
        <f>IF(H57,($C$26-($H$51*COS($J$51*PI()/180))-(SIN($J$51*PI()/180)*SQRT(H57*H57-$H$51*$H$51)))/2," ")</f>
        <v xml:space="preserve"> </v>
      </c>
    </row>
    <row r="58" spans="2:10">
      <c r="B58" s="430"/>
      <c r="C58" s="354"/>
      <c r="D58" s="410"/>
      <c r="E58" s="354"/>
      <c r="F58" s="410"/>
      <c r="G58" s="419"/>
      <c r="H58" s="354"/>
      <c r="I58" s="410"/>
      <c r="J58" s="431"/>
    </row>
    <row r="59" spans="2:10">
      <c r="B59" s="432" t="s">
        <v>14043</v>
      </c>
      <c r="C59" s="451"/>
      <c r="D59" s="410" t="s">
        <v>14026</v>
      </c>
      <c r="E59" s="347" t="str">
        <f>IF(C59,($C$26-($C$51*COS($E$51*PI()/180))-(SIN($E$51*PI()/180)*SQRT(C59*C59-$C$51*$C$51)))/2," ")</f>
        <v xml:space="preserve"> </v>
      </c>
      <c r="F59" s="410"/>
      <c r="G59" s="410" t="s">
        <v>14025</v>
      </c>
      <c r="H59" s="451"/>
      <c r="I59" s="410" t="s">
        <v>14026</v>
      </c>
      <c r="J59" s="358" t="str">
        <f>IF(H59,($C$26-($H$51*COS($J$51*PI()/180))-(SIN($J$51*PI()/180)*SQRT(H59*H59-$H$51*$H$51)))/2," ")</f>
        <v xml:space="preserve"> </v>
      </c>
    </row>
    <row r="60" spans="2:10">
      <c r="B60" s="430"/>
      <c r="C60" s="354"/>
      <c r="D60" s="410"/>
      <c r="E60" s="354"/>
      <c r="F60" s="410"/>
      <c r="G60" s="419"/>
      <c r="H60" s="354"/>
      <c r="I60" s="410"/>
      <c r="J60" s="431"/>
    </row>
    <row r="61" spans="2:10">
      <c r="B61" s="432" t="s">
        <v>14044</v>
      </c>
      <c r="C61" s="451"/>
      <c r="D61" s="410" t="s">
        <v>14028</v>
      </c>
      <c r="E61" s="347" t="str">
        <f>IF(C61,($C$26-($C$51*COS($E$51*PI()/180))-(SIN($E$51*PI()/180)*SQRT(C61*C61-$C$51*$C$51)))/2," ")</f>
        <v xml:space="preserve"> </v>
      </c>
      <c r="F61" s="410"/>
      <c r="G61" s="410" t="s">
        <v>14027</v>
      </c>
      <c r="H61" s="451"/>
      <c r="I61" s="410" t="s">
        <v>14028</v>
      </c>
      <c r="J61" s="358" t="str">
        <f>IF(H61,($C$26-($H$51*COS($J$51*PI()/180))-(SIN($J$51*PI()/180)*SQRT(H61*H61-$H$51*$H$51)))/2," ")</f>
        <v xml:space="preserve"> </v>
      </c>
    </row>
    <row r="62" spans="2:10" ht="13.5" thickBot="1">
      <c r="B62" s="437"/>
      <c r="C62" s="438"/>
      <c r="D62" s="439"/>
      <c r="E62" s="438"/>
      <c r="F62" s="439"/>
      <c r="G62" s="438"/>
      <c r="H62" s="438"/>
      <c r="I62" s="438"/>
      <c r="J62" s="440"/>
    </row>
    <row r="63" spans="2:10" ht="13.5" thickBot="1">
      <c r="D63" s="390"/>
    </row>
    <row r="64" spans="2:10" ht="15">
      <c r="B64" s="475" t="s">
        <v>14029</v>
      </c>
      <c r="C64" s="476"/>
      <c r="D64" s="476"/>
      <c r="E64" s="476"/>
      <c r="F64" s="476"/>
      <c r="G64" s="476"/>
      <c r="H64" s="476"/>
      <c r="I64" s="476"/>
      <c r="J64" s="477"/>
    </row>
    <row r="65" spans="2:10">
      <c r="B65" s="441"/>
      <c r="C65" s="354"/>
      <c r="D65" s="410"/>
      <c r="E65" s="354"/>
      <c r="F65" s="410"/>
      <c r="G65" s="354"/>
      <c r="H65" s="354"/>
      <c r="I65" s="354"/>
      <c r="J65" s="442"/>
    </row>
    <row r="66" spans="2:10">
      <c r="B66" s="443" t="s">
        <v>14017</v>
      </c>
      <c r="C66" s="448"/>
      <c r="D66" s="410" t="s">
        <v>13582</v>
      </c>
      <c r="E66" s="348" t="str">
        <f>IF(C68,SQRT((C68^2)-(C66^2))/2," ")</f>
        <v xml:space="preserve"> </v>
      </c>
      <c r="F66" s="410"/>
      <c r="G66" s="410" t="s">
        <v>14017</v>
      </c>
      <c r="H66" s="448"/>
      <c r="I66" s="410" t="s">
        <v>13582</v>
      </c>
      <c r="J66" s="356" t="str">
        <f>IF(H68,SQRT((H68^2)-(H66^2))/2," ")</f>
        <v xml:space="preserve"> </v>
      </c>
    </row>
    <row r="67" spans="2:10">
      <c r="B67" s="441"/>
      <c r="C67" s="354"/>
      <c r="D67" s="410"/>
      <c r="E67" s="354"/>
      <c r="F67" s="410"/>
      <c r="G67" s="354"/>
      <c r="H67" s="354"/>
      <c r="I67" s="410"/>
      <c r="J67" s="442"/>
    </row>
    <row r="68" spans="2:10">
      <c r="B68" s="443" t="s">
        <v>14057</v>
      </c>
      <c r="C68" s="448"/>
      <c r="D68" s="410" t="s">
        <v>13583</v>
      </c>
      <c r="E68" s="348" t="str">
        <f>IF(C70,SQRT((IF(C70&gt;C66,C70^2,C66^2))-(C66^2))/2," ")</f>
        <v xml:space="preserve"> </v>
      </c>
      <c r="F68" s="410"/>
      <c r="G68" s="410" t="s">
        <v>14030</v>
      </c>
      <c r="H68" s="448"/>
      <c r="I68" s="410" t="s">
        <v>13583</v>
      </c>
      <c r="J68" s="356" t="str">
        <f>IF(H70,SQRT((IF(H70&gt;H66,H70^2,H66^2))-(H66^2))/2," ")</f>
        <v xml:space="preserve"> </v>
      </c>
    </row>
    <row r="69" spans="2:10">
      <c r="B69" s="441"/>
      <c r="C69" s="354"/>
      <c r="D69" s="410"/>
      <c r="E69" s="354"/>
      <c r="F69" s="410"/>
      <c r="G69" s="366"/>
      <c r="H69" s="354"/>
      <c r="I69" s="410"/>
      <c r="J69" s="442"/>
    </row>
    <row r="70" spans="2:10">
      <c r="B70" s="443" t="s">
        <v>14031</v>
      </c>
      <c r="C70" s="448"/>
      <c r="D70" s="410" t="s">
        <v>13585</v>
      </c>
      <c r="E70" s="348" t="str">
        <f>IF(C72,SQRT((IF(C72&gt;C66,C72^2,C66^2))-(C66^2))/2," ")</f>
        <v xml:space="preserve"> </v>
      </c>
      <c r="F70" s="410"/>
      <c r="G70" s="410" t="s">
        <v>14031</v>
      </c>
      <c r="H70" s="448"/>
      <c r="I70" s="410" t="s">
        <v>13585</v>
      </c>
      <c r="J70" s="356" t="str">
        <f>IF(H72,SQRT((IF(H72&gt;H66,H72^2,H66^2))-(H66^2))/2," ")</f>
        <v xml:space="preserve"> </v>
      </c>
    </row>
    <row r="71" spans="2:10">
      <c r="B71" s="441"/>
      <c r="C71" s="354"/>
      <c r="D71" s="410"/>
      <c r="E71" s="354"/>
      <c r="F71" s="410"/>
      <c r="G71" s="366"/>
      <c r="H71" s="354"/>
      <c r="I71" s="410"/>
      <c r="J71" s="442"/>
    </row>
    <row r="72" spans="2:10">
      <c r="B72" s="443" t="s">
        <v>13584</v>
      </c>
      <c r="C72" s="451"/>
      <c r="D72" s="410" t="s">
        <v>14033</v>
      </c>
      <c r="E72" s="348" t="str">
        <f>IF(C70,E66-E68," ")</f>
        <v xml:space="preserve"> </v>
      </c>
      <c r="F72" s="410"/>
      <c r="G72" s="410" t="s">
        <v>13584</v>
      </c>
      <c r="H72" s="451"/>
      <c r="I72" s="410" t="s">
        <v>14033</v>
      </c>
      <c r="J72" s="356" t="str">
        <f>IF(H70,J66-J68," ")</f>
        <v xml:space="preserve"> </v>
      </c>
    </row>
    <row r="73" spans="2:10">
      <c r="B73" s="441"/>
      <c r="C73" s="354"/>
      <c r="D73" s="410"/>
      <c r="E73" s="354"/>
      <c r="F73" s="410"/>
      <c r="G73" s="419"/>
      <c r="H73" s="354"/>
      <c r="I73" s="354"/>
      <c r="J73" s="442"/>
    </row>
    <row r="74" spans="2:10">
      <c r="B74" s="441"/>
      <c r="C74" s="471" t="s">
        <v>14032</v>
      </c>
      <c r="D74" s="471"/>
      <c r="E74" s="349" t="str">
        <f>IF(C70,C66+(C66*(-0.00175/ABS(E72)))," ")</f>
        <v xml:space="preserve"> </v>
      </c>
      <c r="F74" s="410"/>
      <c r="G74" s="354"/>
      <c r="H74" s="471" t="s">
        <v>14032</v>
      </c>
      <c r="I74" s="471"/>
      <c r="J74" s="357" t="str">
        <f>IF(H70,H66+(H66*(-0.00175/ABS(J72)))," ")</f>
        <v xml:space="preserve"> </v>
      </c>
    </row>
    <row r="75" spans="2:10" ht="13.5" thickBot="1">
      <c r="B75" s="444"/>
      <c r="C75" s="445"/>
      <c r="D75" s="445"/>
      <c r="E75" s="445"/>
      <c r="F75" s="446"/>
      <c r="G75" s="445"/>
      <c r="H75" s="445"/>
      <c r="I75" s="445"/>
      <c r="J75" s="447"/>
    </row>
  </sheetData>
  <mergeCells count="15">
    <mergeCell ref="Q30:W30"/>
    <mergeCell ref="E1:G1"/>
    <mergeCell ref="H1:J1"/>
    <mergeCell ref="B1:C1"/>
    <mergeCell ref="B28:J28"/>
    <mergeCell ref="M38:M44"/>
    <mergeCell ref="M30:M36"/>
    <mergeCell ref="B3:E3"/>
    <mergeCell ref="G3:J4"/>
    <mergeCell ref="C74:D74"/>
    <mergeCell ref="H74:I74"/>
    <mergeCell ref="B49:J49"/>
    <mergeCell ref="B64:J64"/>
    <mergeCell ref="B47:E47"/>
    <mergeCell ref="G47:J47"/>
  </mergeCells>
  <conditionalFormatting sqref="C30">
    <cfRule type="expression" dxfId="51" priority="46">
      <formula>C30=""</formula>
    </cfRule>
  </conditionalFormatting>
  <conditionalFormatting sqref="C32">
    <cfRule type="expression" dxfId="50" priority="45">
      <formula>C32=""</formula>
    </cfRule>
  </conditionalFormatting>
  <conditionalFormatting sqref="C51">
    <cfRule type="expression" dxfId="49" priority="44">
      <formula>C51=""</formula>
    </cfRule>
  </conditionalFormatting>
  <conditionalFormatting sqref="E51">
    <cfRule type="expression" dxfId="48" priority="43">
      <formula>E51=""</formula>
    </cfRule>
  </conditionalFormatting>
  <conditionalFormatting sqref="H51">
    <cfRule type="expression" dxfId="47" priority="42">
      <formula>H51=""</formula>
    </cfRule>
  </conditionalFormatting>
  <conditionalFormatting sqref="J51">
    <cfRule type="expression" dxfId="46" priority="41">
      <formula>J51=""</formula>
    </cfRule>
  </conditionalFormatting>
  <conditionalFormatting sqref="C53">
    <cfRule type="expression" dxfId="45" priority="40">
      <formula>C53=""</formula>
    </cfRule>
  </conditionalFormatting>
  <conditionalFormatting sqref="C55">
    <cfRule type="expression" dxfId="44" priority="39">
      <formula>C55=""</formula>
    </cfRule>
  </conditionalFormatting>
  <conditionalFormatting sqref="H53">
    <cfRule type="expression" dxfId="43" priority="38">
      <formula>H53=""</formula>
    </cfRule>
  </conditionalFormatting>
  <conditionalFormatting sqref="H55">
    <cfRule type="expression" dxfId="42" priority="37">
      <formula>H55=""</formula>
    </cfRule>
  </conditionalFormatting>
  <conditionalFormatting sqref="C66">
    <cfRule type="expression" dxfId="41" priority="36">
      <formula>C66=""</formula>
    </cfRule>
  </conditionalFormatting>
  <conditionalFormatting sqref="C68">
    <cfRule type="expression" dxfId="40" priority="35">
      <formula>C68=""</formula>
    </cfRule>
  </conditionalFormatting>
  <conditionalFormatting sqref="C70">
    <cfRule type="expression" dxfId="39" priority="34">
      <formula>C70=""</formula>
    </cfRule>
  </conditionalFormatting>
  <conditionalFormatting sqref="H66">
    <cfRule type="expression" dxfId="38" priority="33">
      <formula>H66=""</formula>
    </cfRule>
  </conditionalFormatting>
  <conditionalFormatting sqref="H68">
    <cfRule type="expression" dxfId="37" priority="32">
      <formula>H68=""</formula>
    </cfRule>
  </conditionalFormatting>
  <conditionalFormatting sqref="H70">
    <cfRule type="expression" dxfId="36" priority="31">
      <formula>H70=""</formula>
    </cfRule>
  </conditionalFormatting>
  <conditionalFormatting sqref="C6">
    <cfRule type="expression" dxfId="35" priority="23">
      <formula>C6=""</formula>
    </cfRule>
  </conditionalFormatting>
  <conditionalFormatting sqref="C16">
    <cfRule type="expression" dxfId="34" priority="13">
      <formula>C16=""</formula>
    </cfRule>
  </conditionalFormatting>
  <conditionalFormatting sqref="C20">
    <cfRule type="expression" dxfId="33" priority="11">
      <formula>C20=""</formula>
    </cfRule>
  </conditionalFormatting>
  <conditionalFormatting sqref="C18">
    <cfRule type="expression" dxfId="32" priority="12">
      <formula>C18=""</formula>
    </cfRule>
  </conditionalFormatting>
  <conditionalFormatting sqref="C26">
    <cfRule type="expression" dxfId="31" priority="9">
      <formula>C26=""</formula>
    </cfRule>
  </conditionalFormatting>
  <conditionalFormatting sqref="C8">
    <cfRule type="expression" dxfId="30" priority="6">
      <formula>C8=""</formula>
    </cfRule>
  </conditionalFormatting>
  <conditionalFormatting sqref="C10">
    <cfRule type="expression" dxfId="29" priority="5">
      <formula>C10=""</formula>
    </cfRule>
  </conditionalFormatting>
  <conditionalFormatting sqref="C12">
    <cfRule type="expression" dxfId="28" priority="4">
      <formula>C12=""</formula>
    </cfRule>
  </conditionalFormatting>
  <conditionalFormatting sqref="C14">
    <cfRule type="expression" dxfId="27" priority="3">
      <formula>C14=""</formula>
    </cfRule>
  </conditionalFormatting>
  <conditionalFormatting sqref="C22">
    <cfRule type="expression" dxfId="26" priority="2">
      <formula>C22=""</formula>
    </cfRule>
  </conditionalFormatting>
  <conditionalFormatting sqref="C24">
    <cfRule type="expression" dxfId="25" priority="1">
      <formula>C24=""</formula>
    </cfRule>
  </conditionalFormatting>
  <dataValidations count="10">
    <dataValidation type="decimal" operator="greaterThan" allowBlank="1" showInputMessage="1" showErrorMessage="1" sqref="D6" xr:uid="{00000000-0002-0000-0600-000000000000}">
      <formula1>0.01</formula1>
    </dataValidation>
    <dataValidation type="whole" operator="greaterThan" allowBlank="1" showInputMessage="1" showErrorMessage="1" sqref="D14" xr:uid="{00000000-0002-0000-0600-000001000000}">
      <formula1>1</formula1>
    </dataValidation>
    <dataValidation type="decimal" allowBlank="1" showInputMessage="1" showErrorMessage="1" sqref="D10" xr:uid="{00000000-0002-0000-0600-000002000000}">
      <formula1>0.1</formula1>
      <formula2>90</formula2>
    </dataValidation>
    <dataValidation type="decimal" operator="notEqual" allowBlank="1" showInputMessage="1" showErrorMessage="1" sqref="D12" xr:uid="{00000000-0002-0000-0600-000003000000}">
      <formula1>0</formula1>
    </dataValidation>
    <dataValidation type="whole" operator="notEqual" allowBlank="1" showInputMessage="1" showErrorMessage="1" sqref="D8" xr:uid="{00000000-0002-0000-0600-000004000000}">
      <formula1>0</formula1>
    </dataValidation>
    <dataValidation type="decimal" operator="greaterThan" allowBlank="1" showInputMessage="1" showErrorMessage="1" sqref="D16" xr:uid="{00000000-0002-0000-0600-000005000000}">
      <formula1>1</formula1>
    </dataValidation>
    <dataValidation type="decimal" allowBlank="1" showInputMessage="1" showErrorMessage="1" sqref="D20" xr:uid="{00000000-0002-0000-0600-000006000000}">
      <formula1>-30</formula1>
      <formula2>30</formula2>
    </dataValidation>
    <dataValidation type="decimal" allowBlank="1" showInputMessage="1" showErrorMessage="1" sqref="D22" xr:uid="{00000000-0002-0000-0600-000007000000}">
      <formula1>-45</formula1>
      <formula2>45</formula2>
    </dataValidation>
    <dataValidation type="list" allowBlank="1" showInputMessage="1" showErrorMessage="1" sqref="D24" xr:uid="{00000000-0002-0000-0600-000008000000}">
      <mc:AlternateContent xmlns:x12ac="http://schemas.microsoft.com/office/spreadsheetml/2011/1/ac" xmlns:mc="http://schemas.openxmlformats.org/markup-compatibility/2006">
        <mc:Choice Requires="x12ac">
          <x12ac:list>DESTRO,SINISTRO,""""""</x12ac:list>
        </mc:Choice>
        <mc:Fallback>
          <formula1>"DESTRO,SINISTRO,"""""</formula1>
        </mc:Fallback>
      </mc:AlternateContent>
    </dataValidation>
    <dataValidation type="decimal" operator="greaterThan" allowBlank="1" showInputMessage="1" showErrorMessage="1" sqref="D26" xr:uid="{00000000-0002-0000-0600-000009000000}">
      <formula1>0</formula1>
    </dataValidation>
  </dataValidations>
  <pageMargins left="0.39370078740157483" right="0.39370078740157483" top="0.74803149606299213" bottom="0.74803149606299213" header="0.31496062992125984" footer="0.31496062992125984"/>
  <pageSetup paperSize="9" scale="4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MPA_DatiGenerali">
                <anchor moveWithCells="1" sizeWithCells="1">
                  <from>
                    <xdr:col>11</xdr:col>
                    <xdr:colOff>95250</xdr:colOff>
                    <xdr:row>5</xdr:row>
                    <xdr:rowOff>104775</xdr:rowOff>
                  </from>
                  <to>
                    <xdr:col>12</xdr:col>
                    <xdr:colOff>647700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init_DatiGenerali_Click">
                <anchor moveWithCells="1" sizeWithCells="1">
                  <from>
                    <xdr:col>14</xdr:col>
                    <xdr:colOff>38100</xdr:colOff>
                    <xdr:row>0</xdr:row>
                    <xdr:rowOff>190500</xdr:rowOff>
                  </from>
                  <to>
                    <xdr:col>14</xdr:col>
                    <xdr:colOff>628650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etFields_Click">
                <anchor moveWithCells="1" sizeWithCells="1">
                  <from>
                    <xdr:col>11</xdr:col>
                    <xdr:colOff>85725</xdr:colOff>
                    <xdr:row>9</xdr:row>
                    <xdr:rowOff>85725</xdr:rowOff>
                  </from>
                  <to>
                    <xdr:col>12</xdr:col>
                    <xdr:colOff>638175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>
    <pageSetUpPr fitToPage="1"/>
  </sheetPr>
  <dimension ref="A1:AE153"/>
  <sheetViews>
    <sheetView zoomScaleNormal="100" workbookViewId="0">
      <selection activeCell="AH12" sqref="AH12"/>
    </sheetView>
  </sheetViews>
  <sheetFormatPr defaultColWidth="9.140625" defaultRowHeight="12.75"/>
  <cols>
    <col min="1" max="1" width="4.5703125" style="90" bestFit="1" customWidth="1"/>
    <col min="2" max="6" width="9" style="95" customWidth="1"/>
    <col min="7" max="7" width="9" style="96" customWidth="1"/>
    <col min="8" max="8" width="3.140625" style="97" customWidth="1"/>
    <col min="9" max="9" width="1.140625" style="97" customWidth="1"/>
    <col min="10" max="13" width="9" style="95" customWidth="1"/>
    <col min="14" max="14" width="9" style="96" customWidth="1"/>
    <col min="15" max="15" width="9" style="97" customWidth="1"/>
    <col min="16" max="16" width="3.140625" style="95" customWidth="1"/>
    <col min="17" max="17" width="6.7109375" style="90" customWidth="1"/>
    <col min="18" max="18" width="11.5703125" style="93" hidden="1" customWidth="1"/>
    <col min="19" max="19" width="13" style="90" hidden="1" customWidth="1"/>
    <col min="20" max="20" width="17.42578125" style="90" hidden="1" customWidth="1"/>
    <col min="21" max="21" width="12.85546875" style="90" hidden="1" customWidth="1"/>
    <col min="22" max="22" width="13.7109375" style="90" hidden="1" customWidth="1"/>
    <col min="23" max="25" width="14.85546875" style="90" hidden="1" customWidth="1"/>
    <col min="26" max="30" width="0" style="90" hidden="1" customWidth="1"/>
    <col min="31" max="31" width="6.5703125" style="90" hidden="1" customWidth="1"/>
    <col min="32" max="32" width="12.7109375" style="90" customWidth="1"/>
    <col min="33" max="16384" width="9.140625" style="90"/>
  </cols>
  <sheetData>
    <row r="1" spans="2:18" ht="21.75" customHeight="1">
      <c r="B1" s="484" t="s">
        <v>14100</v>
      </c>
      <c r="C1" s="484"/>
      <c r="D1" s="489">
        <f ca="1">NOW()</f>
        <v>43524.674062268517</v>
      </c>
      <c r="E1" s="489"/>
      <c r="F1" s="482" t="s">
        <v>14093</v>
      </c>
      <c r="G1" s="482"/>
      <c r="H1" s="482"/>
      <c r="I1" s="482"/>
      <c r="J1" s="482"/>
      <c r="K1" s="482"/>
      <c r="L1" s="483" t="str">
        <f ca="1">MID(CELL("FILENAME",G94),FIND("[",CELL("FILENAME",G94))+1,FIND("]",CELL("FILENAME",G94))-FIND("[",CELL("FILENAME",G94))-6)</f>
        <v>main powerskyving</v>
      </c>
      <c r="M1" s="483"/>
      <c r="N1" s="483"/>
      <c r="O1" s="484"/>
      <c r="P1" s="484"/>
    </row>
    <row r="2" spans="2:18" ht="12.75" customHeight="1">
      <c r="C2" s="90"/>
      <c r="D2" s="90"/>
    </row>
    <row r="3" spans="2:18" ht="12.75" customHeight="1">
      <c r="K3" s="97"/>
      <c r="L3" s="401" t="s">
        <v>14082</v>
      </c>
      <c r="M3" s="402" t="s">
        <v>14083</v>
      </c>
      <c r="N3" s="97"/>
    </row>
    <row r="4" spans="2:18" ht="12.75" customHeight="1">
      <c r="K4" s="97"/>
      <c r="L4" s="97"/>
      <c r="M4" s="97"/>
      <c r="N4" s="97"/>
    </row>
    <row r="5" spans="2:18" ht="12.75" customHeight="1">
      <c r="C5" s="459" t="s">
        <v>14069</v>
      </c>
      <c r="D5" s="491" t="s">
        <v>14068</v>
      </c>
      <c r="E5" s="491"/>
      <c r="J5" s="355" t="s">
        <v>2</v>
      </c>
      <c r="K5" s="383">
        <f>'Dati Generali'!C6</f>
        <v>1.2057551778804803</v>
      </c>
      <c r="L5" s="97"/>
      <c r="N5" s="391" t="s">
        <v>13570</v>
      </c>
      <c r="O5" s="351" t="str">
        <f>IF(K11,IF(K7,IF(K7,DEGREES(ATAN((TAN(K11*PI()/180)/COS(K7*PI()/180)))),K11),K11),"")</f>
        <v/>
      </c>
      <c r="R5" s="98"/>
    </row>
    <row r="6" spans="2:18" ht="12.75" customHeight="1">
      <c r="B6" s="90"/>
      <c r="C6" s="90"/>
      <c r="D6" s="90"/>
      <c r="J6" s="390"/>
      <c r="K6" s="100"/>
      <c r="L6" s="97"/>
      <c r="N6" s="95"/>
      <c r="R6" s="98"/>
    </row>
    <row r="7" spans="2:18" ht="12.75" customHeight="1">
      <c r="B7" s="393" t="s">
        <v>14070</v>
      </c>
      <c r="C7" s="374">
        <f>'Dati Generali'!C30</f>
        <v>0</v>
      </c>
      <c r="D7" s="462" t="str">
        <f>IF(E7=0,"",E7)</f>
        <v/>
      </c>
      <c r="E7" s="407">
        <f>'Dati Generali'!D30</f>
        <v>0</v>
      </c>
      <c r="J7" s="389" t="s">
        <v>14060</v>
      </c>
      <c r="K7" s="384">
        <f>'Dati Generali'!C22</f>
        <v>0</v>
      </c>
      <c r="L7" s="97"/>
      <c r="N7" s="355" t="s">
        <v>13564</v>
      </c>
      <c r="O7" s="351">
        <f>IF(K7,IF(K7,K5/COS(K7*PI()/180),K5),K5)</f>
        <v>1.2057551778804803</v>
      </c>
      <c r="R7" s="98"/>
    </row>
    <row r="8" spans="2:18" ht="12.75" customHeight="1">
      <c r="B8" s="393"/>
      <c r="C8" s="93"/>
      <c r="D8" s="90"/>
      <c r="E8" s="463"/>
      <c r="J8" s="355"/>
      <c r="K8" s="385"/>
      <c r="L8" s="97"/>
      <c r="N8" s="95"/>
      <c r="R8" s="98"/>
    </row>
    <row r="9" spans="2:18" ht="12.75" customHeight="1">
      <c r="B9" s="393" t="s">
        <v>14071</v>
      </c>
      <c r="C9" s="374">
        <f>'Dati Generali'!C32</f>
        <v>0</v>
      </c>
      <c r="D9" s="462" t="str">
        <f>IF(E9=0,"",E9)</f>
        <v/>
      </c>
      <c r="E9" s="407">
        <f>'Dati Generali'!D32</f>
        <v>0</v>
      </c>
      <c r="J9" s="355" t="s">
        <v>13566</v>
      </c>
      <c r="K9" s="384">
        <f>'Dati Generali'!C8</f>
        <v>138</v>
      </c>
      <c r="L9" s="97"/>
      <c r="N9" s="388" t="s">
        <v>13601</v>
      </c>
      <c r="O9" s="351" t="e">
        <f>TAN(O5*PI()/180)-RADIANS(O5)</f>
        <v>#VALUE!</v>
      </c>
      <c r="R9" s="98"/>
    </row>
    <row r="10" spans="2:18" ht="12.75" customHeight="1">
      <c r="B10" s="393"/>
      <c r="C10" s="93"/>
      <c r="D10" s="90"/>
      <c r="E10" s="463"/>
      <c r="H10" s="100"/>
      <c r="I10" s="100"/>
      <c r="J10" s="355"/>
      <c r="K10" s="100"/>
      <c r="L10" s="97"/>
      <c r="N10" s="95"/>
      <c r="O10" s="96"/>
      <c r="R10" s="98"/>
    </row>
    <row r="11" spans="2:18" ht="12.75" customHeight="1">
      <c r="B11" s="393" t="s">
        <v>14072</v>
      </c>
      <c r="C11" s="374">
        <f>'Dati Generali'!C34</f>
        <v>0</v>
      </c>
      <c r="D11" s="462" t="str">
        <f>IF(E11=0,"",E11)</f>
        <v/>
      </c>
      <c r="E11" s="407">
        <f>'Dati Generali'!D34</f>
        <v>0</v>
      </c>
      <c r="H11" s="101"/>
      <c r="I11" s="101"/>
      <c r="J11" s="391" t="s">
        <v>13569</v>
      </c>
      <c r="K11" s="384">
        <f>'Dati Generali'!C10</f>
        <v>0</v>
      </c>
      <c r="L11" s="97"/>
      <c r="N11" s="388" t="s">
        <v>14098</v>
      </c>
      <c r="O11" s="351">
        <f>COS(K7*PI()/180)</f>
        <v>1</v>
      </c>
      <c r="R11" s="102"/>
    </row>
    <row r="12" spans="2:18" ht="12.75" customHeight="1">
      <c r="B12" s="393"/>
      <c r="C12" s="98"/>
      <c r="D12" s="90"/>
      <c r="E12" s="463"/>
      <c r="H12" s="103"/>
      <c r="I12" s="103"/>
      <c r="J12" s="355"/>
      <c r="K12" s="100"/>
      <c r="L12" s="97"/>
      <c r="M12" s="389"/>
      <c r="R12" s="98"/>
    </row>
    <row r="13" spans="2:18" ht="12.75" customHeight="1">
      <c r="B13" s="393" t="s">
        <v>14073</v>
      </c>
      <c r="C13" s="374">
        <f>'Dati Generali'!C36</f>
        <v>0</v>
      </c>
      <c r="D13" s="462" t="str">
        <f>IF(E13=0,"",E13)</f>
        <v/>
      </c>
      <c r="E13" s="407">
        <f>'Dati Generali'!D36</f>
        <v>0</v>
      </c>
      <c r="H13" s="101"/>
      <c r="I13" s="101"/>
      <c r="J13" s="355" t="s">
        <v>14089</v>
      </c>
      <c r="K13" s="384">
        <f>'Dati Generali'!C12</f>
        <v>173.3</v>
      </c>
      <c r="L13" s="97"/>
      <c r="M13" s="90"/>
      <c r="N13" s="355" t="s">
        <v>13579</v>
      </c>
      <c r="O13" s="384" t="str">
        <f>'Dati Generali'!C20</f>
        <v/>
      </c>
      <c r="R13" s="98"/>
    </row>
    <row r="14" spans="2:18" ht="12.75" customHeight="1">
      <c r="E14" s="399"/>
      <c r="J14" s="355"/>
      <c r="K14" s="100"/>
      <c r="L14" s="97"/>
      <c r="M14" s="90"/>
      <c r="N14" s="464"/>
      <c r="R14" s="98"/>
    </row>
    <row r="15" spans="2:18" ht="12.75" customHeight="1">
      <c r="B15" s="95" t="s">
        <v>14091</v>
      </c>
      <c r="C15" s="448">
        <v>1</v>
      </c>
      <c r="D15" s="490" t="s">
        <v>14092</v>
      </c>
      <c r="E15" s="352"/>
      <c r="F15" s="394"/>
      <c r="G15" s="394"/>
      <c r="J15" s="386" t="s">
        <v>13575</v>
      </c>
      <c r="K15" s="384">
        <f>'Dati Generali'!C14</f>
        <v>0</v>
      </c>
      <c r="L15" s="97"/>
      <c r="M15" s="90"/>
      <c r="N15" s="355" t="s">
        <v>13577</v>
      </c>
      <c r="O15" s="384" t="str">
        <f>'Dati Generali'!C18</f>
        <v/>
      </c>
      <c r="R15" s="98"/>
    </row>
    <row r="16" spans="2:18" ht="12.75" customHeight="1">
      <c r="B16" s="488" t="str">
        <f>CONCATENATE("(",C17,"&lt;'",B15,"'&lt;",C17*100,")")</f>
        <v>(0.05&lt;'Dmax - Dt'&lt;5)</v>
      </c>
      <c r="C16" s="488"/>
      <c r="D16" s="490"/>
      <c r="E16" s="399"/>
      <c r="F16" s="351" t="e">
        <f>C19+C15</f>
        <v>#VALUE!</v>
      </c>
      <c r="G16" s="394"/>
      <c r="J16" s="386"/>
      <c r="K16" s="100"/>
      <c r="L16" s="97"/>
      <c r="M16" s="90"/>
      <c r="N16" s="90"/>
      <c r="R16" s="98"/>
    </row>
    <row r="17" spans="1:31" ht="12.75" customHeight="1">
      <c r="B17" s="95" t="s">
        <v>14090</v>
      </c>
      <c r="C17" s="448">
        <v>0.05</v>
      </c>
      <c r="D17" s="490"/>
      <c r="E17" s="399"/>
      <c r="F17" s="394"/>
      <c r="G17" s="394"/>
      <c r="J17" s="386" t="s">
        <v>14074</v>
      </c>
      <c r="K17" s="384" t="e">
        <f>'Dati Generali'!H10</f>
        <v>#VALUE!</v>
      </c>
      <c r="L17" s="97"/>
      <c r="M17" s="90"/>
      <c r="R17" s="98"/>
    </row>
    <row r="18" spans="1:31" ht="12.75" customHeight="1">
      <c r="B18" s="488" t="str">
        <f>CONCATENATE("(0.001&lt;'",B17,"'&lt;1)")</f>
        <v>(0.001&lt;'Passo'&lt;1)</v>
      </c>
      <c r="C18" s="488"/>
      <c r="D18" s="490"/>
      <c r="E18" s="399"/>
      <c r="F18" s="351" t="e">
        <f>F16-C17*127</f>
        <v>#VALUE!</v>
      </c>
      <c r="G18" s="394"/>
      <c r="J18" s="90"/>
      <c r="K18" s="90"/>
      <c r="N18" s="90"/>
      <c r="R18" s="98"/>
    </row>
    <row r="19" spans="1:31" ht="12.75" customHeight="1">
      <c r="B19" s="387" t="s">
        <v>13578</v>
      </c>
      <c r="C19" s="384" t="str">
        <f>'Dati Generali'!C16</f>
        <v/>
      </c>
      <c r="D19" s="490"/>
      <c r="E19" s="90"/>
      <c r="J19" s="386" t="s">
        <v>13574</v>
      </c>
      <c r="K19" s="371">
        <f>IF(L19,L19,M19)</f>
        <v>4.1251174759996054</v>
      </c>
      <c r="L19" s="448"/>
      <c r="M19" s="403">
        <f>IF(K9&lt;0,PI()*Mod._c.-K21/O11,K21/O11)</f>
        <v>4.1251174759996054</v>
      </c>
      <c r="N19" s="90"/>
      <c r="R19" s="98"/>
    </row>
    <row r="20" spans="1:31" ht="12.75" customHeight="1">
      <c r="J20" s="90"/>
      <c r="K20" s="90"/>
      <c r="O20" s="90"/>
      <c r="R20" s="98"/>
    </row>
    <row r="21" spans="1:31" ht="12.75" customHeight="1">
      <c r="B21" s="90" t="s">
        <v>14099</v>
      </c>
      <c r="C21" s="351" t="str">
        <f>IFERROR(C19-TAN((O13)*PI()/180)*2*O15,"")</f>
        <v/>
      </c>
      <c r="J21" s="355" t="s">
        <v>14097</v>
      </c>
      <c r="K21" s="371">
        <f>IF(L21,L21,M21)</f>
        <v>4.1251174759996054</v>
      </c>
      <c r="L21" s="448"/>
      <c r="M21" s="403">
        <f>PowrtSkiving!E15</f>
        <v>4.1251174759996054</v>
      </c>
      <c r="R21" s="98"/>
    </row>
    <row r="22" spans="1:31" ht="33.75">
      <c r="R22" s="375" t="s">
        <v>14078</v>
      </c>
      <c r="S22" s="376" t="s">
        <v>14077</v>
      </c>
      <c r="T22" s="376" t="s">
        <v>14076</v>
      </c>
      <c r="U22" s="376" t="s">
        <v>14079</v>
      </c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</row>
    <row r="23" spans="1:31" s="352" customFormat="1" ht="19.5" customHeight="1">
      <c r="B23" s="494">
        <f ca="1">'Dati Generali'!D1</f>
        <v>43524.674062268517</v>
      </c>
      <c r="C23" s="494"/>
      <c r="D23" s="460"/>
      <c r="E23" s="378"/>
      <c r="F23" s="378"/>
      <c r="G23" s="495" t="str">
        <f ca="1">'Dati Generali'!H1</f>
        <v>main powerskyving</v>
      </c>
      <c r="H23" s="495"/>
      <c r="I23" s="495"/>
      <c r="J23" s="495"/>
      <c r="K23" s="379"/>
      <c r="L23" s="460"/>
      <c r="M23" s="380" t="s">
        <v>13587</v>
      </c>
      <c r="N23" s="381" t="str">
        <f>C21</f>
        <v/>
      </c>
      <c r="O23" s="382"/>
      <c r="P23" s="379"/>
      <c r="R23" s="369"/>
    </row>
    <row r="24" spans="1:31" s="364" customFormat="1" ht="18.95" customHeight="1">
      <c r="B24" s="492" t="s">
        <v>14080</v>
      </c>
      <c r="C24" s="367" t="s">
        <v>13589</v>
      </c>
      <c r="D24" s="367" t="s">
        <v>13590</v>
      </c>
      <c r="E24" s="367" t="s">
        <v>13591</v>
      </c>
      <c r="F24" s="367" t="s">
        <v>14067</v>
      </c>
      <c r="G24" s="492" t="s">
        <v>13592</v>
      </c>
      <c r="H24" s="492" t="s">
        <v>13593</v>
      </c>
      <c r="I24" s="395"/>
      <c r="J24" s="492" t="s">
        <v>14080</v>
      </c>
      <c r="K24" s="367" t="s">
        <v>13589</v>
      </c>
      <c r="L24" s="367" t="s">
        <v>13590</v>
      </c>
      <c r="M24" s="367" t="s">
        <v>13591</v>
      </c>
      <c r="N24" s="367" t="s">
        <v>14067</v>
      </c>
      <c r="O24" s="492" t="s">
        <v>13592</v>
      </c>
      <c r="P24" s="492" t="s">
        <v>13593</v>
      </c>
      <c r="R24" s="98" t="s">
        <v>13565</v>
      </c>
      <c r="S24" s="95" t="s">
        <v>13567</v>
      </c>
      <c r="T24" s="95" t="s">
        <v>14075</v>
      </c>
      <c r="U24" s="99" t="s">
        <v>13573</v>
      </c>
      <c r="V24" s="119" t="s">
        <v>13576</v>
      </c>
      <c r="W24" s="365" t="s">
        <v>13580</v>
      </c>
      <c r="X24" s="365" t="s">
        <v>13594</v>
      </c>
      <c r="Y24" s="366" t="s">
        <v>13595</v>
      </c>
      <c r="Z24" s="461" t="s">
        <v>13596</v>
      </c>
      <c r="AA24" s="119" t="s">
        <v>13597</v>
      </c>
      <c r="AB24" s="119" t="s">
        <v>13598</v>
      </c>
      <c r="AC24" s="461" t="s">
        <v>13599</v>
      </c>
      <c r="AD24" s="119" t="s">
        <v>13600</v>
      </c>
      <c r="AE24" s="119" t="s">
        <v>13593</v>
      </c>
    </row>
    <row r="25" spans="1:31" s="364" customFormat="1" ht="13.5">
      <c r="B25" s="493"/>
      <c r="C25" s="368" t="str">
        <f>IF(D7="",B7,D7)</f>
        <v>P_1</v>
      </c>
      <c r="D25" s="368" t="str">
        <f>IF(D9="",B9,D9)</f>
        <v>P_2</v>
      </c>
      <c r="E25" s="368" t="str">
        <f>IF(D11="",B11,D11)</f>
        <v>P_3</v>
      </c>
      <c r="F25" s="368" t="str">
        <f>IF(D13="",B13,D13)</f>
        <v>P_4</v>
      </c>
      <c r="G25" s="493"/>
      <c r="H25" s="493"/>
      <c r="I25" s="363"/>
      <c r="J25" s="493"/>
      <c r="K25" s="368" t="str">
        <f>C25</f>
        <v>P_1</v>
      </c>
      <c r="L25" s="368" t="str">
        <f>D25</f>
        <v>P_2</v>
      </c>
      <c r="M25" s="368" t="str">
        <f>E25</f>
        <v>P_3</v>
      </c>
      <c r="N25" s="368" t="str">
        <f>F25</f>
        <v>P_4</v>
      </c>
      <c r="O25" s="493"/>
      <c r="P25" s="493"/>
      <c r="V25" s="119"/>
      <c r="W25" s="365"/>
      <c r="X25" s="365"/>
      <c r="Y25" s="366"/>
      <c r="Z25" s="461"/>
      <c r="AA25" s="119"/>
      <c r="AB25" s="119"/>
      <c r="AC25" s="461"/>
      <c r="AD25" s="119"/>
      <c r="AE25" s="119"/>
    </row>
    <row r="26" spans="1:31">
      <c r="A26" s="392">
        <v>1</v>
      </c>
      <c r="B26" s="95" t="e">
        <f>C19+C15</f>
        <v>#VALUE!</v>
      </c>
      <c r="C26" s="122" t="str">
        <f t="shared" ref="C26:C57" si="0">IF(P_1,SQRT(POWER(SQRT(P_1^2-$T26*$T26)-SIN($U26*PI()/180)*ABS($R26),2)+Db_teor_UT^2)," ")</f>
        <v xml:space="preserve"> </v>
      </c>
      <c r="D26" s="122" t="str">
        <f t="shared" ref="D26:D57" si="1">IF(P_2,SQRT(POWER(SQRT(P_2^2-$T26*$T26)-SIN($U26*PI()/180)*ABS($R26),2)+Db_teor_UT^2)," ")</f>
        <v xml:space="preserve"> </v>
      </c>
      <c r="E26" s="122" t="str">
        <f t="shared" ref="E26:E57" si="2">IF(P_3,SQRT(POWER(SQRT(P_3^2-$T26*$T26)-SIN($U26*PI()/180)*ABS($R26),2)+Db_teor_UT^2)," ")</f>
        <v xml:space="preserve"> </v>
      </c>
      <c r="F26" s="122" t="str">
        <f t="shared" ref="F26:F57" si="3">IF(P_4,SQRT(POWER(SQRT(P_4^2-$T26*$T26)-SIN($U26*PI()/180)*ABS($R26),2)+Db_teor_UT^2)," ")</f>
        <v xml:space="preserve"> </v>
      </c>
      <c r="G26" s="117" t="e">
        <f t="shared" ref="G26:G57" si="4">(Mod._c.*(Z_ut*inv_apt+(H26-1)*PI())+Y26)*COS(ac.*PI()/180)</f>
        <v>#VALUE!</v>
      </c>
      <c r="H26" s="118" t="e">
        <f>AE26</f>
        <v>#VALUE!</v>
      </c>
      <c r="I26" s="118"/>
      <c r="J26" s="119" t="e">
        <f t="shared" ref="J26:O26" si="5">B90</f>
        <v>#VALUE!</v>
      </c>
      <c r="K26" s="119" t="str">
        <f t="shared" si="5"/>
        <v xml:space="preserve"> </v>
      </c>
      <c r="L26" s="119" t="str">
        <f t="shared" si="5"/>
        <v xml:space="preserve"> </v>
      </c>
      <c r="M26" s="119" t="str">
        <f t="shared" si="5"/>
        <v xml:space="preserve"> </v>
      </c>
      <c r="N26" s="119" t="str">
        <f t="shared" si="5"/>
        <v xml:space="preserve"> </v>
      </c>
      <c r="O26" s="119" t="e">
        <f t="shared" si="5"/>
        <v>#VALUE!</v>
      </c>
      <c r="P26" s="119" t="e">
        <f t="shared" ref="P26:P89" si="6">H90</f>
        <v>#VALUE!</v>
      </c>
      <c r="R26" s="93" t="str">
        <f>IF(P_1,IF(Z_ut&gt;0,B26+Df_part,B26-ABS(Df_part))," ")</f>
        <v xml:space="preserve"> </v>
      </c>
      <c r="S26" s="90" t="str">
        <f t="shared" ref="S26:S57" si="7">IF($C$7,R26/($K$9+$K$15)," ")</f>
        <v xml:space="preserve"> </v>
      </c>
      <c r="T26" s="90" t="str">
        <f t="shared" ref="T26:T57" si="8">IF($C$7,$O$7*ABS($K$9)*COS($O$5*PI()/180)," ")</f>
        <v xml:space="preserve"> </v>
      </c>
      <c r="U26" s="90" t="str">
        <f t="shared" ref="U26:U57" si="9">IF($C$7,(ACOS(T26/(S26*ABS($K$9))))*180/PI()," ")</f>
        <v xml:space="preserve"> </v>
      </c>
      <c r="V26" s="90" t="str">
        <f t="shared" ref="V26:V57" si="10">IF($C$7,COS($O$5*PI()/180)*$O$7*$K$15," ")</f>
        <v xml:space="preserve"> </v>
      </c>
      <c r="W26" s="90" t="str">
        <f t="shared" ref="W26:W57" si="11">IF($C$7,SQRT(POWER(C26,2)-POWER($K$17,2))/2,"")</f>
        <v/>
      </c>
      <c r="X26" s="90" t="e">
        <f t="shared" ref="X26:X57" si="12">TAN(U26*PI()/180)-RADIANS(U26)</f>
        <v>#VALUE!</v>
      </c>
      <c r="Y26" s="90" t="e">
        <f t="shared" ref="Y26:Y57" si="13">(PI()*$O$7-$K$19)+(X26-$O$9)*($K$9+$K$15)*$O$7</f>
        <v>#VALUE!</v>
      </c>
      <c r="Z26" s="90" t="e">
        <f t="shared" ref="Z26:Z57" si="14">(Y26-$O$7*PI()/2)/(2*$K$5*TAN($O$5*PI()/180))</f>
        <v>#VALUE!</v>
      </c>
      <c r="AA26" s="90" t="e">
        <f t="shared" ref="AA26:AA57" si="15">$O$7*$K$15+2*Z26*$K$5</f>
        <v>#VALUE!</v>
      </c>
      <c r="AB26" s="90" t="e">
        <f t="shared" ref="AB26:AB57" si="16">ACOS(V26/AA26)*180/PI()</f>
        <v>#VALUE!</v>
      </c>
      <c r="AC26" s="90" t="e">
        <f t="shared" ref="AC26:AC75" si="17">TAN(AB26*PI()/180)-RADIANS(AB26)</f>
        <v>#VALUE!</v>
      </c>
      <c r="AD26" s="364" t="e">
        <f t="shared" ref="AD26:AD57" si="18">Z_ut/PI()*(TAN(AB26*PI()/180)-2*Z26/Z_ut*TAN(an*PI()/180)-inv_apt)+0.5</f>
        <v>#VALUE!</v>
      </c>
      <c r="AE26" s="90" t="e">
        <f>ROUNDUP(AD26,0)</f>
        <v>#VALUE!</v>
      </c>
    </row>
    <row r="27" spans="1:31">
      <c r="A27" s="392">
        <v>2</v>
      </c>
      <c r="B27" s="95" t="e">
        <f>B26-C$17</f>
        <v>#VALUE!</v>
      </c>
      <c r="C27" s="122" t="str">
        <f t="shared" si="0"/>
        <v xml:space="preserve"> </v>
      </c>
      <c r="D27" s="122" t="str">
        <f t="shared" si="1"/>
        <v xml:space="preserve"> </v>
      </c>
      <c r="E27" s="122" t="str">
        <f t="shared" si="2"/>
        <v xml:space="preserve"> </v>
      </c>
      <c r="F27" s="122" t="str">
        <f t="shared" si="3"/>
        <v xml:space="preserve"> </v>
      </c>
      <c r="G27" s="117" t="e">
        <f t="shared" si="4"/>
        <v>#VALUE!</v>
      </c>
      <c r="H27" s="118" t="e">
        <f t="shared" ref="H27:H90" si="19">AE27</f>
        <v>#VALUE!</v>
      </c>
      <c r="I27" s="118"/>
      <c r="J27" s="119" t="e">
        <f t="shared" ref="J27:J89" si="20">B91</f>
        <v>#VALUE!</v>
      </c>
      <c r="K27" s="119" t="str">
        <f t="shared" ref="K27:K58" si="21">C91</f>
        <v xml:space="preserve"> </v>
      </c>
      <c r="L27" s="119" t="str">
        <f t="shared" ref="L27:L58" si="22">D91</f>
        <v xml:space="preserve"> </v>
      </c>
      <c r="M27" s="119" t="str">
        <f t="shared" ref="M27:M58" si="23">E91</f>
        <v xml:space="preserve"> </v>
      </c>
      <c r="N27" s="119" t="str">
        <f t="shared" ref="N27:N58" si="24">F91</f>
        <v xml:space="preserve"> </v>
      </c>
      <c r="O27" s="119" t="e">
        <f t="shared" ref="O27:O58" si="25">G91</f>
        <v>#VALUE!</v>
      </c>
      <c r="P27" s="119" t="e">
        <f t="shared" si="6"/>
        <v>#VALUE!</v>
      </c>
      <c r="R27" s="93" t="str">
        <f t="shared" ref="R27:R58" si="26">IF($C$7,IF($K$9&gt;0,B27+$K$13,B27-ABS($K$13))," ")</f>
        <v xml:space="preserve"> </v>
      </c>
      <c r="S27" s="90" t="str">
        <f t="shared" si="7"/>
        <v xml:space="preserve"> </v>
      </c>
      <c r="T27" s="90" t="str">
        <f t="shared" si="8"/>
        <v xml:space="preserve"> </v>
      </c>
      <c r="U27" s="90" t="str">
        <f t="shared" si="9"/>
        <v xml:space="preserve"> </v>
      </c>
      <c r="V27" s="90" t="str">
        <f t="shared" si="10"/>
        <v xml:space="preserve"> </v>
      </c>
      <c r="W27" s="90" t="str">
        <f t="shared" si="11"/>
        <v/>
      </c>
      <c r="X27" s="90" t="e">
        <f t="shared" si="12"/>
        <v>#VALUE!</v>
      </c>
      <c r="Y27" s="90" t="e">
        <f t="shared" si="13"/>
        <v>#VALUE!</v>
      </c>
      <c r="Z27" s="90" t="e">
        <f t="shared" si="14"/>
        <v>#VALUE!</v>
      </c>
      <c r="AA27" s="90" t="e">
        <f t="shared" si="15"/>
        <v>#VALUE!</v>
      </c>
      <c r="AB27" s="90" t="e">
        <f t="shared" si="16"/>
        <v>#VALUE!</v>
      </c>
      <c r="AC27" s="90" t="e">
        <f t="shared" si="17"/>
        <v>#VALUE!</v>
      </c>
      <c r="AD27" s="364" t="e">
        <f t="shared" si="18"/>
        <v>#VALUE!</v>
      </c>
      <c r="AE27" s="90" t="e">
        <f t="shared" ref="AE27:AE89" si="27">ROUNDUP(AD27,0)</f>
        <v>#VALUE!</v>
      </c>
    </row>
    <row r="28" spans="1:31">
      <c r="A28" s="392">
        <v>3</v>
      </c>
      <c r="B28" s="95" t="e">
        <f t="shared" ref="B28:B91" si="28">B27-C$17</f>
        <v>#VALUE!</v>
      </c>
      <c r="C28" s="122" t="str">
        <f t="shared" si="0"/>
        <v xml:space="preserve"> </v>
      </c>
      <c r="D28" s="122" t="str">
        <f t="shared" si="1"/>
        <v xml:space="preserve"> </v>
      </c>
      <c r="E28" s="122" t="str">
        <f t="shared" si="2"/>
        <v xml:space="preserve"> </v>
      </c>
      <c r="F28" s="122" t="str">
        <f t="shared" si="3"/>
        <v xml:space="preserve"> </v>
      </c>
      <c r="G28" s="117" t="e">
        <f t="shared" si="4"/>
        <v>#VALUE!</v>
      </c>
      <c r="H28" s="118" t="e">
        <f t="shared" si="19"/>
        <v>#VALUE!</v>
      </c>
      <c r="I28" s="118"/>
      <c r="J28" s="119" t="e">
        <f t="shared" si="20"/>
        <v>#VALUE!</v>
      </c>
      <c r="K28" s="119" t="str">
        <f t="shared" si="21"/>
        <v xml:space="preserve"> </v>
      </c>
      <c r="L28" s="119" t="str">
        <f t="shared" si="22"/>
        <v xml:space="preserve"> </v>
      </c>
      <c r="M28" s="119" t="str">
        <f t="shared" si="23"/>
        <v xml:space="preserve"> </v>
      </c>
      <c r="N28" s="119" t="str">
        <f t="shared" si="24"/>
        <v xml:space="preserve"> </v>
      </c>
      <c r="O28" s="119" t="e">
        <f t="shared" si="25"/>
        <v>#VALUE!</v>
      </c>
      <c r="P28" s="119" t="e">
        <f t="shared" si="6"/>
        <v>#VALUE!</v>
      </c>
      <c r="R28" s="93" t="str">
        <f t="shared" si="26"/>
        <v xml:space="preserve"> </v>
      </c>
      <c r="S28" s="90" t="str">
        <f t="shared" si="7"/>
        <v xml:space="preserve"> </v>
      </c>
      <c r="T28" s="90" t="str">
        <f t="shared" si="8"/>
        <v xml:space="preserve"> </v>
      </c>
      <c r="U28" s="90" t="str">
        <f t="shared" si="9"/>
        <v xml:space="preserve"> </v>
      </c>
      <c r="V28" s="90" t="str">
        <f t="shared" si="10"/>
        <v xml:space="preserve"> </v>
      </c>
      <c r="W28" s="90" t="str">
        <f t="shared" si="11"/>
        <v/>
      </c>
      <c r="X28" s="90" t="e">
        <f t="shared" si="12"/>
        <v>#VALUE!</v>
      </c>
      <c r="Y28" s="90" t="e">
        <f t="shared" si="13"/>
        <v>#VALUE!</v>
      </c>
      <c r="Z28" s="90" t="e">
        <f t="shared" si="14"/>
        <v>#VALUE!</v>
      </c>
      <c r="AA28" s="90" t="e">
        <f t="shared" si="15"/>
        <v>#VALUE!</v>
      </c>
      <c r="AB28" s="90" t="e">
        <f t="shared" si="16"/>
        <v>#VALUE!</v>
      </c>
      <c r="AC28" s="90" t="e">
        <f t="shared" si="17"/>
        <v>#VALUE!</v>
      </c>
      <c r="AD28" s="364" t="e">
        <f t="shared" si="18"/>
        <v>#VALUE!</v>
      </c>
      <c r="AE28" s="90" t="e">
        <f t="shared" si="27"/>
        <v>#VALUE!</v>
      </c>
    </row>
    <row r="29" spans="1:31">
      <c r="A29" s="392">
        <v>4</v>
      </c>
      <c r="B29" s="95" t="e">
        <f t="shared" si="28"/>
        <v>#VALUE!</v>
      </c>
      <c r="C29" s="122" t="str">
        <f t="shared" si="0"/>
        <v xml:space="preserve"> </v>
      </c>
      <c r="D29" s="122" t="str">
        <f t="shared" si="1"/>
        <v xml:space="preserve"> </v>
      </c>
      <c r="E29" s="122" t="str">
        <f t="shared" si="2"/>
        <v xml:space="preserve"> </v>
      </c>
      <c r="F29" s="122" t="str">
        <f t="shared" si="3"/>
        <v xml:space="preserve"> </v>
      </c>
      <c r="G29" s="117" t="e">
        <f t="shared" si="4"/>
        <v>#VALUE!</v>
      </c>
      <c r="H29" s="118" t="e">
        <f t="shared" si="19"/>
        <v>#VALUE!</v>
      </c>
      <c r="I29" s="118"/>
      <c r="J29" s="119" t="e">
        <f t="shared" si="20"/>
        <v>#VALUE!</v>
      </c>
      <c r="K29" s="119" t="str">
        <f t="shared" si="21"/>
        <v xml:space="preserve"> </v>
      </c>
      <c r="L29" s="119" t="str">
        <f t="shared" si="22"/>
        <v xml:space="preserve"> </v>
      </c>
      <c r="M29" s="119" t="str">
        <f t="shared" si="23"/>
        <v xml:space="preserve"> </v>
      </c>
      <c r="N29" s="119" t="str">
        <f t="shared" si="24"/>
        <v xml:space="preserve"> </v>
      </c>
      <c r="O29" s="119" t="e">
        <f t="shared" si="25"/>
        <v>#VALUE!</v>
      </c>
      <c r="P29" s="119" t="e">
        <f t="shared" si="6"/>
        <v>#VALUE!</v>
      </c>
      <c r="R29" s="93" t="str">
        <f t="shared" si="26"/>
        <v xml:space="preserve"> </v>
      </c>
      <c r="S29" s="90" t="str">
        <f t="shared" si="7"/>
        <v xml:space="preserve"> </v>
      </c>
      <c r="T29" s="90" t="str">
        <f t="shared" si="8"/>
        <v xml:space="preserve"> </v>
      </c>
      <c r="U29" s="90" t="str">
        <f t="shared" si="9"/>
        <v xml:space="preserve"> </v>
      </c>
      <c r="V29" s="90" t="str">
        <f t="shared" si="10"/>
        <v xml:space="preserve"> </v>
      </c>
      <c r="W29" s="90" t="str">
        <f t="shared" si="11"/>
        <v/>
      </c>
      <c r="X29" s="90" t="e">
        <f t="shared" si="12"/>
        <v>#VALUE!</v>
      </c>
      <c r="Y29" s="90" t="e">
        <f t="shared" si="13"/>
        <v>#VALUE!</v>
      </c>
      <c r="Z29" s="90" t="e">
        <f t="shared" si="14"/>
        <v>#VALUE!</v>
      </c>
      <c r="AA29" s="90" t="e">
        <f t="shared" si="15"/>
        <v>#VALUE!</v>
      </c>
      <c r="AB29" s="90" t="e">
        <f t="shared" si="16"/>
        <v>#VALUE!</v>
      </c>
      <c r="AC29" s="90" t="e">
        <f t="shared" si="17"/>
        <v>#VALUE!</v>
      </c>
      <c r="AD29" s="364" t="e">
        <f t="shared" si="18"/>
        <v>#VALUE!</v>
      </c>
      <c r="AE29" s="90" t="e">
        <f t="shared" si="27"/>
        <v>#VALUE!</v>
      </c>
    </row>
    <row r="30" spans="1:31">
      <c r="A30" s="392">
        <v>5</v>
      </c>
      <c r="B30" s="95" t="e">
        <f t="shared" si="28"/>
        <v>#VALUE!</v>
      </c>
      <c r="C30" s="122" t="str">
        <f t="shared" si="0"/>
        <v xml:space="preserve"> </v>
      </c>
      <c r="D30" s="122" t="str">
        <f t="shared" si="1"/>
        <v xml:space="preserve"> </v>
      </c>
      <c r="E30" s="122" t="str">
        <f t="shared" si="2"/>
        <v xml:space="preserve"> </v>
      </c>
      <c r="F30" s="122" t="str">
        <f t="shared" si="3"/>
        <v xml:space="preserve"> </v>
      </c>
      <c r="G30" s="117" t="e">
        <f t="shared" si="4"/>
        <v>#VALUE!</v>
      </c>
      <c r="H30" s="118" t="e">
        <f t="shared" si="19"/>
        <v>#VALUE!</v>
      </c>
      <c r="I30" s="118"/>
      <c r="J30" s="119" t="e">
        <f t="shared" si="20"/>
        <v>#VALUE!</v>
      </c>
      <c r="K30" s="119" t="str">
        <f t="shared" si="21"/>
        <v xml:space="preserve"> </v>
      </c>
      <c r="L30" s="119" t="str">
        <f t="shared" si="22"/>
        <v xml:space="preserve"> </v>
      </c>
      <c r="M30" s="119" t="str">
        <f t="shared" si="23"/>
        <v xml:space="preserve"> </v>
      </c>
      <c r="N30" s="119" t="str">
        <f t="shared" si="24"/>
        <v xml:space="preserve"> </v>
      </c>
      <c r="O30" s="119" t="e">
        <f t="shared" si="25"/>
        <v>#VALUE!</v>
      </c>
      <c r="P30" s="119" t="e">
        <f t="shared" si="6"/>
        <v>#VALUE!</v>
      </c>
      <c r="R30" s="93" t="str">
        <f t="shared" si="26"/>
        <v xml:space="preserve"> </v>
      </c>
      <c r="S30" s="90" t="str">
        <f t="shared" si="7"/>
        <v xml:space="preserve"> </v>
      </c>
      <c r="T30" s="90" t="str">
        <f t="shared" si="8"/>
        <v xml:space="preserve"> </v>
      </c>
      <c r="U30" s="90" t="str">
        <f t="shared" si="9"/>
        <v xml:space="preserve"> </v>
      </c>
      <c r="V30" s="90" t="str">
        <f t="shared" si="10"/>
        <v xml:space="preserve"> </v>
      </c>
      <c r="W30" s="90" t="str">
        <f t="shared" si="11"/>
        <v/>
      </c>
      <c r="X30" s="90" t="e">
        <f t="shared" si="12"/>
        <v>#VALUE!</v>
      </c>
      <c r="Y30" s="90" t="e">
        <f t="shared" si="13"/>
        <v>#VALUE!</v>
      </c>
      <c r="Z30" s="90" t="e">
        <f t="shared" si="14"/>
        <v>#VALUE!</v>
      </c>
      <c r="AA30" s="90" t="e">
        <f t="shared" si="15"/>
        <v>#VALUE!</v>
      </c>
      <c r="AB30" s="90" t="e">
        <f t="shared" si="16"/>
        <v>#VALUE!</v>
      </c>
      <c r="AC30" s="90" t="e">
        <f t="shared" si="17"/>
        <v>#VALUE!</v>
      </c>
      <c r="AD30" s="364" t="e">
        <f t="shared" si="18"/>
        <v>#VALUE!</v>
      </c>
      <c r="AE30" s="90" t="e">
        <f t="shared" si="27"/>
        <v>#VALUE!</v>
      </c>
    </row>
    <row r="31" spans="1:31">
      <c r="A31" s="392">
        <v>6</v>
      </c>
      <c r="B31" s="95" t="e">
        <f t="shared" si="28"/>
        <v>#VALUE!</v>
      </c>
      <c r="C31" s="122" t="str">
        <f t="shared" si="0"/>
        <v xml:space="preserve"> </v>
      </c>
      <c r="D31" s="122" t="str">
        <f t="shared" si="1"/>
        <v xml:space="preserve"> </v>
      </c>
      <c r="E31" s="122" t="str">
        <f t="shared" si="2"/>
        <v xml:space="preserve"> </v>
      </c>
      <c r="F31" s="122" t="str">
        <f t="shared" si="3"/>
        <v xml:space="preserve"> </v>
      </c>
      <c r="G31" s="117" t="e">
        <f t="shared" si="4"/>
        <v>#VALUE!</v>
      </c>
      <c r="H31" s="118" t="e">
        <f t="shared" si="19"/>
        <v>#VALUE!</v>
      </c>
      <c r="I31" s="118"/>
      <c r="J31" s="119" t="e">
        <f t="shared" si="20"/>
        <v>#VALUE!</v>
      </c>
      <c r="K31" s="119" t="str">
        <f t="shared" si="21"/>
        <v xml:space="preserve"> </v>
      </c>
      <c r="L31" s="119" t="str">
        <f t="shared" si="22"/>
        <v xml:space="preserve"> </v>
      </c>
      <c r="M31" s="119" t="str">
        <f t="shared" si="23"/>
        <v xml:space="preserve"> </v>
      </c>
      <c r="N31" s="119" t="str">
        <f t="shared" si="24"/>
        <v xml:space="preserve"> </v>
      </c>
      <c r="O31" s="119" t="e">
        <f t="shared" si="25"/>
        <v>#VALUE!</v>
      </c>
      <c r="P31" s="119" t="e">
        <f t="shared" si="6"/>
        <v>#VALUE!</v>
      </c>
      <c r="R31" s="93" t="str">
        <f t="shared" si="26"/>
        <v xml:space="preserve"> </v>
      </c>
      <c r="S31" s="90" t="str">
        <f t="shared" si="7"/>
        <v xml:space="preserve"> </v>
      </c>
      <c r="T31" s="90" t="str">
        <f t="shared" si="8"/>
        <v xml:space="preserve"> </v>
      </c>
      <c r="U31" s="90" t="str">
        <f t="shared" si="9"/>
        <v xml:space="preserve"> </v>
      </c>
      <c r="V31" s="90" t="str">
        <f t="shared" si="10"/>
        <v xml:space="preserve"> </v>
      </c>
      <c r="W31" s="90" t="str">
        <f t="shared" si="11"/>
        <v/>
      </c>
      <c r="X31" s="90" t="e">
        <f t="shared" si="12"/>
        <v>#VALUE!</v>
      </c>
      <c r="Y31" s="90" t="e">
        <f t="shared" si="13"/>
        <v>#VALUE!</v>
      </c>
      <c r="Z31" s="90" t="e">
        <f t="shared" si="14"/>
        <v>#VALUE!</v>
      </c>
      <c r="AA31" s="90" t="e">
        <f t="shared" si="15"/>
        <v>#VALUE!</v>
      </c>
      <c r="AB31" s="90" t="e">
        <f t="shared" si="16"/>
        <v>#VALUE!</v>
      </c>
      <c r="AC31" s="90" t="e">
        <f t="shared" si="17"/>
        <v>#VALUE!</v>
      </c>
      <c r="AD31" s="364" t="e">
        <f t="shared" si="18"/>
        <v>#VALUE!</v>
      </c>
      <c r="AE31" s="90" t="e">
        <f t="shared" si="27"/>
        <v>#VALUE!</v>
      </c>
    </row>
    <row r="32" spans="1:31">
      <c r="A32" s="392">
        <v>7</v>
      </c>
      <c r="B32" s="95" t="e">
        <f t="shared" si="28"/>
        <v>#VALUE!</v>
      </c>
      <c r="C32" s="122" t="str">
        <f t="shared" si="0"/>
        <v xml:space="preserve"> </v>
      </c>
      <c r="D32" s="122" t="str">
        <f t="shared" si="1"/>
        <v xml:space="preserve"> </v>
      </c>
      <c r="E32" s="122" t="str">
        <f t="shared" si="2"/>
        <v xml:space="preserve"> </v>
      </c>
      <c r="F32" s="122" t="str">
        <f t="shared" si="3"/>
        <v xml:space="preserve"> </v>
      </c>
      <c r="G32" s="117" t="e">
        <f t="shared" si="4"/>
        <v>#VALUE!</v>
      </c>
      <c r="H32" s="118" t="e">
        <f t="shared" si="19"/>
        <v>#VALUE!</v>
      </c>
      <c r="I32" s="118"/>
      <c r="J32" s="119" t="e">
        <f t="shared" si="20"/>
        <v>#VALUE!</v>
      </c>
      <c r="K32" s="119" t="str">
        <f t="shared" si="21"/>
        <v xml:space="preserve"> </v>
      </c>
      <c r="L32" s="119" t="str">
        <f t="shared" si="22"/>
        <v xml:space="preserve"> </v>
      </c>
      <c r="M32" s="119" t="str">
        <f t="shared" si="23"/>
        <v xml:space="preserve"> </v>
      </c>
      <c r="N32" s="119" t="str">
        <f t="shared" si="24"/>
        <v xml:space="preserve"> </v>
      </c>
      <c r="O32" s="119" t="e">
        <f t="shared" si="25"/>
        <v>#VALUE!</v>
      </c>
      <c r="P32" s="119" t="e">
        <f t="shared" si="6"/>
        <v>#VALUE!</v>
      </c>
      <c r="R32" s="93" t="str">
        <f t="shared" si="26"/>
        <v xml:space="preserve"> </v>
      </c>
      <c r="S32" s="90" t="str">
        <f t="shared" si="7"/>
        <v xml:space="preserve"> </v>
      </c>
      <c r="T32" s="90" t="str">
        <f t="shared" si="8"/>
        <v xml:space="preserve"> </v>
      </c>
      <c r="U32" s="90" t="str">
        <f t="shared" si="9"/>
        <v xml:space="preserve"> </v>
      </c>
      <c r="V32" s="90" t="str">
        <f t="shared" si="10"/>
        <v xml:space="preserve"> </v>
      </c>
      <c r="W32" s="90" t="str">
        <f t="shared" si="11"/>
        <v/>
      </c>
      <c r="X32" s="90" t="e">
        <f t="shared" si="12"/>
        <v>#VALUE!</v>
      </c>
      <c r="Y32" s="90" t="e">
        <f t="shared" si="13"/>
        <v>#VALUE!</v>
      </c>
      <c r="Z32" s="90" t="e">
        <f t="shared" si="14"/>
        <v>#VALUE!</v>
      </c>
      <c r="AA32" s="90" t="e">
        <f t="shared" si="15"/>
        <v>#VALUE!</v>
      </c>
      <c r="AB32" s="90" t="e">
        <f t="shared" si="16"/>
        <v>#VALUE!</v>
      </c>
      <c r="AC32" s="90" t="e">
        <f t="shared" si="17"/>
        <v>#VALUE!</v>
      </c>
      <c r="AD32" s="364" t="e">
        <f t="shared" si="18"/>
        <v>#VALUE!</v>
      </c>
      <c r="AE32" s="90" t="e">
        <f t="shared" si="27"/>
        <v>#VALUE!</v>
      </c>
    </row>
    <row r="33" spans="1:31">
      <c r="A33" s="392">
        <v>8</v>
      </c>
      <c r="B33" s="95" t="e">
        <f t="shared" si="28"/>
        <v>#VALUE!</v>
      </c>
      <c r="C33" s="122" t="str">
        <f t="shared" si="0"/>
        <v xml:space="preserve"> </v>
      </c>
      <c r="D33" s="122" t="str">
        <f t="shared" si="1"/>
        <v xml:space="preserve"> </v>
      </c>
      <c r="E33" s="122" t="str">
        <f t="shared" si="2"/>
        <v xml:space="preserve"> </v>
      </c>
      <c r="F33" s="122" t="str">
        <f t="shared" si="3"/>
        <v xml:space="preserve"> </v>
      </c>
      <c r="G33" s="117" t="e">
        <f t="shared" si="4"/>
        <v>#VALUE!</v>
      </c>
      <c r="H33" s="118" t="e">
        <f t="shared" si="19"/>
        <v>#VALUE!</v>
      </c>
      <c r="I33" s="118"/>
      <c r="J33" s="119" t="e">
        <f t="shared" si="20"/>
        <v>#VALUE!</v>
      </c>
      <c r="K33" s="119" t="str">
        <f t="shared" si="21"/>
        <v xml:space="preserve"> </v>
      </c>
      <c r="L33" s="119" t="str">
        <f t="shared" si="22"/>
        <v xml:space="preserve"> </v>
      </c>
      <c r="M33" s="119" t="str">
        <f t="shared" si="23"/>
        <v xml:space="preserve"> </v>
      </c>
      <c r="N33" s="119" t="str">
        <f t="shared" si="24"/>
        <v xml:space="preserve"> </v>
      </c>
      <c r="O33" s="119" t="e">
        <f t="shared" si="25"/>
        <v>#VALUE!</v>
      </c>
      <c r="P33" s="119" t="e">
        <f t="shared" si="6"/>
        <v>#VALUE!</v>
      </c>
      <c r="R33" s="93" t="str">
        <f t="shared" si="26"/>
        <v xml:space="preserve"> </v>
      </c>
      <c r="S33" s="90" t="str">
        <f t="shared" si="7"/>
        <v xml:space="preserve"> </v>
      </c>
      <c r="T33" s="90" t="str">
        <f t="shared" si="8"/>
        <v xml:space="preserve"> </v>
      </c>
      <c r="U33" s="90" t="str">
        <f t="shared" si="9"/>
        <v xml:space="preserve"> </v>
      </c>
      <c r="V33" s="90" t="str">
        <f t="shared" si="10"/>
        <v xml:space="preserve"> </v>
      </c>
      <c r="W33" s="90" t="str">
        <f t="shared" si="11"/>
        <v/>
      </c>
      <c r="X33" s="90" t="e">
        <f t="shared" si="12"/>
        <v>#VALUE!</v>
      </c>
      <c r="Y33" s="90" t="e">
        <f t="shared" si="13"/>
        <v>#VALUE!</v>
      </c>
      <c r="Z33" s="90" t="e">
        <f t="shared" si="14"/>
        <v>#VALUE!</v>
      </c>
      <c r="AA33" s="90" t="e">
        <f t="shared" si="15"/>
        <v>#VALUE!</v>
      </c>
      <c r="AB33" s="90" t="e">
        <f t="shared" si="16"/>
        <v>#VALUE!</v>
      </c>
      <c r="AC33" s="90" t="e">
        <f t="shared" si="17"/>
        <v>#VALUE!</v>
      </c>
      <c r="AD33" s="364" t="e">
        <f t="shared" si="18"/>
        <v>#VALUE!</v>
      </c>
      <c r="AE33" s="90" t="e">
        <f t="shared" si="27"/>
        <v>#VALUE!</v>
      </c>
    </row>
    <row r="34" spans="1:31">
      <c r="A34" s="392">
        <v>9</v>
      </c>
      <c r="B34" s="95" t="e">
        <f t="shared" si="28"/>
        <v>#VALUE!</v>
      </c>
      <c r="C34" s="122" t="str">
        <f t="shared" si="0"/>
        <v xml:space="preserve"> </v>
      </c>
      <c r="D34" s="122" t="str">
        <f t="shared" si="1"/>
        <v xml:space="preserve"> </v>
      </c>
      <c r="E34" s="122" t="str">
        <f t="shared" si="2"/>
        <v xml:space="preserve"> </v>
      </c>
      <c r="F34" s="122" t="str">
        <f t="shared" si="3"/>
        <v xml:space="preserve"> </v>
      </c>
      <c r="G34" s="117" t="e">
        <f t="shared" si="4"/>
        <v>#VALUE!</v>
      </c>
      <c r="H34" s="118" t="e">
        <f t="shared" si="19"/>
        <v>#VALUE!</v>
      </c>
      <c r="I34" s="118"/>
      <c r="J34" s="119" t="e">
        <f t="shared" si="20"/>
        <v>#VALUE!</v>
      </c>
      <c r="K34" s="119" t="str">
        <f t="shared" si="21"/>
        <v xml:space="preserve"> </v>
      </c>
      <c r="L34" s="119" t="str">
        <f t="shared" si="22"/>
        <v xml:space="preserve"> </v>
      </c>
      <c r="M34" s="119" t="str">
        <f t="shared" si="23"/>
        <v xml:space="preserve"> </v>
      </c>
      <c r="N34" s="119" t="str">
        <f t="shared" si="24"/>
        <v xml:space="preserve"> </v>
      </c>
      <c r="O34" s="119" t="e">
        <f t="shared" si="25"/>
        <v>#VALUE!</v>
      </c>
      <c r="P34" s="119" t="e">
        <f t="shared" si="6"/>
        <v>#VALUE!</v>
      </c>
      <c r="R34" s="93" t="str">
        <f t="shared" si="26"/>
        <v xml:space="preserve"> </v>
      </c>
      <c r="S34" s="90" t="str">
        <f t="shared" si="7"/>
        <v xml:space="preserve"> </v>
      </c>
      <c r="T34" s="90" t="str">
        <f t="shared" si="8"/>
        <v xml:space="preserve"> </v>
      </c>
      <c r="U34" s="90" t="str">
        <f t="shared" si="9"/>
        <v xml:space="preserve"> </v>
      </c>
      <c r="V34" s="90" t="str">
        <f t="shared" si="10"/>
        <v xml:space="preserve"> </v>
      </c>
      <c r="W34" s="90" t="str">
        <f t="shared" si="11"/>
        <v/>
      </c>
      <c r="X34" s="90" t="e">
        <f t="shared" si="12"/>
        <v>#VALUE!</v>
      </c>
      <c r="Y34" s="90" t="e">
        <f t="shared" si="13"/>
        <v>#VALUE!</v>
      </c>
      <c r="Z34" s="90" t="e">
        <f t="shared" si="14"/>
        <v>#VALUE!</v>
      </c>
      <c r="AA34" s="90" t="e">
        <f t="shared" si="15"/>
        <v>#VALUE!</v>
      </c>
      <c r="AB34" s="90" t="e">
        <f t="shared" si="16"/>
        <v>#VALUE!</v>
      </c>
      <c r="AC34" s="90" t="e">
        <f t="shared" si="17"/>
        <v>#VALUE!</v>
      </c>
      <c r="AD34" s="364" t="e">
        <f t="shared" si="18"/>
        <v>#VALUE!</v>
      </c>
      <c r="AE34" s="90" t="e">
        <f t="shared" si="27"/>
        <v>#VALUE!</v>
      </c>
    </row>
    <row r="35" spans="1:31">
      <c r="A35" s="392">
        <v>10</v>
      </c>
      <c r="B35" s="95" t="e">
        <f t="shared" si="28"/>
        <v>#VALUE!</v>
      </c>
      <c r="C35" s="122" t="str">
        <f t="shared" si="0"/>
        <v xml:space="preserve"> </v>
      </c>
      <c r="D35" s="122" t="str">
        <f t="shared" si="1"/>
        <v xml:space="preserve"> </v>
      </c>
      <c r="E35" s="122" t="str">
        <f t="shared" si="2"/>
        <v xml:space="preserve"> </v>
      </c>
      <c r="F35" s="122" t="str">
        <f t="shared" si="3"/>
        <v xml:space="preserve"> </v>
      </c>
      <c r="G35" s="117" t="e">
        <f t="shared" si="4"/>
        <v>#VALUE!</v>
      </c>
      <c r="H35" s="118" t="e">
        <f t="shared" si="19"/>
        <v>#VALUE!</v>
      </c>
      <c r="I35" s="118"/>
      <c r="J35" s="119" t="e">
        <f t="shared" si="20"/>
        <v>#VALUE!</v>
      </c>
      <c r="K35" s="119" t="str">
        <f t="shared" si="21"/>
        <v xml:space="preserve"> </v>
      </c>
      <c r="L35" s="119" t="str">
        <f t="shared" si="22"/>
        <v xml:space="preserve"> </v>
      </c>
      <c r="M35" s="119" t="str">
        <f t="shared" si="23"/>
        <v xml:space="preserve"> </v>
      </c>
      <c r="N35" s="119" t="str">
        <f t="shared" si="24"/>
        <v xml:space="preserve"> </v>
      </c>
      <c r="O35" s="119" t="e">
        <f t="shared" si="25"/>
        <v>#VALUE!</v>
      </c>
      <c r="P35" s="119" t="e">
        <f t="shared" si="6"/>
        <v>#VALUE!</v>
      </c>
      <c r="R35" s="93" t="str">
        <f t="shared" si="26"/>
        <v xml:space="preserve"> </v>
      </c>
      <c r="S35" s="90" t="str">
        <f t="shared" si="7"/>
        <v xml:space="preserve"> </v>
      </c>
      <c r="T35" s="90" t="str">
        <f t="shared" si="8"/>
        <v xml:space="preserve"> </v>
      </c>
      <c r="U35" s="90" t="str">
        <f t="shared" si="9"/>
        <v xml:space="preserve"> </v>
      </c>
      <c r="V35" s="90" t="str">
        <f t="shared" si="10"/>
        <v xml:space="preserve"> </v>
      </c>
      <c r="W35" s="90" t="str">
        <f t="shared" si="11"/>
        <v/>
      </c>
      <c r="X35" s="90" t="e">
        <f t="shared" si="12"/>
        <v>#VALUE!</v>
      </c>
      <c r="Y35" s="90" t="e">
        <f t="shared" si="13"/>
        <v>#VALUE!</v>
      </c>
      <c r="Z35" s="90" t="e">
        <f t="shared" si="14"/>
        <v>#VALUE!</v>
      </c>
      <c r="AA35" s="90" t="e">
        <f t="shared" si="15"/>
        <v>#VALUE!</v>
      </c>
      <c r="AB35" s="90" t="e">
        <f t="shared" si="16"/>
        <v>#VALUE!</v>
      </c>
      <c r="AC35" s="90" t="e">
        <f t="shared" si="17"/>
        <v>#VALUE!</v>
      </c>
      <c r="AD35" s="364" t="e">
        <f t="shared" si="18"/>
        <v>#VALUE!</v>
      </c>
      <c r="AE35" s="90" t="e">
        <f t="shared" si="27"/>
        <v>#VALUE!</v>
      </c>
    </row>
    <row r="36" spans="1:31">
      <c r="A36" s="392">
        <v>11</v>
      </c>
      <c r="B36" s="95" t="e">
        <f t="shared" si="28"/>
        <v>#VALUE!</v>
      </c>
      <c r="C36" s="122" t="str">
        <f t="shared" si="0"/>
        <v xml:space="preserve"> </v>
      </c>
      <c r="D36" s="122" t="str">
        <f t="shared" si="1"/>
        <v xml:space="preserve"> </v>
      </c>
      <c r="E36" s="122" t="str">
        <f t="shared" si="2"/>
        <v xml:space="preserve"> </v>
      </c>
      <c r="F36" s="122" t="str">
        <f t="shared" si="3"/>
        <v xml:space="preserve"> </v>
      </c>
      <c r="G36" s="117" t="e">
        <f t="shared" si="4"/>
        <v>#VALUE!</v>
      </c>
      <c r="H36" s="118" t="e">
        <f t="shared" si="19"/>
        <v>#VALUE!</v>
      </c>
      <c r="I36" s="118"/>
      <c r="J36" s="119" t="e">
        <f t="shared" si="20"/>
        <v>#VALUE!</v>
      </c>
      <c r="K36" s="119" t="str">
        <f t="shared" si="21"/>
        <v xml:space="preserve"> </v>
      </c>
      <c r="L36" s="119" t="str">
        <f t="shared" si="22"/>
        <v xml:space="preserve"> </v>
      </c>
      <c r="M36" s="119" t="str">
        <f t="shared" si="23"/>
        <v xml:space="preserve"> </v>
      </c>
      <c r="N36" s="119" t="str">
        <f t="shared" si="24"/>
        <v xml:space="preserve"> </v>
      </c>
      <c r="O36" s="119" t="e">
        <f t="shared" si="25"/>
        <v>#VALUE!</v>
      </c>
      <c r="P36" s="119" t="e">
        <f t="shared" si="6"/>
        <v>#VALUE!</v>
      </c>
      <c r="R36" s="93" t="str">
        <f t="shared" si="26"/>
        <v xml:space="preserve"> </v>
      </c>
      <c r="S36" s="90" t="str">
        <f t="shared" si="7"/>
        <v xml:space="preserve"> </v>
      </c>
      <c r="T36" s="90" t="str">
        <f t="shared" si="8"/>
        <v xml:space="preserve"> </v>
      </c>
      <c r="U36" s="90" t="str">
        <f t="shared" si="9"/>
        <v xml:space="preserve"> </v>
      </c>
      <c r="V36" s="90" t="str">
        <f t="shared" si="10"/>
        <v xml:space="preserve"> </v>
      </c>
      <c r="W36" s="90" t="str">
        <f t="shared" si="11"/>
        <v/>
      </c>
      <c r="X36" s="90" t="e">
        <f t="shared" si="12"/>
        <v>#VALUE!</v>
      </c>
      <c r="Y36" s="90" t="e">
        <f t="shared" si="13"/>
        <v>#VALUE!</v>
      </c>
      <c r="Z36" s="90" t="e">
        <f t="shared" si="14"/>
        <v>#VALUE!</v>
      </c>
      <c r="AA36" s="90" t="e">
        <f t="shared" si="15"/>
        <v>#VALUE!</v>
      </c>
      <c r="AB36" s="90" t="e">
        <f t="shared" si="16"/>
        <v>#VALUE!</v>
      </c>
      <c r="AC36" s="90" t="e">
        <f t="shared" si="17"/>
        <v>#VALUE!</v>
      </c>
      <c r="AD36" s="364" t="e">
        <f t="shared" si="18"/>
        <v>#VALUE!</v>
      </c>
      <c r="AE36" s="90" t="e">
        <f t="shared" si="27"/>
        <v>#VALUE!</v>
      </c>
    </row>
    <row r="37" spans="1:31">
      <c r="A37" s="392">
        <v>12</v>
      </c>
      <c r="B37" s="95" t="e">
        <f t="shared" si="28"/>
        <v>#VALUE!</v>
      </c>
      <c r="C37" s="122" t="str">
        <f t="shared" si="0"/>
        <v xml:space="preserve"> </v>
      </c>
      <c r="D37" s="122" t="str">
        <f t="shared" si="1"/>
        <v xml:space="preserve"> </v>
      </c>
      <c r="E37" s="122" t="str">
        <f t="shared" si="2"/>
        <v xml:space="preserve"> </v>
      </c>
      <c r="F37" s="122" t="str">
        <f t="shared" si="3"/>
        <v xml:space="preserve"> </v>
      </c>
      <c r="G37" s="117" t="e">
        <f t="shared" si="4"/>
        <v>#VALUE!</v>
      </c>
      <c r="H37" s="118" t="e">
        <f t="shared" si="19"/>
        <v>#VALUE!</v>
      </c>
      <c r="I37" s="118"/>
      <c r="J37" s="119" t="e">
        <f t="shared" si="20"/>
        <v>#VALUE!</v>
      </c>
      <c r="K37" s="119" t="str">
        <f t="shared" si="21"/>
        <v xml:space="preserve"> </v>
      </c>
      <c r="L37" s="119" t="str">
        <f t="shared" si="22"/>
        <v xml:space="preserve"> </v>
      </c>
      <c r="M37" s="119" t="str">
        <f t="shared" si="23"/>
        <v xml:space="preserve"> </v>
      </c>
      <c r="N37" s="119" t="str">
        <f t="shared" si="24"/>
        <v xml:space="preserve"> </v>
      </c>
      <c r="O37" s="119" t="e">
        <f t="shared" si="25"/>
        <v>#VALUE!</v>
      </c>
      <c r="P37" s="119" t="e">
        <f t="shared" si="6"/>
        <v>#VALUE!</v>
      </c>
      <c r="R37" s="93" t="str">
        <f t="shared" si="26"/>
        <v xml:space="preserve"> </v>
      </c>
      <c r="S37" s="90" t="str">
        <f t="shared" si="7"/>
        <v xml:space="preserve"> </v>
      </c>
      <c r="T37" s="90" t="str">
        <f t="shared" si="8"/>
        <v xml:space="preserve"> </v>
      </c>
      <c r="U37" s="90" t="str">
        <f t="shared" si="9"/>
        <v xml:space="preserve"> </v>
      </c>
      <c r="V37" s="90" t="str">
        <f t="shared" si="10"/>
        <v xml:space="preserve"> </v>
      </c>
      <c r="W37" s="90" t="str">
        <f t="shared" si="11"/>
        <v/>
      </c>
      <c r="X37" s="90" t="e">
        <f t="shared" si="12"/>
        <v>#VALUE!</v>
      </c>
      <c r="Y37" s="90" t="e">
        <f t="shared" si="13"/>
        <v>#VALUE!</v>
      </c>
      <c r="Z37" s="90" t="e">
        <f t="shared" si="14"/>
        <v>#VALUE!</v>
      </c>
      <c r="AA37" s="90" t="e">
        <f t="shared" si="15"/>
        <v>#VALUE!</v>
      </c>
      <c r="AB37" s="90" t="e">
        <f t="shared" si="16"/>
        <v>#VALUE!</v>
      </c>
      <c r="AC37" s="90" t="e">
        <f t="shared" si="17"/>
        <v>#VALUE!</v>
      </c>
      <c r="AD37" s="364" t="e">
        <f t="shared" si="18"/>
        <v>#VALUE!</v>
      </c>
      <c r="AE37" s="90" t="e">
        <f t="shared" si="27"/>
        <v>#VALUE!</v>
      </c>
    </row>
    <row r="38" spans="1:31">
      <c r="A38" s="392">
        <v>13</v>
      </c>
      <c r="B38" s="95" t="e">
        <f t="shared" si="28"/>
        <v>#VALUE!</v>
      </c>
      <c r="C38" s="122" t="str">
        <f t="shared" si="0"/>
        <v xml:space="preserve"> </v>
      </c>
      <c r="D38" s="122" t="str">
        <f t="shared" si="1"/>
        <v xml:space="preserve"> </v>
      </c>
      <c r="E38" s="122" t="str">
        <f t="shared" si="2"/>
        <v xml:space="preserve"> </v>
      </c>
      <c r="F38" s="122" t="str">
        <f t="shared" si="3"/>
        <v xml:space="preserve"> </v>
      </c>
      <c r="G38" s="117" t="e">
        <f t="shared" si="4"/>
        <v>#VALUE!</v>
      </c>
      <c r="H38" s="118" t="e">
        <f t="shared" si="19"/>
        <v>#VALUE!</v>
      </c>
      <c r="I38" s="118"/>
      <c r="J38" s="119" t="e">
        <f t="shared" si="20"/>
        <v>#VALUE!</v>
      </c>
      <c r="K38" s="119" t="str">
        <f t="shared" si="21"/>
        <v xml:space="preserve"> </v>
      </c>
      <c r="L38" s="119" t="str">
        <f t="shared" si="22"/>
        <v xml:space="preserve"> </v>
      </c>
      <c r="M38" s="119" t="str">
        <f t="shared" si="23"/>
        <v xml:space="preserve"> </v>
      </c>
      <c r="N38" s="119" t="str">
        <f t="shared" si="24"/>
        <v xml:space="preserve"> </v>
      </c>
      <c r="O38" s="119" t="e">
        <f t="shared" si="25"/>
        <v>#VALUE!</v>
      </c>
      <c r="P38" s="119" t="e">
        <f t="shared" si="6"/>
        <v>#VALUE!</v>
      </c>
      <c r="R38" s="93" t="str">
        <f t="shared" si="26"/>
        <v xml:space="preserve"> </v>
      </c>
      <c r="S38" s="90" t="str">
        <f t="shared" si="7"/>
        <v xml:space="preserve"> </v>
      </c>
      <c r="T38" s="90" t="str">
        <f t="shared" si="8"/>
        <v xml:space="preserve"> </v>
      </c>
      <c r="U38" s="90" t="str">
        <f t="shared" si="9"/>
        <v xml:space="preserve"> </v>
      </c>
      <c r="V38" s="90" t="str">
        <f t="shared" si="10"/>
        <v xml:space="preserve"> </v>
      </c>
      <c r="W38" s="90" t="str">
        <f t="shared" si="11"/>
        <v/>
      </c>
      <c r="X38" s="90" t="e">
        <f t="shared" si="12"/>
        <v>#VALUE!</v>
      </c>
      <c r="Y38" s="90" t="e">
        <f t="shared" si="13"/>
        <v>#VALUE!</v>
      </c>
      <c r="Z38" s="90" t="e">
        <f t="shared" si="14"/>
        <v>#VALUE!</v>
      </c>
      <c r="AA38" s="90" t="e">
        <f t="shared" si="15"/>
        <v>#VALUE!</v>
      </c>
      <c r="AB38" s="90" t="e">
        <f t="shared" si="16"/>
        <v>#VALUE!</v>
      </c>
      <c r="AC38" s="90" t="e">
        <f t="shared" si="17"/>
        <v>#VALUE!</v>
      </c>
      <c r="AD38" s="364" t="e">
        <f t="shared" si="18"/>
        <v>#VALUE!</v>
      </c>
      <c r="AE38" s="90" t="e">
        <f t="shared" si="27"/>
        <v>#VALUE!</v>
      </c>
    </row>
    <row r="39" spans="1:31">
      <c r="A39" s="392">
        <v>14</v>
      </c>
      <c r="B39" s="95" t="e">
        <f t="shared" si="28"/>
        <v>#VALUE!</v>
      </c>
      <c r="C39" s="122" t="str">
        <f t="shared" si="0"/>
        <v xml:space="preserve"> </v>
      </c>
      <c r="D39" s="122" t="str">
        <f t="shared" si="1"/>
        <v xml:space="preserve"> </v>
      </c>
      <c r="E39" s="122" t="str">
        <f t="shared" si="2"/>
        <v xml:space="preserve"> </v>
      </c>
      <c r="F39" s="122" t="str">
        <f t="shared" si="3"/>
        <v xml:space="preserve"> </v>
      </c>
      <c r="G39" s="117" t="e">
        <f t="shared" si="4"/>
        <v>#VALUE!</v>
      </c>
      <c r="H39" s="118" t="e">
        <f t="shared" si="19"/>
        <v>#VALUE!</v>
      </c>
      <c r="I39" s="118"/>
      <c r="J39" s="119" t="e">
        <f t="shared" si="20"/>
        <v>#VALUE!</v>
      </c>
      <c r="K39" s="119" t="str">
        <f t="shared" si="21"/>
        <v xml:space="preserve"> </v>
      </c>
      <c r="L39" s="119" t="str">
        <f t="shared" si="22"/>
        <v xml:space="preserve"> </v>
      </c>
      <c r="M39" s="119" t="str">
        <f t="shared" si="23"/>
        <v xml:space="preserve"> </v>
      </c>
      <c r="N39" s="119" t="str">
        <f t="shared" si="24"/>
        <v xml:space="preserve"> </v>
      </c>
      <c r="O39" s="119" t="e">
        <f t="shared" si="25"/>
        <v>#VALUE!</v>
      </c>
      <c r="P39" s="119" t="e">
        <f t="shared" si="6"/>
        <v>#VALUE!</v>
      </c>
      <c r="R39" s="93" t="str">
        <f t="shared" si="26"/>
        <v xml:space="preserve"> </v>
      </c>
      <c r="S39" s="90" t="str">
        <f t="shared" si="7"/>
        <v xml:space="preserve"> </v>
      </c>
      <c r="T39" s="90" t="str">
        <f t="shared" si="8"/>
        <v xml:space="preserve"> </v>
      </c>
      <c r="U39" s="90" t="str">
        <f t="shared" si="9"/>
        <v xml:space="preserve"> </v>
      </c>
      <c r="V39" s="90" t="str">
        <f t="shared" si="10"/>
        <v xml:space="preserve"> </v>
      </c>
      <c r="W39" s="90" t="str">
        <f t="shared" si="11"/>
        <v/>
      </c>
      <c r="X39" s="90" t="e">
        <f t="shared" si="12"/>
        <v>#VALUE!</v>
      </c>
      <c r="Y39" s="90" t="e">
        <f t="shared" si="13"/>
        <v>#VALUE!</v>
      </c>
      <c r="Z39" s="90" t="e">
        <f t="shared" si="14"/>
        <v>#VALUE!</v>
      </c>
      <c r="AA39" s="90" t="e">
        <f t="shared" si="15"/>
        <v>#VALUE!</v>
      </c>
      <c r="AB39" s="90" t="e">
        <f t="shared" si="16"/>
        <v>#VALUE!</v>
      </c>
      <c r="AC39" s="90" t="e">
        <f t="shared" si="17"/>
        <v>#VALUE!</v>
      </c>
      <c r="AD39" s="364" t="e">
        <f t="shared" si="18"/>
        <v>#VALUE!</v>
      </c>
      <c r="AE39" s="90" t="e">
        <f t="shared" si="27"/>
        <v>#VALUE!</v>
      </c>
    </row>
    <row r="40" spans="1:31">
      <c r="A40" s="392">
        <v>15</v>
      </c>
      <c r="B40" s="95" t="e">
        <f t="shared" si="28"/>
        <v>#VALUE!</v>
      </c>
      <c r="C40" s="122" t="str">
        <f t="shared" si="0"/>
        <v xml:space="preserve"> </v>
      </c>
      <c r="D40" s="122" t="str">
        <f t="shared" si="1"/>
        <v xml:space="preserve"> </v>
      </c>
      <c r="E40" s="122" t="str">
        <f t="shared" si="2"/>
        <v xml:space="preserve"> </v>
      </c>
      <c r="F40" s="122" t="str">
        <f t="shared" si="3"/>
        <v xml:space="preserve"> </v>
      </c>
      <c r="G40" s="117" t="e">
        <f t="shared" si="4"/>
        <v>#VALUE!</v>
      </c>
      <c r="H40" s="118" t="e">
        <f t="shared" si="19"/>
        <v>#VALUE!</v>
      </c>
      <c r="I40" s="118"/>
      <c r="J40" s="119" t="e">
        <f t="shared" si="20"/>
        <v>#VALUE!</v>
      </c>
      <c r="K40" s="119" t="str">
        <f t="shared" si="21"/>
        <v xml:space="preserve"> </v>
      </c>
      <c r="L40" s="119" t="str">
        <f t="shared" si="22"/>
        <v xml:space="preserve"> </v>
      </c>
      <c r="M40" s="119" t="str">
        <f t="shared" si="23"/>
        <v xml:space="preserve"> </v>
      </c>
      <c r="N40" s="119" t="str">
        <f t="shared" si="24"/>
        <v xml:space="preserve"> </v>
      </c>
      <c r="O40" s="119" t="e">
        <f t="shared" si="25"/>
        <v>#VALUE!</v>
      </c>
      <c r="P40" s="119" t="e">
        <f t="shared" si="6"/>
        <v>#VALUE!</v>
      </c>
      <c r="R40" s="93" t="str">
        <f t="shared" si="26"/>
        <v xml:space="preserve"> </v>
      </c>
      <c r="S40" s="90" t="str">
        <f t="shared" si="7"/>
        <v xml:space="preserve"> </v>
      </c>
      <c r="T40" s="90" t="str">
        <f t="shared" si="8"/>
        <v xml:space="preserve"> </v>
      </c>
      <c r="U40" s="90" t="str">
        <f t="shared" si="9"/>
        <v xml:space="preserve"> </v>
      </c>
      <c r="V40" s="90" t="str">
        <f t="shared" si="10"/>
        <v xml:space="preserve"> </v>
      </c>
      <c r="W40" s="90" t="str">
        <f t="shared" si="11"/>
        <v/>
      </c>
      <c r="X40" s="90" t="e">
        <f t="shared" si="12"/>
        <v>#VALUE!</v>
      </c>
      <c r="Y40" s="90" t="e">
        <f t="shared" si="13"/>
        <v>#VALUE!</v>
      </c>
      <c r="Z40" s="90" t="e">
        <f t="shared" si="14"/>
        <v>#VALUE!</v>
      </c>
      <c r="AA40" s="90" t="e">
        <f t="shared" si="15"/>
        <v>#VALUE!</v>
      </c>
      <c r="AB40" s="90" t="e">
        <f t="shared" si="16"/>
        <v>#VALUE!</v>
      </c>
      <c r="AC40" s="90" t="e">
        <f t="shared" si="17"/>
        <v>#VALUE!</v>
      </c>
      <c r="AD40" s="364" t="e">
        <f t="shared" si="18"/>
        <v>#VALUE!</v>
      </c>
      <c r="AE40" s="90" t="e">
        <f t="shared" si="27"/>
        <v>#VALUE!</v>
      </c>
    </row>
    <row r="41" spans="1:31">
      <c r="A41" s="392">
        <v>16</v>
      </c>
      <c r="B41" s="95" t="e">
        <f t="shared" si="28"/>
        <v>#VALUE!</v>
      </c>
      <c r="C41" s="122" t="str">
        <f t="shared" si="0"/>
        <v xml:space="preserve"> </v>
      </c>
      <c r="D41" s="122" t="str">
        <f t="shared" si="1"/>
        <v xml:space="preserve"> </v>
      </c>
      <c r="E41" s="122" t="str">
        <f t="shared" si="2"/>
        <v xml:space="preserve"> </v>
      </c>
      <c r="F41" s="122" t="str">
        <f t="shared" si="3"/>
        <v xml:space="preserve"> </v>
      </c>
      <c r="G41" s="117" t="e">
        <f t="shared" si="4"/>
        <v>#VALUE!</v>
      </c>
      <c r="H41" s="118" t="e">
        <f t="shared" si="19"/>
        <v>#VALUE!</v>
      </c>
      <c r="I41" s="118"/>
      <c r="J41" s="119" t="e">
        <f t="shared" si="20"/>
        <v>#VALUE!</v>
      </c>
      <c r="K41" s="119" t="str">
        <f t="shared" si="21"/>
        <v xml:space="preserve"> </v>
      </c>
      <c r="L41" s="119" t="str">
        <f t="shared" si="22"/>
        <v xml:space="preserve"> </v>
      </c>
      <c r="M41" s="119" t="str">
        <f t="shared" si="23"/>
        <v xml:space="preserve"> </v>
      </c>
      <c r="N41" s="119" t="str">
        <f t="shared" si="24"/>
        <v xml:space="preserve"> </v>
      </c>
      <c r="O41" s="119" t="e">
        <f t="shared" si="25"/>
        <v>#VALUE!</v>
      </c>
      <c r="P41" s="119" t="e">
        <f t="shared" si="6"/>
        <v>#VALUE!</v>
      </c>
      <c r="R41" s="93" t="str">
        <f t="shared" si="26"/>
        <v xml:space="preserve"> </v>
      </c>
      <c r="S41" s="90" t="str">
        <f t="shared" si="7"/>
        <v xml:space="preserve"> </v>
      </c>
      <c r="T41" s="90" t="str">
        <f t="shared" si="8"/>
        <v xml:space="preserve"> </v>
      </c>
      <c r="U41" s="90" t="str">
        <f t="shared" si="9"/>
        <v xml:space="preserve"> </v>
      </c>
      <c r="V41" s="90" t="str">
        <f t="shared" si="10"/>
        <v xml:space="preserve"> </v>
      </c>
      <c r="W41" s="90" t="str">
        <f t="shared" si="11"/>
        <v/>
      </c>
      <c r="X41" s="90" t="e">
        <f t="shared" si="12"/>
        <v>#VALUE!</v>
      </c>
      <c r="Y41" s="90" t="e">
        <f t="shared" si="13"/>
        <v>#VALUE!</v>
      </c>
      <c r="Z41" s="90" t="e">
        <f t="shared" si="14"/>
        <v>#VALUE!</v>
      </c>
      <c r="AA41" s="90" t="e">
        <f t="shared" si="15"/>
        <v>#VALUE!</v>
      </c>
      <c r="AB41" s="90" t="e">
        <f t="shared" si="16"/>
        <v>#VALUE!</v>
      </c>
      <c r="AC41" s="90" t="e">
        <f t="shared" si="17"/>
        <v>#VALUE!</v>
      </c>
      <c r="AD41" s="364" t="e">
        <f t="shared" si="18"/>
        <v>#VALUE!</v>
      </c>
      <c r="AE41" s="90" t="e">
        <f t="shared" si="27"/>
        <v>#VALUE!</v>
      </c>
    </row>
    <row r="42" spans="1:31">
      <c r="A42" s="392">
        <v>17</v>
      </c>
      <c r="B42" s="95" t="e">
        <f t="shared" si="28"/>
        <v>#VALUE!</v>
      </c>
      <c r="C42" s="122" t="str">
        <f t="shared" si="0"/>
        <v xml:space="preserve"> </v>
      </c>
      <c r="D42" s="122" t="str">
        <f t="shared" si="1"/>
        <v xml:space="preserve"> </v>
      </c>
      <c r="E42" s="122" t="str">
        <f t="shared" si="2"/>
        <v xml:space="preserve"> </v>
      </c>
      <c r="F42" s="122" t="str">
        <f t="shared" si="3"/>
        <v xml:space="preserve"> </v>
      </c>
      <c r="G42" s="117" t="e">
        <f t="shared" si="4"/>
        <v>#VALUE!</v>
      </c>
      <c r="H42" s="118" t="e">
        <f t="shared" si="19"/>
        <v>#VALUE!</v>
      </c>
      <c r="I42" s="118"/>
      <c r="J42" s="119" t="e">
        <f t="shared" si="20"/>
        <v>#VALUE!</v>
      </c>
      <c r="K42" s="119" t="str">
        <f t="shared" si="21"/>
        <v xml:space="preserve"> </v>
      </c>
      <c r="L42" s="119" t="str">
        <f t="shared" si="22"/>
        <v xml:space="preserve"> </v>
      </c>
      <c r="M42" s="119" t="str">
        <f t="shared" si="23"/>
        <v xml:space="preserve"> </v>
      </c>
      <c r="N42" s="119" t="str">
        <f t="shared" si="24"/>
        <v xml:space="preserve"> </v>
      </c>
      <c r="O42" s="119" t="e">
        <f t="shared" si="25"/>
        <v>#VALUE!</v>
      </c>
      <c r="P42" s="119" t="e">
        <f t="shared" si="6"/>
        <v>#VALUE!</v>
      </c>
      <c r="R42" s="93" t="str">
        <f t="shared" si="26"/>
        <v xml:space="preserve"> </v>
      </c>
      <c r="S42" s="90" t="str">
        <f t="shared" si="7"/>
        <v xml:space="preserve"> </v>
      </c>
      <c r="T42" s="90" t="str">
        <f t="shared" si="8"/>
        <v xml:space="preserve"> </v>
      </c>
      <c r="U42" s="90" t="str">
        <f t="shared" si="9"/>
        <v xml:space="preserve"> </v>
      </c>
      <c r="V42" s="90" t="str">
        <f t="shared" si="10"/>
        <v xml:space="preserve"> </v>
      </c>
      <c r="W42" s="90" t="str">
        <f t="shared" si="11"/>
        <v/>
      </c>
      <c r="X42" s="90" t="e">
        <f t="shared" si="12"/>
        <v>#VALUE!</v>
      </c>
      <c r="Y42" s="90" t="e">
        <f t="shared" si="13"/>
        <v>#VALUE!</v>
      </c>
      <c r="Z42" s="90" t="e">
        <f t="shared" si="14"/>
        <v>#VALUE!</v>
      </c>
      <c r="AA42" s="90" t="e">
        <f t="shared" si="15"/>
        <v>#VALUE!</v>
      </c>
      <c r="AB42" s="90" t="e">
        <f t="shared" si="16"/>
        <v>#VALUE!</v>
      </c>
      <c r="AC42" s="90" t="e">
        <f t="shared" si="17"/>
        <v>#VALUE!</v>
      </c>
      <c r="AD42" s="364" t="e">
        <f t="shared" si="18"/>
        <v>#VALUE!</v>
      </c>
      <c r="AE42" s="90" t="e">
        <f t="shared" si="27"/>
        <v>#VALUE!</v>
      </c>
    </row>
    <row r="43" spans="1:31">
      <c r="A43" s="392">
        <v>18</v>
      </c>
      <c r="B43" s="95" t="e">
        <f t="shared" si="28"/>
        <v>#VALUE!</v>
      </c>
      <c r="C43" s="122" t="str">
        <f t="shared" si="0"/>
        <v xml:space="preserve"> </v>
      </c>
      <c r="D43" s="122" t="str">
        <f t="shared" si="1"/>
        <v xml:space="preserve"> </v>
      </c>
      <c r="E43" s="122" t="str">
        <f t="shared" si="2"/>
        <v xml:space="preserve"> </v>
      </c>
      <c r="F43" s="122" t="str">
        <f t="shared" si="3"/>
        <v xml:space="preserve"> </v>
      </c>
      <c r="G43" s="117" t="e">
        <f t="shared" si="4"/>
        <v>#VALUE!</v>
      </c>
      <c r="H43" s="118" t="e">
        <f t="shared" si="19"/>
        <v>#VALUE!</v>
      </c>
      <c r="I43" s="118"/>
      <c r="J43" s="119" t="e">
        <f t="shared" si="20"/>
        <v>#VALUE!</v>
      </c>
      <c r="K43" s="119" t="str">
        <f t="shared" si="21"/>
        <v xml:space="preserve"> </v>
      </c>
      <c r="L43" s="119" t="str">
        <f t="shared" si="22"/>
        <v xml:space="preserve"> </v>
      </c>
      <c r="M43" s="119" t="str">
        <f t="shared" si="23"/>
        <v xml:space="preserve"> </v>
      </c>
      <c r="N43" s="119" t="str">
        <f t="shared" si="24"/>
        <v xml:space="preserve"> </v>
      </c>
      <c r="O43" s="119" t="e">
        <f t="shared" si="25"/>
        <v>#VALUE!</v>
      </c>
      <c r="P43" s="119" t="e">
        <f t="shared" si="6"/>
        <v>#VALUE!</v>
      </c>
      <c r="R43" s="93" t="str">
        <f t="shared" si="26"/>
        <v xml:space="preserve"> </v>
      </c>
      <c r="S43" s="90" t="str">
        <f t="shared" si="7"/>
        <v xml:space="preserve"> </v>
      </c>
      <c r="T43" s="90" t="str">
        <f t="shared" si="8"/>
        <v xml:space="preserve"> </v>
      </c>
      <c r="U43" s="90" t="str">
        <f t="shared" si="9"/>
        <v xml:space="preserve"> </v>
      </c>
      <c r="V43" s="90" t="str">
        <f t="shared" si="10"/>
        <v xml:space="preserve"> </v>
      </c>
      <c r="W43" s="90" t="str">
        <f t="shared" si="11"/>
        <v/>
      </c>
      <c r="X43" s="90" t="e">
        <f t="shared" si="12"/>
        <v>#VALUE!</v>
      </c>
      <c r="Y43" s="90" t="e">
        <f t="shared" si="13"/>
        <v>#VALUE!</v>
      </c>
      <c r="Z43" s="90" t="e">
        <f t="shared" si="14"/>
        <v>#VALUE!</v>
      </c>
      <c r="AA43" s="90" t="e">
        <f t="shared" si="15"/>
        <v>#VALUE!</v>
      </c>
      <c r="AB43" s="90" t="e">
        <f t="shared" si="16"/>
        <v>#VALUE!</v>
      </c>
      <c r="AC43" s="90" t="e">
        <f t="shared" si="17"/>
        <v>#VALUE!</v>
      </c>
      <c r="AD43" s="364" t="e">
        <f t="shared" si="18"/>
        <v>#VALUE!</v>
      </c>
      <c r="AE43" s="90" t="e">
        <f t="shared" si="27"/>
        <v>#VALUE!</v>
      </c>
    </row>
    <row r="44" spans="1:31">
      <c r="A44" s="392">
        <v>19</v>
      </c>
      <c r="B44" s="95" t="e">
        <f t="shared" si="28"/>
        <v>#VALUE!</v>
      </c>
      <c r="C44" s="122" t="str">
        <f t="shared" si="0"/>
        <v xml:space="preserve"> </v>
      </c>
      <c r="D44" s="122" t="str">
        <f t="shared" si="1"/>
        <v xml:space="preserve"> </v>
      </c>
      <c r="E44" s="122" t="str">
        <f t="shared" si="2"/>
        <v xml:space="preserve"> </v>
      </c>
      <c r="F44" s="122" t="str">
        <f t="shared" si="3"/>
        <v xml:space="preserve"> </v>
      </c>
      <c r="G44" s="117" t="e">
        <f t="shared" si="4"/>
        <v>#VALUE!</v>
      </c>
      <c r="H44" s="118" t="e">
        <f t="shared" si="19"/>
        <v>#VALUE!</v>
      </c>
      <c r="I44" s="118"/>
      <c r="J44" s="119" t="e">
        <f t="shared" si="20"/>
        <v>#VALUE!</v>
      </c>
      <c r="K44" s="119" t="str">
        <f t="shared" si="21"/>
        <v xml:space="preserve"> </v>
      </c>
      <c r="L44" s="119" t="str">
        <f t="shared" si="22"/>
        <v xml:space="preserve"> </v>
      </c>
      <c r="M44" s="119" t="str">
        <f t="shared" si="23"/>
        <v xml:space="preserve"> </v>
      </c>
      <c r="N44" s="119" t="str">
        <f t="shared" si="24"/>
        <v xml:space="preserve"> </v>
      </c>
      <c r="O44" s="119" t="e">
        <f t="shared" si="25"/>
        <v>#VALUE!</v>
      </c>
      <c r="P44" s="119" t="e">
        <f t="shared" si="6"/>
        <v>#VALUE!</v>
      </c>
      <c r="R44" s="93" t="str">
        <f t="shared" si="26"/>
        <v xml:space="preserve"> </v>
      </c>
      <c r="S44" s="90" t="str">
        <f t="shared" si="7"/>
        <v xml:space="preserve"> </v>
      </c>
      <c r="T44" s="90" t="str">
        <f t="shared" si="8"/>
        <v xml:space="preserve"> </v>
      </c>
      <c r="U44" s="90" t="str">
        <f t="shared" si="9"/>
        <v xml:space="preserve"> </v>
      </c>
      <c r="V44" s="90" t="str">
        <f t="shared" si="10"/>
        <v xml:space="preserve"> </v>
      </c>
      <c r="W44" s="90" t="str">
        <f t="shared" si="11"/>
        <v/>
      </c>
      <c r="X44" s="90" t="e">
        <f t="shared" si="12"/>
        <v>#VALUE!</v>
      </c>
      <c r="Y44" s="90" t="e">
        <f t="shared" si="13"/>
        <v>#VALUE!</v>
      </c>
      <c r="Z44" s="90" t="e">
        <f t="shared" si="14"/>
        <v>#VALUE!</v>
      </c>
      <c r="AA44" s="90" t="e">
        <f t="shared" si="15"/>
        <v>#VALUE!</v>
      </c>
      <c r="AB44" s="90" t="e">
        <f t="shared" si="16"/>
        <v>#VALUE!</v>
      </c>
      <c r="AC44" s="90" t="e">
        <f t="shared" si="17"/>
        <v>#VALUE!</v>
      </c>
      <c r="AD44" s="364" t="e">
        <f t="shared" si="18"/>
        <v>#VALUE!</v>
      </c>
      <c r="AE44" s="90" t="e">
        <f t="shared" si="27"/>
        <v>#VALUE!</v>
      </c>
    </row>
    <row r="45" spans="1:31">
      <c r="A45" s="392">
        <v>20</v>
      </c>
      <c r="B45" s="95" t="e">
        <f t="shared" si="28"/>
        <v>#VALUE!</v>
      </c>
      <c r="C45" s="122" t="str">
        <f t="shared" si="0"/>
        <v xml:space="preserve"> </v>
      </c>
      <c r="D45" s="122" t="str">
        <f t="shared" si="1"/>
        <v xml:space="preserve"> </v>
      </c>
      <c r="E45" s="122" t="str">
        <f t="shared" si="2"/>
        <v xml:space="preserve"> </v>
      </c>
      <c r="F45" s="122" t="str">
        <f t="shared" si="3"/>
        <v xml:space="preserve"> </v>
      </c>
      <c r="G45" s="117" t="e">
        <f t="shared" si="4"/>
        <v>#VALUE!</v>
      </c>
      <c r="H45" s="118" t="e">
        <f t="shared" si="19"/>
        <v>#VALUE!</v>
      </c>
      <c r="I45" s="118"/>
      <c r="J45" s="119" t="e">
        <f t="shared" si="20"/>
        <v>#VALUE!</v>
      </c>
      <c r="K45" s="119" t="str">
        <f t="shared" si="21"/>
        <v xml:space="preserve"> </v>
      </c>
      <c r="L45" s="119" t="str">
        <f t="shared" si="22"/>
        <v xml:space="preserve"> </v>
      </c>
      <c r="M45" s="119" t="str">
        <f t="shared" si="23"/>
        <v xml:space="preserve"> </v>
      </c>
      <c r="N45" s="119" t="str">
        <f t="shared" si="24"/>
        <v xml:space="preserve"> </v>
      </c>
      <c r="O45" s="119" t="e">
        <f t="shared" si="25"/>
        <v>#VALUE!</v>
      </c>
      <c r="P45" s="119" t="e">
        <f t="shared" si="6"/>
        <v>#VALUE!</v>
      </c>
      <c r="R45" s="93" t="str">
        <f t="shared" si="26"/>
        <v xml:space="preserve"> </v>
      </c>
      <c r="S45" s="90" t="str">
        <f t="shared" si="7"/>
        <v xml:space="preserve"> </v>
      </c>
      <c r="T45" s="90" t="str">
        <f t="shared" si="8"/>
        <v xml:space="preserve"> </v>
      </c>
      <c r="U45" s="90" t="str">
        <f t="shared" si="9"/>
        <v xml:space="preserve"> </v>
      </c>
      <c r="V45" s="90" t="str">
        <f t="shared" si="10"/>
        <v xml:space="preserve"> </v>
      </c>
      <c r="W45" s="90" t="str">
        <f t="shared" si="11"/>
        <v/>
      </c>
      <c r="X45" s="90" t="e">
        <f t="shared" si="12"/>
        <v>#VALUE!</v>
      </c>
      <c r="Y45" s="90" t="e">
        <f t="shared" si="13"/>
        <v>#VALUE!</v>
      </c>
      <c r="Z45" s="90" t="e">
        <f t="shared" si="14"/>
        <v>#VALUE!</v>
      </c>
      <c r="AA45" s="90" t="e">
        <f t="shared" si="15"/>
        <v>#VALUE!</v>
      </c>
      <c r="AB45" s="90" t="e">
        <f t="shared" si="16"/>
        <v>#VALUE!</v>
      </c>
      <c r="AC45" s="90" t="e">
        <f t="shared" si="17"/>
        <v>#VALUE!</v>
      </c>
      <c r="AD45" s="364" t="e">
        <f t="shared" si="18"/>
        <v>#VALUE!</v>
      </c>
      <c r="AE45" s="90" t="e">
        <f t="shared" si="27"/>
        <v>#VALUE!</v>
      </c>
    </row>
    <row r="46" spans="1:31">
      <c r="A46" s="392">
        <v>21</v>
      </c>
      <c r="B46" s="95" t="e">
        <f t="shared" si="28"/>
        <v>#VALUE!</v>
      </c>
      <c r="C46" s="122" t="str">
        <f t="shared" si="0"/>
        <v xml:space="preserve"> </v>
      </c>
      <c r="D46" s="122" t="str">
        <f t="shared" si="1"/>
        <v xml:space="preserve"> </v>
      </c>
      <c r="E46" s="122" t="str">
        <f t="shared" si="2"/>
        <v xml:space="preserve"> </v>
      </c>
      <c r="F46" s="122" t="str">
        <f t="shared" si="3"/>
        <v xml:space="preserve"> </v>
      </c>
      <c r="G46" s="117" t="e">
        <f t="shared" si="4"/>
        <v>#VALUE!</v>
      </c>
      <c r="H46" s="118" t="e">
        <f t="shared" si="19"/>
        <v>#VALUE!</v>
      </c>
      <c r="I46" s="112"/>
      <c r="J46" s="119" t="e">
        <f t="shared" si="20"/>
        <v>#VALUE!</v>
      </c>
      <c r="K46" s="119" t="str">
        <f t="shared" si="21"/>
        <v xml:space="preserve"> </v>
      </c>
      <c r="L46" s="119" t="str">
        <f t="shared" si="22"/>
        <v xml:space="preserve"> </v>
      </c>
      <c r="M46" s="119" t="str">
        <f t="shared" si="23"/>
        <v xml:space="preserve"> </v>
      </c>
      <c r="N46" s="119" t="str">
        <f t="shared" si="24"/>
        <v xml:space="preserve"> </v>
      </c>
      <c r="O46" s="119" t="e">
        <f t="shared" si="25"/>
        <v>#VALUE!</v>
      </c>
      <c r="P46" s="119" t="e">
        <f t="shared" si="6"/>
        <v>#VALUE!</v>
      </c>
      <c r="R46" s="93" t="str">
        <f t="shared" si="26"/>
        <v xml:space="preserve"> </v>
      </c>
      <c r="S46" s="90" t="str">
        <f t="shared" si="7"/>
        <v xml:space="preserve"> </v>
      </c>
      <c r="T46" s="90" t="str">
        <f t="shared" si="8"/>
        <v xml:space="preserve"> </v>
      </c>
      <c r="U46" s="90" t="str">
        <f t="shared" si="9"/>
        <v xml:space="preserve"> </v>
      </c>
      <c r="V46" s="90" t="str">
        <f t="shared" si="10"/>
        <v xml:space="preserve"> </v>
      </c>
      <c r="W46" s="90" t="str">
        <f t="shared" si="11"/>
        <v/>
      </c>
      <c r="X46" s="90" t="e">
        <f t="shared" si="12"/>
        <v>#VALUE!</v>
      </c>
      <c r="Y46" s="90" t="e">
        <f t="shared" si="13"/>
        <v>#VALUE!</v>
      </c>
      <c r="Z46" s="90" t="e">
        <f t="shared" si="14"/>
        <v>#VALUE!</v>
      </c>
      <c r="AA46" s="90" t="e">
        <f t="shared" si="15"/>
        <v>#VALUE!</v>
      </c>
      <c r="AB46" s="90" t="e">
        <f t="shared" si="16"/>
        <v>#VALUE!</v>
      </c>
      <c r="AC46" s="90" t="e">
        <f t="shared" si="17"/>
        <v>#VALUE!</v>
      </c>
      <c r="AD46" s="364" t="e">
        <f t="shared" si="18"/>
        <v>#VALUE!</v>
      </c>
      <c r="AE46" s="90" t="e">
        <f t="shared" si="27"/>
        <v>#VALUE!</v>
      </c>
    </row>
    <row r="47" spans="1:31">
      <c r="A47" s="392">
        <v>22</v>
      </c>
      <c r="B47" s="95" t="e">
        <f t="shared" si="28"/>
        <v>#VALUE!</v>
      </c>
      <c r="C47" s="122" t="str">
        <f t="shared" si="0"/>
        <v xml:space="preserve"> </v>
      </c>
      <c r="D47" s="122" t="str">
        <f t="shared" si="1"/>
        <v xml:space="preserve"> </v>
      </c>
      <c r="E47" s="122" t="str">
        <f t="shared" si="2"/>
        <v xml:space="preserve"> </v>
      </c>
      <c r="F47" s="122" t="str">
        <f t="shared" si="3"/>
        <v xml:space="preserve"> </v>
      </c>
      <c r="G47" s="117" t="e">
        <f t="shared" si="4"/>
        <v>#VALUE!</v>
      </c>
      <c r="H47" s="118" t="e">
        <f t="shared" si="19"/>
        <v>#VALUE!</v>
      </c>
      <c r="I47" s="118"/>
      <c r="J47" s="119" t="e">
        <f t="shared" si="20"/>
        <v>#VALUE!</v>
      </c>
      <c r="K47" s="119" t="str">
        <f t="shared" si="21"/>
        <v xml:space="preserve"> </v>
      </c>
      <c r="L47" s="119" t="str">
        <f t="shared" si="22"/>
        <v xml:space="preserve"> </v>
      </c>
      <c r="M47" s="119" t="str">
        <f t="shared" si="23"/>
        <v xml:space="preserve"> </v>
      </c>
      <c r="N47" s="119" t="str">
        <f t="shared" si="24"/>
        <v xml:space="preserve"> </v>
      </c>
      <c r="O47" s="119" t="e">
        <f t="shared" si="25"/>
        <v>#VALUE!</v>
      </c>
      <c r="P47" s="119" t="e">
        <f t="shared" si="6"/>
        <v>#VALUE!</v>
      </c>
      <c r="R47" s="93" t="str">
        <f t="shared" si="26"/>
        <v xml:space="preserve"> </v>
      </c>
      <c r="S47" s="90" t="str">
        <f t="shared" si="7"/>
        <v xml:space="preserve"> </v>
      </c>
      <c r="T47" s="90" t="str">
        <f t="shared" si="8"/>
        <v xml:space="preserve"> </v>
      </c>
      <c r="U47" s="90" t="str">
        <f t="shared" si="9"/>
        <v xml:space="preserve"> </v>
      </c>
      <c r="V47" s="90" t="str">
        <f t="shared" si="10"/>
        <v xml:space="preserve"> </v>
      </c>
      <c r="W47" s="90" t="str">
        <f t="shared" si="11"/>
        <v/>
      </c>
      <c r="X47" s="90" t="e">
        <f t="shared" si="12"/>
        <v>#VALUE!</v>
      </c>
      <c r="Y47" s="90" t="e">
        <f t="shared" si="13"/>
        <v>#VALUE!</v>
      </c>
      <c r="Z47" s="90" t="e">
        <f t="shared" si="14"/>
        <v>#VALUE!</v>
      </c>
      <c r="AA47" s="90" t="e">
        <f t="shared" si="15"/>
        <v>#VALUE!</v>
      </c>
      <c r="AB47" s="90" t="e">
        <f t="shared" si="16"/>
        <v>#VALUE!</v>
      </c>
      <c r="AC47" s="90" t="e">
        <f t="shared" si="17"/>
        <v>#VALUE!</v>
      </c>
      <c r="AD47" s="364" t="e">
        <f t="shared" si="18"/>
        <v>#VALUE!</v>
      </c>
      <c r="AE47" s="90" t="e">
        <f t="shared" si="27"/>
        <v>#VALUE!</v>
      </c>
    </row>
    <row r="48" spans="1:31">
      <c r="A48" s="392">
        <v>23</v>
      </c>
      <c r="B48" s="95" t="e">
        <f t="shared" si="28"/>
        <v>#VALUE!</v>
      </c>
      <c r="C48" s="122" t="str">
        <f t="shared" si="0"/>
        <v xml:space="preserve"> </v>
      </c>
      <c r="D48" s="122" t="str">
        <f t="shared" si="1"/>
        <v xml:space="preserve"> </v>
      </c>
      <c r="E48" s="122" t="str">
        <f t="shared" si="2"/>
        <v xml:space="preserve"> </v>
      </c>
      <c r="F48" s="122" t="str">
        <f t="shared" si="3"/>
        <v xml:space="preserve"> </v>
      </c>
      <c r="G48" s="117" t="e">
        <f t="shared" si="4"/>
        <v>#VALUE!</v>
      </c>
      <c r="H48" s="118" t="e">
        <f t="shared" si="19"/>
        <v>#VALUE!</v>
      </c>
      <c r="I48" s="118"/>
      <c r="J48" s="119" t="e">
        <f t="shared" si="20"/>
        <v>#VALUE!</v>
      </c>
      <c r="K48" s="119" t="str">
        <f t="shared" si="21"/>
        <v xml:space="preserve"> </v>
      </c>
      <c r="L48" s="119" t="str">
        <f t="shared" si="22"/>
        <v xml:space="preserve"> </v>
      </c>
      <c r="M48" s="119" t="str">
        <f t="shared" si="23"/>
        <v xml:space="preserve"> </v>
      </c>
      <c r="N48" s="119" t="str">
        <f t="shared" si="24"/>
        <v xml:space="preserve"> </v>
      </c>
      <c r="O48" s="119" t="e">
        <f t="shared" si="25"/>
        <v>#VALUE!</v>
      </c>
      <c r="P48" s="119" t="e">
        <f t="shared" si="6"/>
        <v>#VALUE!</v>
      </c>
      <c r="R48" s="93" t="str">
        <f t="shared" si="26"/>
        <v xml:space="preserve"> </v>
      </c>
      <c r="S48" s="90" t="str">
        <f t="shared" si="7"/>
        <v xml:space="preserve"> </v>
      </c>
      <c r="T48" s="90" t="str">
        <f t="shared" si="8"/>
        <v xml:space="preserve"> </v>
      </c>
      <c r="U48" s="90" t="str">
        <f t="shared" si="9"/>
        <v xml:space="preserve"> </v>
      </c>
      <c r="V48" s="90" t="str">
        <f t="shared" si="10"/>
        <v xml:space="preserve"> </v>
      </c>
      <c r="W48" s="90" t="str">
        <f t="shared" si="11"/>
        <v/>
      </c>
      <c r="X48" s="90" t="e">
        <f t="shared" si="12"/>
        <v>#VALUE!</v>
      </c>
      <c r="Y48" s="90" t="e">
        <f t="shared" si="13"/>
        <v>#VALUE!</v>
      </c>
      <c r="Z48" s="90" t="e">
        <f t="shared" si="14"/>
        <v>#VALUE!</v>
      </c>
      <c r="AA48" s="90" t="e">
        <f t="shared" si="15"/>
        <v>#VALUE!</v>
      </c>
      <c r="AB48" s="90" t="e">
        <f t="shared" si="16"/>
        <v>#VALUE!</v>
      </c>
      <c r="AC48" s="90" t="e">
        <f t="shared" si="17"/>
        <v>#VALUE!</v>
      </c>
      <c r="AD48" s="364" t="e">
        <f t="shared" si="18"/>
        <v>#VALUE!</v>
      </c>
      <c r="AE48" s="90" t="e">
        <f t="shared" si="27"/>
        <v>#VALUE!</v>
      </c>
    </row>
    <row r="49" spans="1:31">
      <c r="A49" s="392">
        <v>24</v>
      </c>
      <c r="B49" s="95" t="e">
        <f t="shared" si="28"/>
        <v>#VALUE!</v>
      </c>
      <c r="C49" s="122" t="str">
        <f t="shared" si="0"/>
        <v xml:space="preserve"> </v>
      </c>
      <c r="D49" s="122" t="str">
        <f t="shared" si="1"/>
        <v xml:space="preserve"> </v>
      </c>
      <c r="E49" s="122" t="str">
        <f t="shared" si="2"/>
        <v xml:space="preserve"> </v>
      </c>
      <c r="F49" s="122" t="str">
        <f t="shared" si="3"/>
        <v xml:space="preserve"> </v>
      </c>
      <c r="G49" s="117" t="e">
        <f t="shared" si="4"/>
        <v>#VALUE!</v>
      </c>
      <c r="H49" s="118" t="e">
        <f t="shared" si="19"/>
        <v>#VALUE!</v>
      </c>
      <c r="I49" s="118"/>
      <c r="J49" s="119" t="e">
        <f t="shared" si="20"/>
        <v>#VALUE!</v>
      </c>
      <c r="K49" s="119" t="str">
        <f t="shared" si="21"/>
        <v xml:space="preserve"> </v>
      </c>
      <c r="L49" s="119" t="str">
        <f t="shared" si="22"/>
        <v xml:space="preserve"> </v>
      </c>
      <c r="M49" s="119" t="str">
        <f t="shared" si="23"/>
        <v xml:space="preserve"> </v>
      </c>
      <c r="N49" s="119" t="str">
        <f t="shared" si="24"/>
        <v xml:space="preserve"> </v>
      </c>
      <c r="O49" s="119" t="e">
        <f t="shared" si="25"/>
        <v>#VALUE!</v>
      </c>
      <c r="P49" s="119" t="e">
        <f t="shared" si="6"/>
        <v>#VALUE!</v>
      </c>
      <c r="R49" s="93" t="str">
        <f t="shared" si="26"/>
        <v xml:space="preserve"> </v>
      </c>
      <c r="S49" s="90" t="str">
        <f t="shared" si="7"/>
        <v xml:space="preserve"> </v>
      </c>
      <c r="T49" s="90" t="str">
        <f t="shared" si="8"/>
        <v xml:space="preserve"> </v>
      </c>
      <c r="U49" s="90" t="str">
        <f t="shared" si="9"/>
        <v xml:space="preserve"> </v>
      </c>
      <c r="V49" s="90" t="str">
        <f t="shared" si="10"/>
        <v xml:space="preserve"> </v>
      </c>
      <c r="W49" s="90" t="str">
        <f t="shared" si="11"/>
        <v/>
      </c>
      <c r="X49" s="90" t="e">
        <f t="shared" si="12"/>
        <v>#VALUE!</v>
      </c>
      <c r="Y49" s="90" t="e">
        <f t="shared" si="13"/>
        <v>#VALUE!</v>
      </c>
      <c r="Z49" s="90" t="e">
        <f t="shared" si="14"/>
        <v>#VALUE!</v>
      </c>
      <c r="AA49" s="90" t="e">
        <f t="shared" si="15"/>
        <v>#VALUE!</v>
      </c>
      <c r="AB49" s="90" t="e">
        <f t="shared" si="16"/>
        <v>#VALUE!</v>
      </c>
      <c r="AC49" s="90" t="e">
        <f t="shared" si="17"/>
        <v>#VALUE!</v>
      </c>
      <c r="AD49" s="364" t="e">
        <f t="shared" si="18"/>
        <v>#VALUE!</v>
      </c>
      <c r="AE49" s="90" t="e">
        <f t="shared" si="27"/>
        <v>#VALUE!</v>
      </c>
    </row>
    <row r="50" spans="1:31">
      <c r="A50" s="392">
        <v>25</v>
      </c>
      <c r="B50" s="95" t="e">
        <f t="shared" si="28"/>
        <v>#VALUE!</v>
      </c>
      <c r="C50" s="122" t="str">
        <f t="shared" si="0"/>
        <v xml:space="preserve"> </v>
      </c>
      <c r="D50" s="122" t="str">
        <f t="shared" si="1"/>
        <v xml:space="preserve"> </v>
      </c>
      <c r="E50" s="122" t="str">
        <f t="shared" si="2"/>
        <v xml:space="preserve"> </v>
      </c>
      <c r="F50" s="122" t="str">
        <f t="shared" si="3"/>
        <v xml:space="preserve"> </v>
      </c>
      <c r="G50" s="117" t="e">
        <f t="shared" si="4"/>
        <v>#VALUE!</v>
      </c>
      <c r="H50" s="118" t="e">
        <f t="shared" si="19"/>
        <v>#VALUE!</v>
      </c>
      <c r="I50" s="118"/>
      <c r="J50" s="119" t="e">
        <f t="shared" si="20"/>
        <v>#VALUE!</v>
      </c>
      <c r="K50" s="119" t="str">
        <f t="shared" si="21"/>
        <v xml:space="preserve"> </v>
      </c>
      <c r="L50" s="119" t="str">
        <f t="shared" si="22"/>
        <v xml:space="preserve"> </v>
      </c>
      <c r="M50" s="119" t="str">
        <f t="shared" si="23"/>
        <v xml:space="preserve"> </v>
      </c>
      <c r="N50" s="119" t="str">
        <f t="shared" si="24"/>
        <v xml:space="preserve"> </v>
      </c>
      <c r="O50" s="119" t="e">
        <f t="shared" si="25"/>
        <v>#VALUE!</v>
      </c>
      <c r="P50" s="119" t="e">
        <f t="shared" si="6"/>
        <v>#VALUE!</v>
      </c>
      <c r="R50" s="93" t="str">
        <f t="shared" si="26"/>
        <v xml:space="preserve"> </v>
      </c>
      <c r="S50" s="90" t="str">
        <f t="shared" si="7"/>
        <v xml:space="preserve"> </v>
      </c>
      <c r="T50" s="90" t="str">
        <f t="shared" si="8"/>
        <v xml:space="preserve"> </v>
      </c>
      <c r="U50" s="90" t="str">
        <f t="shared" si="9"/>
        <v xml:space="preserve"> </v>
      </c>
      <c r="V50" s="90" t="str">
        <f t="shared" si="10"/>
        <v xml:space="preserve"> </v>
      </c>
      <c r="W50" s="90" t="str">
        <f t="shared" si="11"/>
        <v/>
      </c>
      <c r="X50" s="90" t="e">
        <f t="shared" si="12"/>
        <v>#VALUE!</v>
      </c>
      <c r="Y50" s="90" t="e">
        <f t="shared" si="13"/>
        <v>#VALUE!</v>
      </c>
      <c r="Z50" s="90" t="e">
        <f t="shared" si="14"/>
        <v>#VALUE!</v>
      </c>
      <c r="AA50" s="90" t="e">
        <f t="shared" si="15"/>
        <v>#VALUE!</v>
      </c>
      <c r="AB50" s="90" t="e">
        <f t="shared" si="16"/>
        <v>#VALUE!</v>
      </c>
      <c r="AC50" s="90" t="e">
        <f t="shared" si="17"/>
        <v>#VALUE!</v>
      </c>
      <c r="AD50" s="364" t="e">
        <f t="shared" si="18"/>
        <v>#VALUE!</v>
      </c>
      <c r="AE50" s="90" t="e">
        <f t="shared" si="27"/>
        <v>#VALUE!</v>
      </c>
    </row>
    <row r="51" spans="1:31">
      <c r="A51" s="392">
        <v>26</v>
      </c>
      <c r="B51" s="95" t="e">
        <f t="shared" si="28"/>
        <v>#VALUE!</v>
      </c>
      <c r="C51" s="122" t="str">
        <f t="shared" si="0"/>
        <v xml:space="preserve"> </v>
      </c>
      <c r="D51" s="122" t="str">
        <f t="shared" si="1"/>
        <v xml:space="preserve"> </v>
      </c>
      <c r="E51" s="122" t="str">
        <f t="shared" si="2"/>
        <v xml:space="preserve"> </v>
      </c>
      <c r="F51" s="122" t="str">
        <f t="shared" si="3"/>
        <v xml:space="preserve"> </v>
      </c>
      <c r="G51" s="117" t="e">
        <f t="shared" si="4"/>
        <v>#VALUE!</v>
      </c>
      <c r="H51" s="118" t="e">
        <f t="shared" si="19"/>
        <v>#VALUE!</v>
      </c>
      <c r="I51" s="118"/>
      <c r="J51" s="119" t="e">
        <f t="shared" si="20"/>
        <v>#VALUE!</v>
      </c>
      <c r="K51" s="119" t="str">
        <f t="shared" si="21"/>
        <v xml:space="preserve"> </v>
      </c>
      <c r="L51" s="119" t="str">
        <f t="shared" si="22"/>
        <v xml:space="preserve"> </v>
      </c>
      <c r="M51" s="119" t="str">
        <f t="shared" si="23"/>
        <v xml:space="preserve"> </v>
      </c>
      <c r="N51" s="119" t="str">
        <f t="shared" si="24"/>
        <v xml:space="preserve"> </v>
      </c>
      <c r="O51" s="119" t="e">
        <f t="shared" si="25"/>
        <v>#VALUE!</v>
      </c>
      <c r="P51" s="119" t="e">
        <f t="shared" si="6"/>
        <v>#VALUE!</v>
      </c>
      <c r="R51" s="93" t="str">
        <f t="shared" si="26"/>
        <v xml:space="preserve"> </v>
      </c>
      <c r="S51" s="90" t="str">
        <f t="shared" si="7"/>
        <v xml:space="preserve"> </v>
      </c>
      <c r="T51" s="90" t="str">
        <f t="shared" si="8"/>
        <v xml:space="preserve"> </v>
      </c>
      <c r="U51" s="90" t="str">
        <f t="shared" si="9"/>
        <v xml:space="preserve"> </v>
      </c>
      <c r="V51" s="90" t="str">
        <f t="shared" si="10"/>
        <v xml:space="preserve"> </v>
      </c>
      <c r="W51" s="90" t="str">
        <f t="shared" si="11"/>
        <v/>
      </c>
      <c r="X51" s="90" t="e">
        <f t="shared" si="12"/>
        <v>#VALUE!</v>
      </c>
      <c r="Y51" s="90" t="e">
        <f t="shared" si="13"/>
        <v>#VALUE!</v>
      </c>
      <c r="Z51" s="90" t="e">
        <f t="shared" si="14"/>
        <v>#VALUE!</v>
      </c>
      <c r="AA51" s="90" t="e">
        <f t="shared" si="15"/>
        <v>#VALUE!</v>
      </c>
      <c r="AB51" s="90" t="e">
        <f t="shared" si="16"/>
        <v>#VALUE!</v>
      </c>
      <c r="AC51" s="90" t="e">
        <f t="shared" si="17"/>
        <v>#VALUE!</v>
      </c>
      <c r="AD51" s="364" t="e">
        <f t="shared" si="18"/>
        <v>#VALUE!</v>
      </c>
      <c r="AE51" s="90" t="e">
        <f t="shared" si="27"/>
        <v>#VALUE!</v>
      </c>
    </row>
    <row r="52" spans="1:31">
      <c r="A52" s="392">
        <v>27</v>
      </c>
      <c r="B52" s="95" t="e">
        <f t="shared" si="28"/>
        <v>#VALUE!</v>
      </c>
      <c r="C52" s="122" t="str">
        <f t="shared" si="0"/>
        <v xml:space="preserve"> </v>
      </c>
      <c r="D52" s="122" t="str">
        <f t="shared" si="1"/>
        <v xml:space="preserve"> </v>
      </c>
      <c r="E52" s="122" t="str">
        <f t="shared" si="2"/>
        <v xml:space="preserve"> </v>
      </c>
      <c r="F52" s="122" t="str">
        <f t="shared" si="3"/>
        <v xml:space="preserve"> </v>
      </c>
      <c r="G52" s="117" t="e">
        <f t="shared" si="4"/>
        <v>#VALUE!</v>
      </c>
      <c r="H52" s="118" t="e">
        <f t="shared" si="19"/>
        <v>#VALUE!</v>
      </c>
      <c r="I52" s="118"/>
      <c r="J52" s="119" t="e">
        <f t="shared" si="20"/>
        <v>#VALUE!</v>
      </c>
      <c r="K52" s="119" t="str">
        <f t="shared" si="21"/>
        <v xml:space="preserve"> </v>
      </c>
      <c r="L52" s="119" t="str">
        <f t="shared" si="22"/>
        <v xml:space="preserve"> </v>
      </c>
      <c r="M52" s="119" t="str">
        <f t="shared" si="23"/>
        <v xml:space="preserve"> </v>
      </c>
      <c r="N52" s="119" t="str">
        <f t="shared" si="24"/>
        <v xml:space="preserve"> </v>
      </c>
      <c r="O52" s="119" t="e">
        <f t="shared" si="25"/>
        <v>#VALUE!</v>
      </c>
      <c r="P52" s="119" t="e">
        <f t="shared" si="6"/>
        <v>#VALUE!</v>
      </c>
      <c r="R52" s="93" t="str">
        <f t="shared" si="26"/>
        <v xml:space="preserve"> </v>
      </c>
      <c r="S52" s="90" t="str">
        <f t="shared" si="7"/>
        <v xml:space="preserve"> </v>
      </c>
      <c r="T52" s="90" t="str">
        <f t="shared" si="8"/>
        <v xml:space="preserve"> </v>
      </c>
      <c r="U52" s="90" t="str">
        <f t="shared" si="9"/>
        <v xml:space="preserve"> </v>
      </c>
      <c r="V52" s="90" t="str">
        <f t="shared" si="10"/>
        <v xml:space="preserve"> </v>
      </c>
      <c r="W52" s="90" t="str">
        <f t="shared" si="11"/>
        <v/>
      </c>
      <c r="X52" s="90" t="e">
        <f t="shared" si="12"/>
        <v>#VALUE!</v>
      </c>
      <c r="Y52" s="90" t="e">
        <f t="shared" si="13"/>
        <v>#VALUE!</v>
      </c>
      <c r="Z52" s="90" t="e">
        <f t="shared" si="14"/>
        <v>#VALUE!</v>
      </c>
      <c r="AA52" s="90" t="e">
        <f t="shared" si="15"/>
        <v>#VALUE!</v>
      </c>
      <c r="AB52" s="90" t="e">
        <f t="shared" si="16"/>
        <v>#VALUE!</v>
      </c>
      <c r="AC52" s="90" t="e">
        <f t="shared" si="17"/>
        <v>#VALUE!</v>
      </c>
      <c r="AD52" s="364" t="e">
        <f t="shared" si="18"/>
        <v>#VALUE!</v>
      </c>
      <c r="AE52" s="90" t="e">
        <f t="shared" si="27"/>
        <v>#VALUE!</v>
      </c>
    </row>
    <row r="53" spans="1:31">
      <c r="A53" s="392">
        <v>28</v>
      </c>
      <c r="B53" s="95" t="e">
        <f t="shared" si="28"/>
        <v>#VALUE!</v>
      </c>
      <c r="C53" s="122" t="str">
        <f t="shared" si="0"/>
        <v xml:space="preserve"> </v>
      </c>
      <c r="D53" s="122" t="str">
        <f t="shared" si="1"/>
        <v xml:space="preserve"> </v>
      </c>
      <c r="E53" s="122" t="str">
        <f t="shared" si="2"/>
        <v xml:space="preserve"> </v>
      </c>
      <c r="F53" s="122" t="str">
        <f t="shared" si="3"/>
        <v xml:space="preserve"> </v>
      </c>
      <c r="G53" s="117" t="e">
        <f t="shared" si="4"/>
        <v>#VALUE!</v>
      </c>
      <c r="H53" s="118" t="e">
        <f t="shared" si="19"/>
        <v>#VALUE!</v>
      </c>
      <c r="I53" s="118"/>
      <c r="J53" s="119" t="e">
        <f t="shared" si="20"/>
        <v>#VALUE!</v>
      </c>
      <c r="K53" s="119" t="str">
        <f t="shared" si="21"/>
        <v xml:space="preserve"> </v>
      </c>
      <c r="L53" s="119" t="str">
        <f t="shared" si="22"/>
        <v xml:space="preserve"> </v>
      </c>
      <c r="M53" s="119" t="str">
        <f t="shared" si="23"/>
        <v xml:space="preserve"> </v>
      </c>
      <c r="N53" s="119" t="str">
        <f t="shared" si="24"/>
        <v xml:space="preserve"> </v>
      </c>
      <c r="O53" s="119" t="e">
        <f t="shared" si="25"/>
        <v>#VALUE!</v>
      </c>
      <c r="P53" s="119" t="e">
        <f t="shared" si="6"/>
        <v>#VALUE!</v>
      </c>
      <c r="R53" s="93" t="str">
        <f t="shared" si="26"/>
        <v xml:space="preserve"> </v>
      </c>
      <c r="S53" s="90" t="str">
        <f t="shared" si="7"/>
        <v xml:space="preserve"> </v>
      </c>
      <c r="T53" s="90" t="str">
        <f t="shared" si="8"/>
        <v xml:space="preserve"> </v>
      </c>
      <c r="U53" s="90" t="str">
        <f t="shared" si="9"/>
        <v xml:space="preserve"> </v>
      </c>
      <c r="V53" s="90" t="str">
        <f t="shared" si="10"/>
        <v xml:space="preserve"> </v>
      </c>
      <c r="W53" s="90" t="str">
        <f t="shared" si="11"/>
        <v/>
      </c>
      <c r="X53" s="90" t="e">
        <f t="shared" si="12"/>
        <v>#VALUE!</v>
      </c>
      <c r="Y53" s="90" t="e">
        <f t="shared" si="13"/>
        <v>#VALUE!</v>
      </c>
      <c r="Z53" s="90" t="e">
        <f t="shared" si="14"/>
        <v>#VALUE!</v>
      </c>
      <c r="AA53" s="90" t="e">
        <f t="shared" si="15"/>
        <v>#VALUE!</v>
      </c>
      <c r="AB53" s="90" t="e">
        <f t="shared" si="16"/>
        <v>#VALUE!</v>
      </c>
      <c r="AC53" s="90" t="e">
        <f t="shared" si="17"/>
        <v>#VALUE!</v>
      </c>
      <c r="AD53" s="364" t="e">
        <f t="shared" si="18"/>
        <v>#VALUE!</v>
      </c>
      <c r="AE53" s="90" t="e">
        <f t="shared" si="27"/>
        <v>#VALUE!</v>
      </c>
    </row>
    <row r="54" spans="1:31">
      <c r="A54" s="392">
        <v>29</v>
      </c>
      <c r="B54" s="95" t="e">
        <f t="shared" si="28"/>
        <v>#VALUE!</v>
      </c>
      <c r="C54" s="122" t="str">
        <f t="shared" si="0"/>
        <v xml:space="preserve"> </v>
      </c>
      <c r="D54" s="122" t="str">
        <f t="shared" si="1"/>
        <v xml:space="preserve"> </v>
      </c>
      <c r="E54" s="122" t="str">
        <f t="shared" si="2"/>
        <v xml:space="preserve"> </v>
      </c>
      <c r="F54" s="122" t="str">
        <f t="shared" si="3"/>
        <v xml:space="preserve"> </v>
      </c>
      <c r="G54" s="117" t="e">
        <f t="shared" si="4"/>
        <v>#VALUE!</v>
      </c>
      <c r="H54" s="118" t="e">
        <f t="shared" si="19"/>
        <v>#VALUE!</v>
      </c>
      <c r="I54" s="118"/>
      <c r="J54" s="119" t="e">
        <f t="shared" si="20"/>
        <v>#VALUE!</v>
      </c>
      <c r="K54" s="119" t="str">
        <f t="shared" si="21"/>
        <v xml:space="preserve"> </v>
      </c>
      <c r="L54" s="119" t="str">
        <f t="shared" si="22"/>
        <v xml:space="preserve"> </v>
      </c>
      <c r="M54" s="119" t="str">
        <f t="shared" si="23"/>
        <v xml:space="preserve"> </v>
      </c>
      <c r="N54" s="119" t="str">
        <f t="shared" si="24"/>
        <v xml:space="preserve"> </v>
      </c>
      <c r="O54" s="119" t="e">
        <f t="shared" si="25"/>
        <v>#VALUE!</v>
      </c>
      <c r="P54" s="119" t="e">
        <f t="shared" si="6"/>
        <v>#VALUE!</v>
      </c>
      <c r="R54" s="93" t="str">
        <f t="shared" si="26"/>
        <v xml:space="preserve"> </v>
      </c>
      <c r="S54" s="90" t="str">
        <f t="shared" si="7"/>
        <v xml:space="preserve"> </v>
      </c>
      <c r="T54" s="90" t="str">
        <f t="shared" si="8"/>
        <v xml:space="preserve"> </v>
      </c>
      <c r="U54" s="90" t="str">
        <f t="shared" si="9"/>
        <v xml:space="preserve"> </v>
      </c>
      <c r="V54" s="90" t="str">
        <f t="shared" si="10"/>
        <v xml:space="preserve"> </v>
      </c>
      <c r="W54" s="90" t="str">
        <f t="shared" si="11"/>
        <v/>
      </c>
      <c r="X54" s="90" t="e">
        <f t="shared" si="12"/>
        <v>#VALUE!</v>
      </c>
      <c r="Y54" s="90" t="e">
        <f t="shared" si="13"/>
        <v>#VALUE!</v>
      </c>
      <c r="Z54" s="90" t="e">
        <f t="shared" si="14"/>
        <v>#VALUE!</v>
      </c>
      <c r="AA54" s="90" t="e">
        <f t="shared" si="15"/>
        <v>#VALUE!</v>
      </c>
      <c r="AB54" s="90" t="e">
        <f t="shared" si="16"/>
        <v>#VALUE!</v>
      </c>
      <c r="AC54" s="90" t="e">
        <f t="shared" si="17"/>
        <v>#VALUE!</v>
      </c>
      <c r="AD54" s="364" t="e">
        <f t="shared" si="18"/>
        <v>#VALUE!</v>
      </c>
      <c r="AE54" s="90" t="e">
        <f t="shared" si="27"/>
        <v>#VALUE!</v>
      </c>
    </row>
    <row r="55" spans="1:31">
      <c r="A55" s="392">
        <v>30</v>
      </c>
      <c r="B55" s="95" t="e">
        <f t="shared" si="28"/>
        <v>#VALUE!</v>
      </c>
      <c r="C55" s="122" t="str">
        <f t="shared" si="0"/>
        <v xml:space="preserve"> </v>
      </c>
      <c r="D55" s="122" t="str">
        <f t="shared" si="1"/>
        <v xml:space="preserve"> </v>
      </c>
      <c r="E55" s="122" t="str">
        <f t="shared" si="2"/>
        <v xml:space="preserve"> </v>
      </c>
      <c r="F55" s="122" t="str">
        <f t="shared" si="3"/>
        <v xml:space="preserve"> </v>
      </c>
      <c r="G55" s="117" t="e">
        <f t="shared" si="4"/>
        <v>#VALUE!</v>
      </c>
      <c r="H55" s="118" t="e">
        <f t="shared" si="19"/>
        <v>#VALUE!</v>
      </c>
      <c r="I55" s="118"/>
      <c r="J55" s="119" t="e">
        <f t="shared" si="20"/>
        <v>#VALUE!</v>
      </c>
      <c r="K55" s="119" t="str">
        <f t="shared" si="21"/>
        <v xml:space="preserve"> </v>
      </c>
      <c r="L55" s="119" t="str">
        <f t="shared" si="22"/>
        <v xml:space="preserve"> </v>
      </c>
      <c r="M55" s="119" t="str">
        <f t="shared" si="23"/>
        <v xml:space="preserve"> </v>
      </c>
      <c r="N55" s="119" t="str">
        <f t="shared" si="24"/>
        <v xml:space="preserve"> </v>
      </c>
      <c r="O55" s="119" t="e">
        <f t="shared" si="25"/>
        <v>#VALUE!</v>
      </c>
      <c r="P55" s="119" t="e">
        <f t="shared" si="6"/>
        <v>#VALUE!</v>
      </c>
      <c r="R55" s="93" t="str">
        <f t="shared" si="26"/>
        <v xml:space="preserve"> </v>
      </c>
      <c r="S55" s="90" t="str">
        <f t="shared" si="7"/>
        <v xml:space="preserve"> </v>
      </c>
      <c r="T55" s="90" t="str">
        <f t="shared" si="8"/>
        <v xml:space="preserve"> </v>
      </c>
      <c r="U55" s="90" t="str">
        <f t="shared" si="9"/>
        <v xml:space="preserve"> </v>
      </c>
      <c r="V55" s="90" t="str">
        <f t="shared" si="10"/>
        <v xml:space="preserve"> </v>
      </c>
      <c r="W55" s="90" t="str">
        <f t="shared" si="11"/>
        <v/>
      </c>
      <c r="X55" s="90" t="e">
        <f t="shared" si="12"/>
        <v>#VALUE!</v>
      </c>
      <c r="Y55" s="90" t="e">
        <f t="shared" si="13"/>
        <v>#VALUE!</v>
      </c>
      <c r="Z55" s="90" t="e">
        <f t="shared" si="14"/>
        <v>#VALUE!</v>
      </c>
      <c r="AA55" s="90" t="e">
        <f t="shared" si="15"/>
        <v>#VALUE!</v>
      </c>
      <c r="AB55" s="90" t="e">
        <f t="shared" si="16"/>
        <v>#VALUE!</v>
      </c>
      <c r="AC55" s="90" t="e">
        <f t="shared" si="17"/>
        <v>#VALUE!</v>
      </c>
      <c r="AD55" s="364" t="e">
        <f t="shared" si="18"/>
        <v>#VALUE!</v>
      </c>
      <c r="AE55" s="90" t="e">
        <f t="shared" si="27"/>
        <v>#VALUE!</v>
      </c>
    </row>
    <row r="56" spans="1:31">
      <c r="A56" s="392">
        <v>31</v>
      </c>
      <c r="B56" s="95" t="e">
        <f t="shared" si="28"/>
        <v>#VALUE!</v>
      </c>
      <c r="C56" s="122" t="str">
        <f t="shared" si="0"/>
        <v xml:space="preserve"> </v>
      </c>
      <c r="D56" s="122" t="str">
        <f t="shared" si="1"/>
        <v xml:space="preserve"> </v>
      </c>
      <c r="E56" s="122" t="str">
        <f t="shared" si="2"/>
        <v xml:space="preserve"> </v>
      </c>
      <c r="F56" s="122" t="str">
        <f t="shared" si="3"/>
        <v xml:space="preserve"> </v>
      </c>
      <c r="G56" s="117" t="e">
        <f t="shared" si="4"/>
        <v>#VALUE!</v>
      </c>
      <c r="H56" s="118" t="e">
        <f t="shared" si="19"/>
        <v>#VALUE!</v>
      </c>
      <c r="I56" s="118"/>
      <c r="J56" s="119" t="e">
        <f t="shared" si="20"/>
        <v>#VALUE!</v>
      </c>
      <c r="K56" s="119" t="str">
        <f t="shared" si="21"/>
        <v xml:space="preserve"> </v>
      </c>
      <c r="L56" s="119" t="str">
        <f t="shared" si="22"/>
        <v xml:space="preserve"> </v>
      </c>
      <c r="M56" s="119" t="str">
        <f t="shared" si="23"/>
        <v xml:space="preserve"> </v>
      </c>
      <c r="N56" s="119" t="str">
        <f t="shared" si="24"/>
        <v xml:space="preserve"> </v>
      </c>
      <c r="O56" s="119" t="e">
        <f t="shared" si="25"/>
        <v>#VALUE!</v>
      </c>
      <c r="P56" s="119" t="e">
        <f t="shared" si="6"/>
        <v>#VALUE!</v>
      </c>
      <c r="R56" s="93" t="str">
        <f t="shared" si="26"/>
        <v xml:space="preserve"> </v>
      </c>
      <c r="S56" s="90" t="str">
        <f t="shared" si="7"/>
        <v xml:space="preserve"> </v>
      </c>
      <c r="T56" s="90" t="str">
        <f t="shared" si="8"/>
        <v xml:space="preserve"> </v>
      </c>
      <c r="U56" s="90" t="str">
        <f t="shared" si="9"/>
        <v xml:space="preserve"> </v>
      </c>
      <c r="V56" s="90" t="str">
        <f t="shared" si="10"/>
        <v xml:space="preserve"> </v>
      </c>
      <c r="W56" s="90" t="str">
        <f t="shared" si="11"/>
        <v/>
      </c>
      <c r="X56" s="90" t="e">
        <f t="shared" si="12"/>
        <v>#VALUE!</v>
      </c>
      <c r="Y56" s="90" t="e">
        <f t="shared" si="13"/>
        <v>#VALUE!</v>
      </c>
      <c r="Z56" s="90" t="e">
        <f t="shared" si="14"/>
        <v>#VALUE!</v>
      </c>
      <c r="AA56" s="90" t="e">
        <f t="shared" si="15"/>
        <v>#VALUE!</v>
      </c>
      <c r="AB56" s="90" t="e">
        <f t="shared" si="16"/>
        <v>#VALUE!</v>
      </c>
      <c r="AC56" s="90" t="e">
        <f t="shared" si="17"/>
        <v>#VALUE!</v>
      </c>
      <c r="AD56" s="364" t="e">
        <f t="shared" si="18"/>
        <v>#VALUE!</v>
      </c>
      <c r="AE56" s="90" t="e">
        <f t="shared" si="27"/>
        <v>#VALUE!</v>
      </c>
    </row>
    <row r="57" spans="1:31">
      <c r="A57" s="392">
        <v>32</v>
      </c>
      <c r="B57" s="95" t="e">
        <f t="shared" si="28"/>
        <v>#VALUE!</v>
      </c>
      <c r="C57" s="122" t="str">
        <f t="shared" si="0"/>
        <v xml:space="preserve"> </v>
      </c>
      <c r="D57" s="122" t="str">
        <f t="shared" si="1"/>
        <v xml:space="preserve"> </v>
      </c>
      <c r="E57" s="122" t="str">
        <f t="shared" si="2"/>
        <v xml:space="preserve"> </v>
      </c>
      <c r="F57" s="122" t="str">
        <f t="shared" si="3"/>
        <v xml:space="preserve"> </v>
      </c>
      <c r="G57" s="117" t="e">
        <f t="shared" si="4"/>
        <v>#VALUE!</v>
      </c>
      <c r="H57" s="118" t="e">
        <f t="shared" si="19"/>
        <v>#VALUE!</v>
      </c>
      <c r="I57" s="118"/>
      <c r="J57" s="119" t="e">
        <f t="shared" si="20"/>
        <v>#VALUE!</v>
      </c>
      <c r="K57" s="119" t="str">
        <f t="shared" si="21"/>
        <v xml:space="preserve"> </v>
      </c>
      <c r="L57" s="119" t="str">
        <f t="shared" si="22"/>
        <v xml:space="preserve"> </v>
      </c>
      <c r="M57" s="119" t="str">
        <f t="shared" si="23"/>
        <v xml:space="preserve"> </v>
      </c>
      <c r="N57" s="119" t="str">
        <f t="shared" si="24"/>
        <v xml:space="preserve"> </v>
      </c>
      <c r="O57" s="119" t="e">
        <f t="shared" si="25"/>
        <v>#VALUE!</v>
      </c>
      <c r="P57" s="119" t="e">
        <f t="shared" si="6"/>
        <v>#VALUE!</v>
      </c>
      <c r="R57" s="93" t="str">
        <f t="shared" si="26"/>
        <v xml:space="preserve"> </v>
      </c>
      <c r="S57" s="90" t="str">
        <f t="shared" si="7"/>
        <v xml:space="preserve"> </v>
      </c>
      <c r="T57" s="90" t="str">
        <f t="shared" si="8"/>
        <v xml:space="preserve"> </v>
      </c>
      <c r="U57" s="90" t="str">
        <f t="shared" si="9"/>
        <v xml:space="preserve"> </v>
      </c>
      <c r="V57" s="90" t="str">
        <f t="shared" si="10"/>
        <v xml:space="preserve"> </v>
      </c>
      <c r="W57" s="90" t="str">
        <f t="shared" si="11"/>
        <v/>
      </c>
      <c r="X57" s="90" t="e">
        <f t="shared" si="12"/>
        <v>#VALUE!</v>
      </c>
      <c r="Y57" s="90" t="e">
        <f t="shared" si="13"/>
        <v>#VALUE!</v>
      </c>
      <c r="Z57" s="90" t="e">
        <f t="shared" si="14"/>
        <v>#VALUE!</v>
      </c>
      <c r="AA57" s="90" t="e">
        <f t="shared" si="15"/>
        <v>#VALUE!</v>
      </c>
      <c r="AB57" s="90" t="e">
        <f t="shared" si="16"/>
        <v>#VALUE!</v>
      </c>
      <c r="AC57" s="90" t="e">
        <f t="shared" si="17"/>
        <v>#VALUE!</v>
      </c>
      <c r="AD57" s="364" t="e">
        <f t="shared" si="18"/>
        <v>#VALUE!</v>
      </c>
      <c r="AE57" s="90" t="e">
        <f t="shared" si="27"/>
        <v>#VALUE!</v>
      </c>
    </row>
    <row r="58" spans="1:31">
      <c r="A58" s="392">
        <v>33</v>
      </c>
      <c r="B58" s="95" t="e">
        <f t="shared" si="28"/>
        <v>#VALUE!</v>
      </c>
      <c r="C58" s="122" t="str">
        <f t="shared" ref="C58:C89" si="29">IF(P_1,SQRT(POWER(SQRT(P_1^2-$T58*$T58)-SIN($U58*PI()/180)*ABS($R58),2)+Db_teor_UT^2)," ")</f>
        <v xml:space="preserve"> </v>
      </c>
      <c r="D58" s="122" t="str">
        <f t="shared" ref="D58:D89" si="30">IF(P_2,SQRT(POWER(SQRT(P_2^2-$T58*$T58)-SIN($U58*PI()/180)*ABS($R58),2)+Db_teor_UT^2)," ")</f>
        <v xml:space="preserve"> </v>
      </c>
      <c r="E58" s="122" t="str">
        <f t="shared" ref="E58:E89" si="31">IF(P_3,SQRT(POWER(SQRT(P_3^2-$T58*$T58)-SIN($U58*PI()/180)*ABS($R58),2)+Db_teor_UT^2)," ")</f>
        <v xml:space="preserve"> </v>
      </c>
      <c r="F58" s="122" t="str">
        <f t="shared" ref="F58:F89" si="32">IF(P_4,SQRT(POWER(SQRT(P_4^2-$T58*$T58)-SIN($U58*PI()/180)*ABS($R58),2)+Db_teor_UT^2)," ")</f>
        <v xml:space="preserve"> </v>
      </c>
      <c r="G58" s="117" t="e">
        <f t="shared" ref="G58:G89" si="33">(Mod._c.*(Z_ut*inv_apt+(H58-1)*PI())+Y58)*COS(ac.*PI()/180)</f>
        <v>#VALUE!</v>
      </c>
      <c r="H58" s="118" t="e">
        <f t="shared" si="19"/>
        <v>#VALUE!</v>
      </c>
      <c r="I58" s="118"/>
      <c r="J58" s="119" t="e">
        <f t="shared" si="20"/>
        <v>#VALUE!</v>
      </c>
      <c r="K58" s="119" t="str">
        <f t="shared" si="21"/>
        <v xml:space="preserve"> </v>
      </c>
      <c r="L58" s="119" t="str">
        <f t="shared" si="22"/>
        <v xml:space="preserve"> </v>
      </c>
      <c r="M58" s="119" t="str">
        <f t="shared" si="23"/>
        <v xml:space="preserve"> </v>
      </c>
      <c r="N58" s="119" t="str">
        <f t="shared" si="24"/>
        <v xml:space="preserve"> </v>
      </c>
      <c r="O58" s="119" t="e">
        <f t="shared" si="25"/>
        <v>#VALUE!</v>
      </c>
      <c r="P58" s="119" t="e">
        <f t="shared" si="6"/>
        <v>#VALUE!</v>
      </c>
      <c r="R58" s="93" t="str">
        <f t="shared" si="26"/>
        <v xml:space="preserve"> </v>
      </c>
      <c r="S58" s="90" t="str">
        <f t="shared" ref="S58:S89" si="34">IF($C$7,R58/($K$9+$K$15)," ")</f>
        <v xml:space="preserve"> </v>
      </c>
      <c r="T58" s="90" t="str">
        <f t="shared" ref="T58:T89" si="35">IF($C$7,$O$7*ABS($K$9)*COS($O$5*PI()/180)," ")</f>
        <v xml:space="preserve"> </v>
      </c>
      <c r="U58" s="90" t="str">
        <f t="shared" ref="U58:U89" si="36">IF($C$7,(ACOS(T58/(S58*ABS($K$9))))*180/PI()," ")</f>
        <v xml:space="preserve"> </v>
      </c>
      <c r="V58" s="90" t="str">
        <f t="shared" ref="V58:V89" si="37">IF($C$7,COS($O$5*PI()/180)*$O$7*$K$15," ")</f>
        <v xml:space="preserve"> </v>
      </c>
      <c r="W58" s="90" t="str">
        <f t="shared" ref="W58:W89" si="38">IF($C$7,SQRT(POWER(C58,2)-POWER($K$17,2))/2,"")</f>
        <v/>
      </c>
      <c r="X58" s="90" t="e">
        <f t="shared" ref="X58:X89" si="39">TAN(U58*PI()/180)-RADIANS(U58)</f>
        <v>#VALUE!</v>
      </c>
      <c r="Y58" s="90" t="e">
        <f t="shared" ref="Y58:Y89" si="40">(PI()*$O$7-$K$19)+(X58-$O$9)*($K$9+$K$15)*$O$7</f>
        <v>#VALUE!</v>
      </c>
      <c r="Z58" s="90" t="e">
        <f t="shared" ref="Z58:Z89" si="41">(Y58-$O$7*PI()/2)/(2*$K$5*TAN($O$5*PI()/180))</f>
        <v>#VALUE!</v>
      </c>
      <c r="AA58" s="90" t="e">
        <f t="shared" ref="AA58:AA89" si="42">$O$7*$K$15+2*Z58*$K$5</f>
        <v>#VALUE!</v>
      </c>
      <c r="AB58" s="90" t="e">
        <f t="shared" ref="AB58:AB89" si="43">ACOS(V58/AA58)*180/PI()</f>
        <v>#VALUE!</v>
      </c>
      <c r="AC58" s="90" t="e">
        <f t="shared" si="17"/>
        <v>#VALUE!</v>
      </c>
      <c r="AD58" s="364" t="e">
        <f t="shared" ref="AD58:AD89" si="44">Z_ut/PI()*(TAN(AB58*PI()/180)-2*Z58/Z_ut*TAN(an*PI()/180)-inv_apt)+0.5</f>
        <v>#VALUE!</v>
      </c>
      <c r="AE58" s="90" t="e">
        <f t="shared" si="27"/>
        <v>#VALUE!</v>
      </c>
    </row>
    <row r="59" spans="1:31">
      <c r="A59" s="392">
        <v>34</v>
      </c>
      <c r="B59" s="95" t="e">
        <f t="shared" si="28"/>
        <v>#VALUE!</v>
      </c>
      <c r="C59" s="122" t="str">
        <f t="shared" si="29"/>
        <v xml:space="preserve"> </v>
      </c>
      <c r="D59" s="122" t="str">
        <f t="shared" si="30"/>
        <v xml:space="preserve"> </v>
      </c>
      <c r="E59" s="122" t="str">
        <f t="shared" si="31"/>
        <v xml:space="preserve"> </v>
      </c>
      <c r="F59" s="122" t="str">
        <f t="shared" si="32"/>
        <v xml:space="preserve"> </v>
      </c>
      <c r="G59" s="117" t="e">
        <f t="shared" si="33"/>
        <v>#VALUE!</v>
      </c>
      <c r="H59" s="118" t="e">
        <f t="shared" si="19"/>
        <v>#VALUE!</v>
      </c>
      <c r="I59" s="118"/>
      <c r="J59" s="119" t="e">
        <f t="shared" si="20"/>
        <v>#VALUE!</v>
      </c>
      <c r="K59" s="119" t="str">
        <f t="shared" ref="K59:K89" si="45">C123</f>
        <v xml:space="preserve"> </v>
      </c>
      <c r="L59" s="119" t="str">
        <f t="shared" ref="L59:L89" si="46">D123</f>
        <v xml:space="preserve"> </v>
      </c>
      <c r="M59" s="119" t="str">
        <f t="shared" ref="M59:M89" si="47">E123</f>
        <v xml:space="preserve"> </v>
      </c>
      <c r="N59" s="119" t="str">
        <f t="shared" ref="N59:N89" si="48">F123</f>
        <v xml:space="preserve"> </v>
      </c>
      <c r="O59" s="119" t="e">
        <f t="shared" ref="O59:O89" si="49">G123</f>
        <v>#VALUE!</v>
      </c>
      <c r="P59" s="119" t="e">
        <f t="shared" si="6"/>
        <v>#VALUE!</v>
      </c>
      <c r="R59" s="93" t="str">
        <f t="shared" ref="R59:R90" si="50">IF($C$7,IF($K$9&gt;0,B59+$K$13,B59-ABS($K$13))," ")</f>
        <v xml:space="preserve"> </v>
      </c>
      <c r="S59" s="90" t="str">
        <f t="shared" si="34"/>
        <v xml:space="preserve"> </v>
      </c>
      <c r="T59" s="90" t="str">
        <f t="shared" si="35"/>
        <v xml:space="preserve"> </v>
      </c>
      <c r="U59" s="90" t="str">
        <f t="shared" si="36"/>
        <v xml:space="preserve"> </v>
      </c>
      <c r="V59" s="90" t="str">
        <f t="shared" si="37"/>
        <v xml:space="preserve"> </v>
      </c>
      <c r="W59" s="90" t="str">
        <f t="shared" si="38"/>
        <v/>
      </c>
      <c r="X59" s="90" t="e">
        <f t="shared" si="39"/>
        <v>#VALUE!</v>
      </c>
      <c r="Y59" s="90" t="e">
        <f t="shared" si="40"/>
        <v>#VALUE!</v>
      </c>
      <c r="Z59" s="90" t="e">
        <f t="shared" si="41"/>
        <v>#VALUE!</v>
      </c>
      <c r="AA59" s="90" t="e">
        <f t="shared" si="42"/>
        <v>#VALUE!</v>
      </c>
      <c r="AB59" s="90" t="e">
        <f t="shared" si="43"/>
        <v>#VALUE!</v>
      </c>
      <c r="AC59" s="90" t="e">
        <f t="shared" si="17"/>
        <v>#VALUE!</v>
      </c>
      <c r="AD59" s="364" t="e">
        <f t="shared" si="44"/>
        <v>#VALUE!</v>
      </c>
      <c r="AE59" s="90" t="e">
        <f t="shared" si="27"/>
        <v>#VALUE!</v>
      </c>
    </row>
    <row r="60" spans="1:31">
      <c r="A60" s="392">
        <v>35</v>
      </c>
      <c r="B60" s="95" t="e">
        <f t="shared" si="28"/>
        <v>#VALUE!</v>
      </c>
      <c r="C60" s="122" t="str">
        <f t="shared" si="29"/>
        <v xml:space="preserve"> </v>
      </c>
      <c r="D60" s="122" t="str">
        <f t="shared" si="30"/>
        <v xml:space="preserve"> </v>
      </c>
      <c r="E60" s="122" t="str">
        <f t="shared" si="31"/>
        <v xml:space="preserve"> </v>
      </c>
      <c r="F60" s="122" t="str">
        <f t="shared" si="32"/>
        <v xml:space="preserve"> </v>
      </c>
      <c r="G60" s="117" t="e">
        <f t="shared" si="33"/>
        <v>#VALUE!</v>
      </c>
      <c r="H60" s="118" t="e">
        <f t="shared" si="19"/>
        <v>#VALUE!</v>
      </c>
      <c r="I60" s="118"/>
      <c r="J60" s="119" t="e">
        <f t="shared" si="20"/>
        <v>#VALUE!</v>
      </c>
      <c r="K60" s="119" t="str">
        <f t="shared" si="45"/>
        <v xml:space="preserve"> </v>
      </c>
      <c r="L60" s="119" t="str">
        <f t="shared" si="46"/>
        <v xml:space="preserve"> </v>
      </c>
      <c r="M60" s="119" t="str">
        <f t="shared" si="47"/>
        <v xml:space="preserve"> </v>
      </c>
      <c r="N60" s="119" t="str">
        <f t="shared" si="48"/>
        <v xml:space="preserve"> </v>
      </c>
      <c r="O60" s="119" t="e">
        <f t="shared" si="49"/>
        <v>#VALUE!</v>
      </c>
      <c r="P60" s="119" t="e">
        <f t="shared" si="6"/>
        <v>#VALUE!</v>
      </c>
      <c r="R60" s="93" t="str">
        <f t="shared" si="50"/>
        <v xml:space="preserve"> </v>
      </c>
      <c r="S60" s="90" t="str">
        <f t="shared" si="34"/>
        <v xml:space="preserve"> </v>
      </c>
      <c r="T60" s="90" t="str">
        <f t="shared" si="35"/>
        <v xml:space="preserve"> </v>
      </c>
      <c r="U60" s="90" t="str">
        <f t="shared" si="36"/>
        <v xml:space="preserve"> </v>
      </c>
      <c r="V60" s="90" t="str">
        <f t="shared" si="37"/>
        <v xml:space="preserve"> </v>
      </c>
      <c r="W60" s="90" t="str">
        <f t="shared" si="38"/>
        <v/>
      </c>
      <c r="X60" s="90" t="e">
        <f t="shared" si="39"/>
        <v>#VALUE!</v>
      </c>
      <c r="Y60" s="90" t="e">
        <f t="shared" si="40"/>
        <v>#VALUE!</v>
      </c>
      <c r="Z60" s="90" t="e">
        <f t="shared" si="41"/>
        <v>#VALUE!</v>
      </c>
      <c r="AA60" s="90" t="e">
        <f t="shared" si="42"/>
        <v>#VALUE!</v>
      </c>
      <c r="AB60" s="90" t="e">
        <f t="shared" si="43"/>
        <v>#VALUE!</v>
      </c>
      <c r="AC60" s="90" t="e">
        <f t="shared" si="17"/>
        <v>#VALUE!</v>
      </c>
      <c r="AD60" s="364" t="e">
        <f t="shared" si="44"/>
        <v>#VALUE!</v>
      </c>
      <c r="AE60" s="90" t="e">
        <f t="shared" si="27"/>
        <v>#VALUE!</v>
      </c>
    </row>
    <row r="61" spans="1:31">
      <c r="A61" s="392">
        <v>36</v>
      </c>
      <c r="B61" s="95" t="e">
        <f t="shared" si="28"/>
        <v>#VALUE!</v>
      </c>
      <c r="C61" s="122" t="str">
        <f t="shared" si="29"/>
        <v xml:space="preserve"> </v>
      </c>
      <c r="D61" s="122" t="str">
        <f t="shared" si="30"/>
        <v xml:space="preserve"> </v>
      </c>
      <c r="E61" s="122" t="str">
        <f t="shared" si="31"/>
        <v xml:space="preserve"> </v>
      </c>
      <c r="F61" s="122" t="str">
        <f t="shared" si="32"/>
        <v xml:space="preserve"> </v>
      </c>
      <c r="G61" s="117" t="e">
        <f t="shared" si="33"/>
        <v>#VALUE!</v>
      </c>
      <c r="H61" s="118" t="e">
        <f t="shared" si="19"/>
        <v>#VALUE!</v>
      </c>
      <c r="I61" s="118"/>
      <c r="J61" s="119" t="e">
        <f t="shared" si="20"/>
        <v>#VALUE!</v>
      </c>
      <c r="K61" s="119" t="str">
        <f t="shared" si="45"/>
        <v xml:space="preserve"> </v>
      </c>
      <c r="L61" s="119" t="str">
        <f t="shared" si="46"/>
        <v xml:space="preserve"> </v>
      </c>
      <c r="M61" s="119" t="str">
        <f t="shared" si="47"/>
        <v xml:space="preserve"> </v>
      </c>
      <c r="N61" s="119" t="str">
        <f t="shared" si="48"/>
        <v xml:space="preserve"> </v>
      </c>
      <c r="O61" s="119" t="e">
        <f t="shared" si="49"/>
        <v>#VALUE!</v>
      </c>
      <c r="P61" s="119" t="e">
        <f t="shared" si="6"/>
        <v>#VALUE!</v>
      </c>
      <c r="R61" s="93" t="str">
        <f t="shared" si="50"/>
        <v xml:space="preserve"> </v>
      </c>
      <c r="S61" s="90" t="str">
        <f t="shared" si="34"/>
        <v xml:space="preserve"> </v>
      </c>
      <c r="T61" s="90" t="str">
        <f t="shared" si="35"/>
        <v xml:space="preserve"> </v>
      </c>
      <c r="U61" s="90" t="str">
        <f t="shared" si="36"/>
        <v xml:space="preserve"> </v>
      </c>
      <c r="V61" s="90" t="str">
        <f t="shared" si="37"/>
        <v xml:space="preserve"> </v>
      </c>
      <c r="W61" s="90" t="str">
        <f t="shared" si="38"/>
        <v/>
      </c>
      <c r="X61" s="90" t="e">
        <f t="shared" si="39"/>
        <v>#VALUE!</v>
      </c>
      <c r="Y61" s="90" t="e">
        <f t="shared" si="40"/>
        <v>#VALUE!</v>
      </c>
      <c r="Z61" s="90" t="e">
        <f t="shared" si="41"/>
        <v>#VALUE!</v>
      </c>
      <c r="AA61" s="90" t="e">
        <f t="shared" si="42"/>
        <v>#VALUE!</v>
      </c>
      <c r="AB61" s="90" t="e">
        <f t="shared" si="43"/>
        <v>#VALUE!</v>
      </c>
      <c r="AC61" s="90" t="e">
        <f t="shared" si="17"/>
        <v>#VALUE!</v>
      </c>
      <c r="AD61" s="364" t="e">
        <f t="shared" si="44"/>
        <v>#VALUE!</v>
      </c>
      <c r="AE61" s="90" t="e">
        <f t="shared" si="27"/>
        <v>#VALUE!</v>
      </c>
    </row>
    <row r="62" spans="1:31">
      <c r="A62" s="392">
        <v>37</v>
      </c>
      <c r="B62" s="95" t="e">
        <f t="shared" si="28"/>
        <v>#VALUE!</v>
      </c>
      <c r="C62" s="122" t="str">
        <f t="shared" si="29"/>
        <v xml:space="preserve"> </v>
      </c>
      <c r="D62" s="122" t="str">
        <f t="shared" si="30"/>
        <v xml:space="preserve"> </v>
      </c>
      <c r="E62" s="122" t="str">
        <f t="shared" si="31"/>
        <v xml:space="preserve"> </v>
      </c>
      <c r="F62" s="122" t="str">
        <f t="shared" si="32"/>
        <v xml:space="preserve"> </v>
      </c>
      <c r="G62" s="117" t="e">
        <f t="shared" si="33"/>
        <v>#VALUE!</v>
      </c>
      <c r="H62" s="118" t="e">
        <f t="shared" si="19"/>
        <v>#VALUE!</v>
      </c>
      <c r="I62" s="118"/>
      <c r="J62" s="119" t="e">
        <f t="shared" si="20"/>
        <v>#VALUE!</v>
      </c>
      <c r="K62" s="119" t="str">
        <f t="shared" si="45"/>
        <v xml:space="preserve"> </v>
      </c>
      <c r="L62" s="119" t="str">
        <f t="shared" si="46"/>
        <v xml:space="preserve"> </v>
      </c>
      <c r="M62" s="119" t="str">
        <f t="shared" si="47"/>
        <v xml:space="preserve"> </v>
      </c>
      <c r="N62" s="119" t="str">
        <f t="shared" si="48"/>
        <v xml:space="preserve"> </v>
      </c>
      <c r="O62" s="119" t="e">
        <f t="shared" si="49"/>
        <v>#VALUE!</v>
      </c>
      <c r="P62" s="119" t="e">
        <f t="shared" si="6"/>
        <v>#VALUE!</v>
      </c>
      <c r="R62" s="93" t="str">
        <f t="shared" si="50"/>
        <v xml:space="preserve"> </v>
      </c>
      <c r="S62" s="90" t="str">
        <f t="shared" si="34"/>
        <v xml:space="preserve"> </v>
      </c>
      <c r="T62" s="90" t="str">
        <f t="shared" si="35"/>
        <v xml:space="preserve"> </v>
      </c>
      <c r="U62" s="90" t="str">
        <f t="shared" si="36"/>
        <v xml:space="preserve"> </v>
      </c>
      <c r="V62" s="90" t="str">
        <f t="shared" si="37"/>
        <v xml:space="preserve"> </v>
      </c>
      <c r="W62" s="90" t="str">
        <f t="shared" si="38"/>
        <v/>
      </c>
      <c r="X62" s="90" t="e">
        <f t="shared" si="39"/>
        <v>#VALUE!</v>
      </c>
      <c r="Y62" s="90" t="e">
        <f t="shared" si="40"/>
        <v>#VALUE!</v>
      </c>
      <c r="Z62" s="90" t="e">
        <f t="shared" si="41"/>
        <v>#VALUE!</v>
      </c>
      <c r="AA62" s="90" t="e">
        <f t="shared" si="42"/>
        <v>#VALUE!</v>
      </c>
      <c r="AB62" s="90" t="e">
        <f t="shared" si="43"/>
        <v>#VALUE!</v>
      </c>
      <c r="AC62" s="90" t="e">
        <f t="shared" si="17"/>
        <v>#VALUE!</v>
      </c>
      <c r="AD62" s="364" t="e">
        <f t="shared" si="44"/>
        <v>#VALUE!</v>
      </c>
      <c r="AE62" s="90" t="e">
        <f t="shared" si="27"/>
        <v>#VALUE!</v>
      </c>
    </row>
    <row r="63" spans="1:31">
      <c r="A63" s="392">
        <v>38</v>
      </c>
      <c r="B63" s="95" t="e">
        <f t="shared" si="28"/>
        <v>#VALUE!</v>
      </c>
      <c r="C63" s="122" t="str">
        <f t="shared" si="29"/>
        <v xml:space="preserve"> </v>
      </c>
      <c r="D63" s="122" t="str">
        <f t="shared" si="30"/>
        <v xml:space="preserve"> </v>
      </c>
      <c r="E63" s="122" t="str">
        <f t="shared" si="31"/>
        <v xml:space="preserve"> </v>
      </c>
      <c r="F63" s="122" t="str">
        <f t="shared" si="32"/>
        <v xml:space="preserve"> </v>
      </c>
      <c r="G63" s="117" t="e">
        <f t="shared" si="33"/>
        <v>#VALUE!</v>
      </c>
      <c r="H63" s="118" t="e">
        <f t="shared" si="19"/>
        <v>#VALUE!</v>
      </c>
      <c r="I63" s="118"/>
      <c r="J63" s="119" t="e">
        <f t="shared" si="20"/>
        <v>#VALUE!</v>
      </c>
      <c r="K63" s="119" t="str">
        <f t="shared" si="45"/>
        <v xml:space="preserve"> </v>
      </c>
      <c r="L63" s="119" t="str">
        <f t="shared" si="46"/>
        <v xml:space="preserve"> </v>
      </c>
      <c r="M63" s="119" t="str">
        <f t="shared" si="47"/>
        <v xml:space="preserve"> </v>
      </c>
      <c r="N63" s="119" t="str">
        <f t="shared" si="48"/>
        <v xml:space="preserve"> </v>
      </c>
      <c r="O63" s="119" t="e">
        <f t="shared" si="49"/>
        <v>#VALUE!</v>
      </c>
      <c r="P63" s="119" t="e">
        <f t="shared" si="6"/>
        <v>#VALUE!</v>
      </c>
      <c r="R63" s="93" t="str">
        <f t="shared" si="50"/>
        <v xml:space="preserve"> </v>
      </c>
      <c r="S63" s="90" t="str">
        <f t="shared" si="34"/>
        <v xml:space="preserve"> </v>
      </c>
      <c r="T63" s="90" t="str">
        <f t="shared" si="35"/>
        <v xml:space="preserve"> </v>
      </c>
      <c r="U63" s="90" t="str">
        <f t="shared" si="36"/>
        <v xml:space="preserve"> </v>
      </c>
      <c r="V63" s="90" t="str">
        <f t="shared" si="37"/>
        <v xml:space="preserve"> </v>
      </c>
      <c r="W63" s="90" t="str">
        <f t="shared" si="38"/>
        <v/>
      </c>
      <c r="X63" s="90" t="e">
        <f t="shared" si="39"/>
        <v>#VALUE!</v>
      </c>
      <c r="Y63" s="90" t="e">
        <f t="shared" si="40"/>
        <v>#VALUE!</v>
      </c>
      <c r="Z63" s="90" t="e">
        <f t="shared" si="41"/>
        <v>#VALUE!</v>
      </c>
      <c r="AA63" s="90" t="e">
        <f t="shared" si="42"/>
        <v>#VALUE!</v>
      </c>
      <c r="AB63" s="90" t="e">
        <f t="shared" si="43"/>
        <v>#VALUE!</v>
      </c>
      <c r="AC63" s="90" t="e">
        <f t="shared" si="17"/>
        <v>#VALUE!</v>
      </c>
      <c r="AD63" s="364" t="e">
        <f t="shared" si="44"/>
        <v>#VALUE!</v>
      </c>
      <c r="AE63" s="90" t="e">
        <f t="shared" si="27"/>
        <v>#VALUE!</v>
      </c>
    </row>
    <row r="64" spans="1:31">
      <c r="A64" s="392">
        <v>39</v>
      </c>
      <c r="B64" s="95" t="e">
        <f t="shared" si="28"/>
        <v>#VALUE!</v>
      </c>
      <c r="C64" s="122" t="str">
        <f t="shared" si="29"/>
        <v xml:space="preserve"> </v>
      </c>
      <c r="D64" s="122" t="str">
        <f t="shared" si="30"/>
        <v xml:space="preserve"> </v>
      </c>
      <c r="E64" s="122" t="str">
        <f t="shared" si="31"/>
        <v xml:space="preserve"> </v>
      </c>
      <c r="F64" s="122" t="str">
        <f t="shared" si="32"/>
        <v xml:space="preserve"> </v>
      </c>
      <c r="G64" s="117" t="e">
        <f t="shared" si="33"/>
        <v>#VALUE!</v>
      </c>
      <c r="H64" s="118" t="e">
        <f t="shared" si="19"/>
        <v>#VALUE!</v>
      </c>
      <c r="I64" s="118"/>
      <c r="J64" s="119" t="e">
        <f t="shared" si="20"/>
        <v>#VALUE!</v>
      </c>
      <c r="K64" s="119" t="str">
        <f t="shared" si="45"/>
        <v xml:space="preserve"> </v>
      </c>
      <c r="L64" s="119" t="str">
        <f t="shared" si="46"/>
        <v xml:space="preserve"> </v>
      </c>
      <c r="M64" s="119" t="str">
        <f t="shared" si="47"/>
        <v xml:space="preserve"> </v>
      </c>
      <c r="N64" s="119" t="str">
        <f t="shared" si="48"/>
        <v xml:space="preserve"> </v>
      </c>
      <c r="O64" s="119" t="e">
        <f t="shared" si="49"/>
        <v>#VALUE!</v>
      </c>
      <c r="P64" s="119" t="e">
        <f t="shared" si="6"/>
        <v>#VALUE!</v>
      </c>
      <c r="R64" s="93" t="str">
        <f t="shared" si="50"/>
        <v xml:space="preserve"> </v>
      </c>
      <c r="S64" s="90" t="str">
        <f t="shared" si="34"/>
        <v xml:space="preserve"> </v>
      </c>
      <c r="T64" s="90" t="str">
        <f t="shared" si="35"/>
        <v xml:space="preserve"> </v>
      </c>
      <c r="U64" s="90" t="str">
        <f t="shared" si="36"/>
        <v xml:space="preserve"> </v>
      </c>
      <c r="V64" s="90" t="str">
        <f t="shared" si="37"/>
        <v xml:space="preserve"> </v>
      </c>
      <c r="W64" s="90" t="str">
        <f t="shared" si="38"/>
        <v/>
      </c>
      <c r="X64" s="90" t="e">
        <f t="shared" si="39"/>
        <v>#VALUE!</v>
      </c>
      <c r="Y64" s="90" t="e">
        <f t="shared" si="40"/>
        <v>#VALUE!</v>
      </c>
      <c r="Z64" s="90" t="e">
        <f t="shared" si="41"/>
        <v>#VALUE!</v>
      </c>
      <c r="AA64" s="90" t="e">
        <f t="shared" si="42"/>
        <v>#VALUE!</v>
      </c>
      <c r="AB64" s="90" t="e">
        <f t="shared" si="43"/>
        <v>#VALUE!</v>
      </c>
      <c r="AC64" s="90" t="e">
        <f t="shared" si="17"/>
        <v>#VALUE!</v>
      </c>
      <c r="AD64" s="364" t="e">
        <f t="shared" si="44"/>
        <v>#VALUE!</v>
      </c>
      <c r="AE64" s="90" t="e">
        <f t="shared" si="27"/>
        <v>#VALUE!</v>
      </c>
    </row>
    <row r="65" spans="1:31">
      <c r="A65" s="392">
        <v>40</v>
      </c>
      <c r="B65" s="95" t="e">
        <f t="shared" si="28"/>
        <v>#VALUE!</v>
      </c>
      <c r="C65" s="122" t="str">
        <f t="shared" si="29"/>
        <v xml:space="preserve"> </v>
      </c>
      <c r="D65" s="122" t="str">
        <f t="shared" si="30"/>
        <v xml:space="preserve"> </v>
      </c>
      <c r="E65" s="122" t="str">
        <f t="shared" si="31"/>
        <v xml:space="preserve"> </v>
      </c>
      <c r="F65" s="122" t="str">
        <f t="shared" si="32"/>
        <v xml:space="preserve"> </v>
      </c>
      <c r="G65" s="117" t="e">
        <f t="shared" si="33"/>
        <v>#VALUE!</v>
      </c>
      <c r="H65" s="118" t="e">
        <f t="shared" si="19"/>
        <v>#VALUE!</v>
      </c>
      <c r="I65" s="118"/>
      <c r="J65" s="119" t="e">
        <f t="shared" si="20"/>
        <v>#VALUE!</v>
      </c>
      <c r="K65" s="119" t="str">
        <f t="shared" si="45"/>
        <v xml:space="preserve"> </v>
      </c>
      <c r="L65" s="119" t="str">
        <f t="shared" si="46"/>
        <v xml:space="preserve"> </v>
      </c>
      <c r="M65" s="119" t="str">
        <f t="shared" si="47"/>
        <v xml:space="preserve"> </v>
      </c>
      <c r="N65" s="119" t="str">
        <f t="shared" si="48"/>
        <v xml:space="preserve"> </v>
      </c>
      <c r="O65" s="119" t="e">
        <f t="shared" si="49"/>
        <v>#VALUE!</v>
      </c>
      <c r="P65" s="119" t="e">
        <f t="shared" si="6"/>
        <v>#VALUE!</v>
      </c>
      <c r="R65" s="93" t="str">
        <f t="shared" si="50"/>
        <v xml:space="preserve"> </v>
      </c>
      <c r="S65" s="90" t="str">
        <f t="shared" si="34"/>
        <v xml:space="preserve"> </v>
      </c>
      <c r="T65" s="90" t="str">
        <f t="shared" si="35"/>
        <v xml:space="preserve"> </v>
      </c>
      <c r="U65" s="90" t="str">
        <f t="shared" si="36"/>
        <v xml:space="preserve"> </v>
      </c>
      <c r="V65" s="90" t="str">
        <f t="shared" si="37"/>
        <v xml:space="preserve"> </v>
      </c>
      <c r="W65" s="90" t="str">
        <f t="shared" si="38"/>
        <v/>
      </c>
      <c r="X65" s="90" t="e">
        <f t="shared" si="39"/>
        <v>#VALUE!</v>
      </c>
      <c r="Y65" s="90" t="e">
        <f t="shared" si="40"/>
        <v>#VALUE!</v>
      </c>
      <c r="Z65" s="90" t="e">
        <f t="shared" si="41"/>
        <v>#VALUE!</v>
      </c>
      <c r="AA65" s="90" t="e">
        <f t="shared" si="42"/>
        <v>#VALUE!</v>
      </c>
      <c r="AB65" s="90" t="e">
        <f t="shared" si="43"/>
        <v>#VALUE!</v>
      </c>
      <c r="AC65" s="90" t="e">
        <f t="shared" si="17"/>
        <v>#VALUE!</v>
      </c>
      <c r="AD65" s="364" t="e">
        <f t="shared" si="44"/>
        <v>#VALUE!</v>
      </c>
      <c r="AE65" s="90" t="e">
        <f t="shared" si="27"/>
        <v>#VALUE!</v>
      </c>
    </row>
    <row r="66" spans="1:31">
      <c r="A66" s="392">
        <v>41</v>
      </c>
      <c r="B66" s="95" t="e">
        <f t="shared" si="28"/>
        <v>#VALUE!</v>
      </c>
      <c r="C66" s="122" t="str">
        <f t="shared" si="29"/>
        <v xml:space="preserve"> </v>
      </c>
      <c r="D66" s="122" t="str">
        <f t="shared" si="30"/>
        <v xml:space="preserve"> </v>
      </c>
      <c r="E66" s="122" t="str">
        <f t="shared" si="31"/>
        <v xml:space="preserve"> </v>
      </c>
      <c r="F66" s="122" t="str">
        <f t="shared" si="32"/>
        <v xml:space="preserve"> </v>
      </c>
      <c r="G66" s="117" t="e">
        <f t="shared" si="33"/>
        <v>#VALUE!</v>
      </c>
      <c r="H66" s="118" t="e">
        <f t="shared" si="19"/>
        <v>#VALUE!</v>
      </c>
      <c r="I66" s="118"/>
      <c r="J66" s="119" t="e">
        <f t="shared" si="20"/>
        <v>#VALUE!</v>
      </c>
      <c r="K66" s="119" t="str">
        <f t="shared" si="45"/>
        <v xml:space="preserve"> </v>
      </c>
      <c r="L66" s="119" t="str">
        <f t="shared" si="46"/>
        <v xml:space="preserve"> </v>
      </c>
      <c r="M66" s="119" t="str">
        <f t="shared" si="47"/>
        <v xml:space="preserve"> </v>
      </c>
      <c r="N66" s="119" t="str">
        <f t="shared" si="48"/>
        <v xml:space="preserve"> </v>
      </c>
      <c r="O66" s="119" t="e">
        <f t="shared" si="49"/>
        <v>#VALUE!</v>
      </c>
      <c r="P66" s="119" t="e">
        <f t="shared" si="6"/>
        <v>#VALUE!</v>
      </c>
      <c r="R66" s="93" t="str">
        <f t="shared" si="50"/>
        <v xml:space="preserve"> </v>
      </c>
      <c r="S66" s="90" t="str">
        <f t="shared" si="34"/>
        <v xml:space="preserve"> </v>
      </c>
      <c r="T66" s="90" t="str">
        <f t="shared" si="35"/>
        <v xml:space="preserve"> </v>
      </c>
      <c r="U66" s="90" t="str">
        <f t="shared" si="36"/>
        <v xml:space="preserve"> </v>
      </c>
      <c r="V66" s="90" t="str">
        <f t="shared" si="37"/>
        <v xml:space="preserve"> </v>
      </c>
      <c r="W66" s="90" t="str">
        <f t="shared" si="38"/>
        <v/>
      </c>
      <c r="X66" s="90" t="e">
        <f t="shared" si="39"/>
        <v>#VALUE!</v>
      </c>
      <c r="Y66" s="90" t="e">
        <f t="shared" si="40"/>
        <v>#VALUE!</v>
      </c>
      <c r="Z66" s="90" t="e">
        <f t="shared" si="41"/>
        <v>#VALUE!</v>
      </c>
      <c r="AA66" s="90" t="e">
        <f t="shared" si="42"/>
        <v>#VALUE!</v>
      </c>
      <c r="AB66" s="90" t="e">
        <f t="shared" si="43"/>
        <v>#VALUE!</v>
      </c>
      <c r="AC66" s="90" t="e">
        <f t="shared" si="17"/>
        <v>#VALUE!</v>
      </c>
      <c r="AD66" s="364" t="e">
        <f t="shared" si="44"/>
        <v>#VALUE!</v>
      </c>
      <c r="AE66" s="90" t="e">
        <f t="shared" si="27"/>
        <v>#VALUE!</v>
      </c>
    </row>
    <row r="67" spans="1:31">
      <c r="A67" s="392">
        <v>42</v>
      </c>
      <c r="B67" s="95" t="e">
        <f t="shared" si="28"/>
        <v>#VALUE!</v>
      </c>
      <c r="C67" s="122" t="str">
        <f t="shared" si="29"/>
        <v xml:space="preserve"> </v>
      </c>
      <c r="D67" s="122" t="str">
        <f t="shared" si="30"/>
        <v xml:space="preserve"> </v>
      </c>
      <c r="E67" s="122" t="str">
        <f t="shared" si="31"/>
        <v xml:space="preserve"> </v>
      </c>
      <c r="F67" s="122" t="str">
        <f t="shared" si="32"/>
        <v xml:space="preserve"> </v>
      </c>
      <c r="G67" s="117" t="e">
        <f t="shared" si="33"/>
        <v>#VALUE!</v>
      </c>
      <c r="H67" s="118" t="e">
        <f t="shared" si="19"/>
        <v>#VALUE!</v>
      </c>
      <c r="I67" s="118"/>
      <c r="J67" s="119" t="e">
        <f t="shared" si="20"/>
        <v>#VALUE!</v>
      </c>
      <c r="K67" s="119" t="str">
        <f t="shared" si="45"/>
        <v xml:space="preserve"> </v>
      </c>
      <c r="L67" s="119" t="str">
        <f t="shared" si="46"/>
        <v xml:space="preserve"> </v>
      </c>
      <c r="M67" s="119" t="str">
        <f t="shared" si="47"/>
        <v xml:space="preserve"> </v>
      </c>
      <c r="N67" s="119" t="str">
        <f t="shared" si="48"/>
        <v xml:space="preserve"> </v>
      </c>
      <c r="O67" s="119" t="e">
        <f t="shared" si="49"/>
        <v>#VALUE!</v>
      </c>
      <c r="P67" s="119" t="e">
        <f t="shared" si="6"/>
        <v>#VALUE!</v>
      </c>
      <c r="R67" s="93" t="str">
        <f t="shared" si="50"/>
        <v xml:space="preserve"> </v>
      </c>
      <c r="S67" s="90" t="str">
        <f t="shared" si="34"/>
        <v xml:space="preserve"> </v>
      </c>
      <c r="T67" s="90" t="str">
        <f t="shared" si="35"/>
        <v xml:space="preserve"> </v>
      </c>
      <c r="U67" s="90" t="str">
        <f t="shared" si="36"/>
        <v xml:space="preserve"> </v>
      </c>
      <c r="V67" s="90" t="str">
        <f t="shared" si="37"/>
        <v xml:space="preserve"> </v>
      </c>
      <c r="W67" s="90" t="str">
        <f t="shared" si="38"/>
        <v/>
      </c>
      <c r="X67" s="90" t="e">
        <f t="shared" si="39"/>
        <v>#VALUE!</v>
      </c>
      <c r="Y67" s="90" t="e">
        <f t="shared" si="40"/>
        <v>#VALUE!</v>
      </c>
      <c r="Z67" s="90" t="e">
        <f t="shared" si="41"/>
        <v>#VALUE!</v>
      </c>
      <c r="AA67" s="90" t="e">
        <f t="shared" si="42"/>
        <v>#VALUE!</v>
      </c>
      <c r="AB67" s="90" t="e">
        <f t="shared" si="43"/>
        <v>#VALUE!</v>
      </c>
      <c r="AC67" s="90" t="e">
        <f t="shared" si="17"/>
        <v>#VALUE!</v>
      </c>
      <c r="AD67" s="364" t="e">
        <f t="shared" si="44"/>
        <v>#VALUE!</v>
      </c>
      <c r="AE67" s="90" t="e">
        <f t="shared" si="27"/>
        <v>#VALUE!</v>
      </c>
    </row>
    <row r="68" spans="1:31">
      <c r="A68" s="392">
        <v>43</v>
      </c>
      <c r="B68" s="95" t="e">
        <f t="shared" si="28"/>
        <v>#VALUE!</v>
      </c>
      <c r="C68" s="122" t="str">
        <f t="shared" si="29"/>
        <v xml:space="preserve"> </v>
      </c>
      <c r="D68" s="122" t="str">
        <f t="shared" si="30"/>
        <v xml:space="preserve"> </v>
      </c>
      <c r="E68" s="122" t="str">
        <f t="shared" si="31"/>
        <v xml:space="preserve"> </v>
      </c>
      <c r="F68" s="122" t="str">
        <f t="shared" si="32"/>
        <v xml:space="preserve"> </v>
      </c>
      <c r="G68" s="117" t="e">
        <f t="shared" si="33"/>
        <v>#VALUE!</v>
      </c>
      <c r="H68" s="118" t="e">
        <f t="shared" si="19"/>
        <v>#VALUE!</v>
      </c>
      <c r="I68" s="118"/>
      <c r="J68" s="119" t="e">
        <f t="shared" si="20"/>
        <v>#VALUE!</v>
      </c>
      <c r="K68" s="119" t="str">
        <f t="shared" si="45"/>
        <v xml:space="preserve"> </v>
      </c>
      <c r="L68" s="119" t="str">
        <f t="shared" si="46"/>
        <v xml:space="preserve"> </v>
      </c>
      <c r="M68" s="119" t="str">
        <f t="shared" si="47"/>
        <v xml:space="preserve"> </v>
      </c>
      <c r="N68" s="119" t="str">
        <f t="shared" si="48"/>
        <v xml:space="preserve"> </v>
      </c>
      <c r="O68" s="119" t="e">
        <f t="shared" si="49"/>
        <v>#VALUE!</v>
      </c>
      <c r="P68" s="119">
        <f t="shared" si="6"/>
        <v>0</v>
      </c>
      <c r="R68" s="93" t="str">
        <f t="shared" si="50"/>
        <v xml:space="preserve"> </v>
      </c>
      <c r="S68" s="90" t="str">
        <f t="shared" si="34"/>
        <v xml:space="preserve"> </v>
      </c>
      <c r="T68" s="90" t="str">
        <f t="shared" si="35"/>
        <v xml:space="preserve"> </v>
      </c>
      <c r="U68" s="90" t="str">
        <f t="shared" si="36"/>
        <v xml:space="preserve"> </v>
      </c>
      <c r="V68" s="90" t="str">
        <f t="shared" si="37"/>
        <v xml:space="preserve"> </v>
      </c>
      <c r="W68" s="90" t="str">
        <f t="shared" si="38"/>
        <v/>
      </c>
      <c r="X68" s="90" t="e">
        <f t="shared" si="39"/>
        <v>#VALUE!</v>
      </c>
      <c r="Y68" s="90" t="e">
        <f t="shared" si="40"/>
        <v>#VALUE!</v>
      </c>
      <c r="Z68" s="90" t="e">
        <f t="shared" si="41"/>
        <v>#VALUE!</v>
      </c>
      <c r="AA68" s="90" t="e">
        <f t="shared" si="42"/>
        <v>#VALUE!</v>
      </c>
      <c r="AB68" s="90" t="e">
        <f t="shared" si="43"/>
        <v>#VALUE!</v>
      </c>
      <c r="AC68" s="90" t="e">
        <f t="shared" si="17"/>
        <v>#VALUE!</v>
      </c>
      <c r="AD68" s="364" t="e">
        <f t="shared" si="44"/>
        <v>#VALUE!</v>
      </c>
      <c r="AE68" s="90" t="e">
        <f t="shared" si="27"/>
        <v>#VALUE!</v>
      </c>
    </row>
    <row r="69" spans="1:31">
      <c r="A69" s="392">
        <v>44</v>
      </c>
      <c r="B69" s="95" t="e">
        <f t="shared" si="28"/>
        <v>#VALUE!</v>
      </c>
      <c r="C69" s="122" t="str">
        <f t="shared" si="29"/>
        <v xml:space="preserve"> </v>
      </c>
      <c r="D69" s="122" t="str">
        <f t="shared" si="30"/>
        <v xml:space="preserve"> </v>
      </c>
      <c r="E69" s="122" t="str">
        <f t="shared" si="31"/>
        <v xml:space="preserve"> </v>
      </c>
      <c r="F69" s="122" t="str">
        <f t="shared" si="32"/>
        <v xml:space="preserve"> </v>
      </c>
      <c r="G69" s="117" t="e">
        <f t="shared" si="33"/>
        <v>#VALUE!</v>
      </c>
      <c r="H69" s="118" t="e">
        <f t="shared" si="19"/>
        <v>#VALUE!</v>
      </c>
      <c r="I69" s="118"/>
      <c r="J69" s="119" t="e">
        <f t="shared" si="20"/>
        <v>#VALUE!</v>
      </c>
      <c r="K69" s="119" t="str">
        <f t="shared" si="45"/>
        <v xml:space="preserve"> </v>
      </c>
      <c r="L69" s="119" t="str">
        <f t="shared" si="46"/>
        <v xml:space="preserve"> </v>
      </c>
      <c r="M69" s="119" t="str">
        <f t="shared" si="47"/>
        <v xml:space="preserve"> </v>
      </c>
      <c r="N69" s="119" t="str">
        <f t="shared" si="48"/>
        <v xml:space="preserve"> </v>
      </c>
      <c r="O69" s="119" t="e">
        <f t="shared" si="49"/>
        <v>#VALUE!</v>
      </c>
      <c r="P69" s="119">
        <f t="shared" si="6"/>
        <v>0</v>
      </c>
      <c r="R69" s="93" t="str">
        <f t="shared" si="50"/>
        <v xml:space="preserve"> </v>
      </c>
      <c r="S69" s="90" t="str">
        <f t="shared" si="34"/>
        <v xml:space="preserve"> </v>
      </c>
      <c r="T69" s="90" t="str">
        <f t="shared" si="35"/>
        <v xml:space="preserve"> </v>
      </c>
      <c r="U69" s="90" t="str">
        <f t="shared" si="36"/>
        <v xml:space="preserve"> </v>
      </c>
      <c r="V69" s="90" t="str">
        <f t="shared" si="37"/>
        <v xml:space="preserve"> </v>
      </c>
      <c r="W69" s="90" t="str">
        <f t="shared" si="38"/>
        <v/>
      </c>
      <c r="X69" s="90" t="e">
        <f t="shared" si="39"/>
        <v>#VALUE!</v>
      </c>
      <c r="Y69" s="90" t="e">
        <f t="shared" si="40"/>
        <v>#VALUE!</v>
      </c>
      <c r="Z69" s="90" t="e">
        <f t="shared" si="41"/>
        <v>#VALUE!</v>
      </c>
      <c r="AA69" s="90" t="e">
        <f t="shared" si="42"/>
        <v>#VALUE!</v>
      </c>
      <c r="AB69" s="90" t="e">
        <f t="shared" si="43"/>
        <v>#VALUE!</v>
      </c>
      <c r="AC69" s="90" t="e">
        <f t="shared" si="17"/>
        <v>#VALUE!</v>
      </c>
      <c r="AD69" s="364" t="e">
        <f t="shared" si="44"/>
        <v>#VALUE!</v>
      </c>
      <c r="AE69" s="90" t="e">
        <f t="shared" si="27"/>
        <v>#VALUE!</v>
      </c>
    </row>
    <row r="70" spans="1:31">
      <c r="A70" s="392">
        <v>45</v>
      </c>
      <c r="B70" s="95" t="e">
        <f t="shared" si="28"/>
        <v>#VALUE!</v>
      </c>
      <c r="C70" s="122" t="str">
        <f t="shared" si="29"/>
        <v xml:space="preserve"> </v>
      </c>
      <c r="D70" s="122" t="str">
        <f t="shared" si="30"/>
        <v xml:space="preserve"> </v>
      </c>
      <c r="E70" s="122" t="str">
        <f t="shared" si="31"/>
        <v xml:space="preserve"> </v>
      </c>
      <c r="F70" s="122" t="str">
        <f t="shared" si="32"/>
        <v xml:space="preserve"> </v>
      </c>
      <c r="G70" s="117" t="e">
        <f t="shared" si="33"/>
        <v>#VALUE!</v>
      </c>
      <c r="H70" s="118" t="e">
        <f t="shared" si="19"/>
        <v>#VALUE!</v>
      </c>
      <c r="I70" s="118"/>
      <c r="J70" s="119" t="e">
        <f t="shared" si="20"/>
        <v>#VALUE!</v>
      </c>
      <c r="K70" s="119" t="str">
        <f t="shared" si="45"/>
        <v xml:space="preserve"> </v>
      </c>
      <c r="L70" s="119" t="str">
        <f t="shared" si="46"/>
        <v xml:space="preserve"> </v>
      </c>
      <c r="M70" s="119" t="str">
        <f t="shared" si="47"/>
        <v xml:space="preserve"> </v>
      </c>
      <c r="N70" s="119" t="str">
        <f t="shared" si="48"/>
        <v xml:space="preserve"> </v>
      </c>
      <c r="O70" s="119" t="e">
        <f t="shared" si="49"/>
        <v>#VALUE!</v>
      </c>
      <c r="P70" s="119">
        <f t="shared" si="6"/>
        <v>0</v>
      </c>
      <c r="R70" s="93" t="str">
        <f t="shared" si="50"/>
        <v xml:space="preserve"> </v>
      </c>
      <c r="S70" s="90" t="str">
        <f t="shared" si="34"/>
        <v xml:space="preserve"> </v>
      </c>
      <c r="T70" s="90" t="str">
        <f t="shared" si="35"/>
        <v xml:space="preserve"> </v>
      </c>
      <c r="U70" s="90" t="str">
        <f t="shared" si="36"/>
        <v xml:space="preserve"> </v>
      </c>
      <c r="V70" s="90" t="str">
        <f t="shared" si="37"/>
        <v xml:space="preserve"> </v>
      </c>
      <c r="W70" s="90" t="str">
        <f t="shared" si="38"/>
        <v/>
      </c>
      <c r="X70" s="90" t="e">
        <f t="shared" si="39"/>
        <v>#VALUE!</v>
      </c>
      <c r="Y70" s="90" t="e">
        <f t="shared" si="40"/>
        <v>#VALUE!</v>
      </c>
      <c r="Z70" s="90" t="e">
        <f t="shared" si="41"/>
        <v>#VALUE!</v>
      </c>
      <c r="AA70" s="90" t="e">
        <f t="shared" si="42"/>
        <v>#VALUE!</v>
      </c>
      <c r="AB70" s="90" t="e">
        <f t="shared" si="43"/>
        <v>#VALUE!</v>
      </c>
      <c r="AC70" s="90" t="e">
        <f t="shared" si="17"/>
        <v>#VALUE!</v>
      </c>
      <c r="AD70" s="364" t="e">
        <f t="shared" si="44"/>
        <v>#VALUE!</v>
      </c>
      <c r="AE70" s="90" t="e">
        <f t="shared" si="27"/>
        <v>#VALUE!</v>
      </c>
    </row>
    <row r="71" spans="1:31">
      <c r="A71" s="392">
        <v>46</v>
      </c>
      <c r="B71" s="95" t="e">
        <f t="shared" si="28"/>
        <v>#VALUE!</v>
      </c>
      <c r="C71" s="122" t="str">
        <f t="shared" si="29"/>
        <v xml:space="preserve"> </v>
      </c>
      <c r="D71" s="122" t="str">
        <f t="shared" si="30"/>
        <v xml:space="preserve"> </v>
      </c>
      <c r="E71" s="122" t="str">
        <f t="shared" si="31"/>
        <v xml:space="preserve"> </v>
      </c>
      <c r="F71" s="122" t="str">
        <f t="shared" si="32"/>
        <v xml:space="preserve"> </v>
      </c>
      <c r="G71" s="117" t="e">
        <f t="shared" si="33"/>
        <v>#VALUE!</v>
      </c>
      <c r="H71" s="118" t="e">
        <f t="shared" si="19"/>
        <v>#VALUE!</v>
      </c>
      <c r="I71" s="118"/>
      <c r="J71" s="119" t="e">
        <f t="shared" si="20"/>
        <v>#VALUE!</v>
      </c>
      <c r="K71" s="119" t="str">
        <f t="shared" si="45"/>
        <v xml:space="preserve"> </v>
      </c>
      <c r="L71" s="119" t="str">
        <f t="shared" si="46"/>
        <v xml:space="preserve"> </v>
      </c>
      <c r="M71" s="119" t="str">
        <f t="shared" si="47"/>
        <v xml:space="preserve"> </v>
      </c>
      <c r="N71" s="119" t="str">
        <f t="shared" si="48"/>
        <v xml:space="preserve"> </v>
      </c>
      <c r="O71" s="119" t="e">
        <f t="shared" si="49"/>
        <v>#VALUE!</v>
      </c>
      <c r="P71" s="119">
        <f t="shared" si="6"/>
        <v>0</v>
      </c>
      <c r="R71" s="93" t="str">
        <f t="shared" si="50"/>
        <v xml:space="preserve"> </v>
      </c>
      <c r="S71" s="90" t="str">
        <f t="shared" si="34"/>
        <v xml:space="preserve"> </v>
      </c>
      <c r="T71" s="90" t="str">
        <f t="shared" si="35"/>
        <v xml:space="preserve"> </v>
      </c>
      <c r="U71" s="90" t="str">
        <f t="shared" si="36"/>
        <v xml:space="preserve"> </v>
      </c>
      <c r="V71" s="90" t="str">
        <f t="shared" si="37"/>
        <v xml:space="preserve"> </v>
      </c>
      <c r="W71" s="90" t="str">
        <f t="shared" si="38"/>
        <v/>
      </c>
      <c r="X71" s="90" t="e">
        <f t="shared" si="39"/>
        <v>#VALUE!</v>
      </c>
      <c r="Y71" s="90" t="e">
        <f t="shared" si="40"/>
        <v>#VALUE!</v>
      </c>
      <c r="Z71" s="90" t="e">
        <f t="shared" si="41"/>
        <v>#VALUE!</v>
      </c>
      <c r="AA71" s="90" t="e">
        <f t="shared" si="42"/>
        <v>#VALUE!</v>
      </c>
      <c r="AB71" s="90" t="e">
        <f t="shared" si="43"/>
        <v>#VALUE!</v>
      </c>
      <c r="AC71" s="90" t="e">
        <f t="shared" si="17"/>
        <v>#VALUE!</v>
      </c>
      <c r="AD71" s="364" t="e">
        <f t="shared" si="44"/>
        <v>#VALUE!</v>
      </c>
      <c r="AE71" s="90" t="e">
        <f t="shared" si="27"/>
        <v>#VALUE!</v>
      </c>
    </row>
    <row r="72" spans="1:31">
      <c r="A72" s="392">
        <v>47</v>
      </c>
      <c r="B72" s="95" t="e">
        <f t="shared" si="28"/>
        <v>#VALUE!</v>
      </c>
      <c r="C72" s="122" t="str">
        <f t="shared" si="29"/>
        <v xml:space="preserve"> </v>
      </c>
      <c r="D72" s="122" t="str">
        <f t="shared" si="30"/>
        <v xml:space="preserve"> </v>
      </c>
      <c r="E72" s="122" t="str">
        <f t="shared" si="31"/>
        <v xml:space="preserve"> </v>
      </c>
      <c r="F72" s="122" t="str">
        <f t="shared" si="32"/>
        <v xml:space="preserve"> </v>
      </c>
      <c r="G72" s="117" t="e">
        <f t="shared" si="33"/>
        <v>#VALUE!</v>
      </c>
      <c r="H72" s="118" t="e">
        <f t="shared" si="19"/>
        <v>#VALUE!</v>
      </c>
      <c r="I72" s="118"/>
      <c r="J72" s="119" t="e">
        <f t="shared" si="20"/>
        <v>#VALUE!</v>
      </c>
      <c r="K72" s="119" t="str">
        <f t="shared" si="45"/>
        <v xml:space="preserve"> </v>
      </c>
      <c r="L72" s="119" t="str">
        <f t="shared" si="46"/>
        <v xml:space="preserve"> </v>
      </c>
      <c r="M72" s="119" t="str">
        <f t="shared" si="47"/>
        <v xml:space="preserve"> </v>
      </c>
      <c r="N72" s="119" t="str">
        <f t="shared" si="48"/>
        <v xml:space="preserve"> </v>
      </c>
      <c r="O72" s="119" t="e">
        <f t="shared" si="49"/>
        <v>#VALUE!</v>
      </c>
      <c r="P72" s="119">
        <f t="shared" si="6"/>
        <v>0</v>
      </c>
      <c r="R72" s="93" t="str">
        <f t="shared" si="50"/>
        <v xml:space="preserve"> </v>
      </c>
      <c r="S72" s="90" t="str">
        <f t="shared" si="34"/>
        <v xml:space="preserve"> </v>
      </c>
      <c r="T72" s="90" t="str">
        <f t="shared" si="35"/>
        <v xml:space="preserve"> </v>
      </c>
      <c r="U72" s="90" t="str">
        <f t="shared" si="36"/>
        <v xml:space="preserve"> </v>
      </c>
      <c r="V72" s="90" t="str">
        <f t="shared" si="37"/>
        <v xml:space="preserve"> </v>
      </c>
      <c r="W72" s="90" t="str">
        <f t="shared" si="38"/>
        <v/>
      </c>
      <c r="X72" s="90" t="e">
        <f t="shared" si="39"/>
        <v>#VALUE!</v>
      </c>
      <c r="Y72" s="90" t="e">
        <f t="shared" si="40"/>
        <v>#VALUE!</v>
      </c>
      <c r="Z72" s="90" t="e">
        <f t="shared" si="41"/>
        <v>#VALUE!</v>
      </c>
      <c r="AA72" s="90" t="e">
        <f t="shared" si="42"/>
        <v>#VALUE!</v>
      </c>
      <c r="AB72" s="90" t="e">
        <f t="shared" si="43"/>
        <v>#VALUE!</v>
      </c>
      <c r="AC72" s="90" t="e">
        <f t="shared" si="17"/>
        <v>#VALUE!</v>
      </c>
      <c r="AD72" s="364" t="e">
        <f t="shared" si="44"/>
        <v>#VALUE!</v>
      </c>
      <c r="AE72" s="90" t="e">
        <f t="shared" si="27"/>
        <v>#VALUE!</v>
      </c>
    </row>
    <row r="73" spans="1:31">
      <c r="A73" s="392">
        <v>48</v>
      </c>
      <c r="B73" s="95" t="e">
        <f t="shared" si="28"/>
        <v>#VALUE!</v>
      </c>
      <c r="C73" s="122" t="str">
        <f t="shared" si="29"/>
        <v xml:space="preserve"> </v>
      </c>
      <c r="D73" s="122" t="str">
        <f t="shared" si="30"/>
        <v xml:space="preserve"> </v>
      </c>
      <c r="E73" s="122" t="str">
        <f t="shared" si="31"/>
        <v xml:space="preserve"> </v>
      </c>
      <c r="F73" s="122" t="str">
        <f t="shared" si="32"/>
        <v xml:space="preserve"> </v>
      </c>
      <c r="G73" s="117" t="e">
        <f t="shared" si="33"/>
        <v>#VALUE!</v>
      </c>
      <c r="H73" s="118" t="e">
        <f t="shared" si="19"/>
        <v>#VALUE!</v>
      </c>
      <c r="I73" s="118"/>
      <c r="J73" s="119" t="e">
        <f t="shared" si="20"/>
        <v>#VALUE!</v>
      </c>
      <c r="K73" s="119" t="str">
        <f t="shared" si="45"/>
        <v xml:space="preserve"> </v>
      </c>
      <c r="L73" s="119" t="str">
        <f t="shared" si="46"/>
        <v xml:space="preserve"> </v>
      </c>
      <c r="M73" s="119" t="str">
        <f t="shared" si="47"/>
        <v xml:space="preserve"> </v>
      </c>
      <c r="N73" s="119" t="str">
        <f t="shared" si="48"/>
        <v xml:space="preserve"> </v>
      </c>
      <c r="O73" s="119" t="e">
        <f t="shared" si="49"/>
        <v>#VALUE!</v>
      </c>
      <c r="P73" s="119">
        <f t="shared" si="6"/>
        <v>0</v>
      </c>
      <c r="R73" s="93" t="str">
        <f t="shared" si="50"/>
        <v xml:space="preserve"> </v>
      </c>
      <c r="S73" s="90" t="str">
        <f t="shared" si="34"/>
        <v xml:space="preserve"> </v>
      </c>
      <c r="T73" s="90" t="str">
        <f t="shared" si="35"/>
        <v xml:space="preserve"> </v>
      </c>
      <c r="U73" s="90" t="str">
        <f t="shared" si="36"/>
        <v xml:space="preserve"> </v>
      </c>
      <c r="V73" s="90" t="str">
        <f t="shared" si="37"/>
        <v xml:space="preserve"> </v>
      </c>
      <c r="W73" s="90" t="str">
        <f t="shared" si="38"/>
        <v/>
      </c>
      <c r="X73" s="90" t="e">
        <f t="shared" si="39"/>
        <v>#VALUE!</v>
      </c>
      <c r="Y73" s="90" t="e">
        <f t="shared" si="40"/>
        <v>#VALUE!</v>
      </c>
      <c r="Z73" s="90" t="e">
        <f t="shared" si="41"/>
        <v>#VALUE!</v>
      </c>
      <c r="AA73" s="90" t="e">
        <f t="shared" si="42"/>
        <v>#VALUE!</v>
      </c>
      <c r="AB73" s="90" t="e">
        <f t="shared" si="43"/>
        <v>#VALUE!</v>
      </c>
      <c r="AC73" s="90" t="e">
        <f t="shared" si="17"/>
        <v>#VALUE!</v>
      </c>
      <c r="AD73" s="364" t="e">
        <f t="shared" si="44"/>
        <v>#VALUE!</v>
      </c>
      <c r="AE73" s="90" t="e">
        <f t="shared" si="27"/>
        <v>#VALUE!</v>
      </c>
    </row>
    <row r="74" spans="1:31">
      <c r="A74" s="392">
        <v>49</v>
      </c>
      <c r="B74" s="95" t="e">
        <f t="shared" si="28"/>
        <v>#VALUE!</v>
      </c>
      <c r="C74" s="122" t="str">
        <f t="shared" si="29"/>
        <v xml:space="preserve"> </v>
      </c>
      <c r="D74" s="122" t="str">
        <f t="shared" si="30"/>
        <v xml:space="preserve"> </v>
      </c>
      <c r="E74" s="122" t="str">
        <f t="shared" si="31"/>
        <v xml:space="preserve"> </v>
      </c>
      <c r="F74" s="122" t="str">
        <f t="shared" si="32"/>
        <v xml:space="preserve"> </v>
      </c>
      <c r="G74" s="117" t="e">
        <f t="shared" si="33"/>
        <v>#VALUE!</v>
      </c>
      <c r="H74" s="118" t="e">
        <f t="shared" si="19"/>
        <v>#VALUE!</v>
      </c>
      <c r="I74" s="118"/>
      <c r="J74" s="119" t="e">
        <f t="shared" si="20"/>
        <v>#VALUE!</v>
      </c>
      <c r="K74" s="119" t="str">
        <f t="shared" si="45"/>
        <v xml:space="preserve"> </v>
      </c>
      <c r="L74" s="119" t="str">
        <f t="shared" si="46"/>
        <v xml:space="preserve"> </v>
      </c>
      <c r="M74" s="119" t="str">
        <f t="shared" si="47"/>
        <v xml:space="preserve"> </v>
      </c>
      <c r="N74" s="119" t="str">
        <f t="shared" si="48"/>
        <v xml:space="preserve"> </v>
      </c>
      <c r="O74" s="119" t="e">
        <f t="shared" si="49"/>
        <v>#VALUE!</v>
      </c>
      <c r="P74" s="119">
        <f t="shared" si="6"/>
        <v>0</v>
      </c>
      <c r="R74" s="93" t="str">
        <f t="shared" si="50"/>
        <v xml:space="preserve"> </v>
      </c>
      <c r="S74" s="90" t="str">
        <f t="shared" si="34"/>
        <v xml:space="preserve"> </v>
      </c>
      <c r="T74" s="90" t="str">
        <f t="shared" si="35"/>
        <v xml:space="preserve"> </v>
      </c>
      <c r="U74" s="90" t="str">
        <f t="shared" si="36"/>
        <v xml:space="preserve"> </v>
      </c>
      <c r="V74" s="90" t="str">
        <f t="shared" si="37"/>
        <v xml:space="preserve"> </v>
      </c>
      <c r="W74" s="90" t="str">
        <f t="shared" si="38"/>
        <v/>
      </c>
      <c r="X74" s="90" t="e">
        <f t="shared" si="39"/>
        <v>#VALUE!</v>
      </c>
      <c r="Y74" s="90" t="e">
        <f t="shared" si="40"/>
        <v>#VALUE!</v>
      </c>
      <c r="Z74" s="90" t="e">
        <f t="shared" si="41"/>
        <v>#VALUE!</v>
      </c>
      <c r="AA74" s="90" t="e">
        <f t="shared" si="42"/>
        <v>#VALUE!</v>
      </c>
      <c r="AB74" s="90" t="e">
        <f t="shared" si="43"/>
        <v>#VALUE!</v>
      </c>
      <c r="AC74" s="90" t="e">
        <f t="shared" si="17"/>
        <v>#VALUE!</v>
      </c>
      <c r="AD74" s="364" t="e">
        <f t="shared" si="44"/>
        <v>#VALUE!</v>
      </c>
      <c r="AE74" s="90" t="e">
        <f t="shared" si="27"/>
        <v>#VALUE!</v>
      </c>
    </row>
    <row r="75" spans="1:31">
      <c r="A75" s="392">
        <v>50</v>
      </c>
      <c r="B75" s="95" t="e">
        <f t="shared" si="28"/>
        <v>#VALUE!</v>
      </c>
      <c r="C75" s="122" t="str">
        <f t="shared" si="29"/>
        <v xml:space="preserve"> </v>
      </c>
      <c r="D75" s="122" t="str">
        <f t="shared" si="30"/>
        <v xml:space="preserve"> </v>
      </c>
      <c r="E75" s="122" t="str">
        <f t="shared" si="31"/>
        <v xml:space="preserve"> </v>
      </c>
      <c r="F75" s="122" t="str">
        <f t="shared" si="32"/>
        <v xml:space="preserve"> </v>
      </c>
      <c r="G75" s="117" t="e">
        <f t="shared" si="33"/>
        <v>#VALUE!</v>
      </c>
      <c r="H75" s="118" t="e">
        <f t="shared" si="19"/>
        <v>#VALUE!</v>
      </c>
      <c r="I75" s="118"/>
      <c r="J75" s="119" t="e">
        <f t="shared" si="20"/>
        <v>#VALUE!</v>
      </c>
      <c r="K75" s="119" t="str">
        <f t="shared" si="45"/>
        <v xml:space="preserve"> </v>
      </c>
      <c r="L75" s="119" t="str">
        <f t="shared" si="46"/>
        <v xml:space="preserve"> </v>
      </c>
      <c r="M75" s="119" t="str">
        <f t="shared" si="47"/>
        <v xml:space="preserve"> </v>
      </c>
      <c r="N75" s="119" t="str">
        <f t="shared" si="48"/>
        <v xml:space="preserve"> </v>
      </c>
      <c r="O75" s="119" t="e">
        <f t="shared" si="49"/>
        <v>#VALUE!</v>
      </c>
      <c r="P75" s="119">
        <f t="shared" si="6"/>
        <v>0</v>
      </c>
      <c r="R75" s="93" t="str">
        <f t="shared" si="50"/>
        <v xml:space="preserve"> </v>
      </c>
      <c r="S75" s="90" t="str">
        <f t="shared" si="34"/>
        <v xml:space="preserve"> </v>
      </c>
      <c r="T75" s="90" t="str">
        <f t="shared" si="35"/>
        <v xml:space="preserve"> </v>
      </c>
      <c r="U75" s="90" t="str">
        <f t="shared" si="36"/>
        <v xml:space="preserve"> </v>
      </c>
      <c r="V75" s="90" t="str">
        <f t="shared" si="37"/>
        <v xml:space="preserve"> </v>
      </c>
      <c r="W75" s="90" t="str">
        <f t="shared" si="38"/>
        <v/>
      </c>
      <c r="X75" s="90" t="e">
        <f t="shared" si="39"/>
        <v>#VALUE!</v>
      </c>
      <c r="Y75" s="90" t="e">
        <f t="shared" si="40"/>
        <v>#VALUE!</v>
      </c>
      <c r="Z75" s="90" t="e">
        <f t="shared" si="41"/>
        <v>#VALUE!</v>
      </c>
      <c r="AA75" s="90" t="e">
        <f t="shared" si="42"/>
        <v>#VALUE!</v>
      </c>
      <c r="AB75" s="90" t="e">
        <f t="shared" si="43"/>
        <v>#VALUE!</v>
      </c>
      <c r="AC75" s="90" t="e">
        <f t="shared" si="17"/>
        <v>#VALUE!</v>
      </c>
      <c r="AD75" s="364" t="e">
        <f t="shared" si="44"/>
        <v>#VALUE!</v>
      </c>
      <c r="AE75" s="90" t="e">
        <f t="shared" si="27"/>
        <v>#VALUE!</v>
      </c>
    </row>
    <row r="76" spans="1:31">
      <c r="A76" s="392">
        <v>51</v>
      </c>
      <c r="B76" s="95" t="e">
        <f t="shared" si="28"/>
        <v>#VALUE!</v>
      </c>
      <c r="C76" s="122" t="str">
        <f t="shared" si="29"/>
        <v xml:space="preserve"> </v>
      </c>
      <c r="D76" s="122" t="str">
        <f t="shared" si="30"/>
        <v xml:space="preserve"> </v>
      </c>
      <c r="E76" s="122" t="str">
        <f t="shared" si="31"/>
        <v xml:space="preserve"> </v>
      </c>
      <c r="F76" s="122" t="str">
        <f t="shared" si="32"/>
        <v xml:space="preserve"> </v>
      </c>
      <c r="G76" s="117" t="e">
        <f t="shared" si="33"/>
        <v>#VALUE!</v>
      </c>
      <c r="H76" s="118" t="e">
        <f t="shared" si="19"/>
        <v>#VALUE!</v>
      </c>
      <c r="I76" s="118"/>
      <c r="J76" s="119" t="e">
        <f t="shared" si="20"/>
        <v>#VALUE!</v>
      </c>
      <c r="K76" s="119" t="str">
        <f t="shared" si="45"/>
        <v xml:space="preserve"> </v>
      </c>
      <c r="L76" s="119" t="str">
        <f t="shared" si="46"/>
        <v xml:space="preserve"> </v>
      </c>
      <c r="M76" s="119" t="str">
        <f t="shared" si="47"/>
        <v xml:space="preserve"> </v>
      </c>
      <c r="N76" s="119" t="str">
        <f t="shared" si="48"/>
        <v xml:space="preserve"> </v>
      </c>
      <c r="O76" s="119" t="e">
        <f t="shared" si="49"/>
        <v>#VALUE!</v>
      </c>
      <c r="P76" s="119">
        <f t="shared" si="6"/>
        <v>0</v>
      </c>
      <c r="R76" s="93" t="str">
        <f t="shared" si="50"/>
        <v xml:space="preserve"> </v>
      </c>
      <c r="S76" s="90" t="str">
        <f t="shared" si="34"/>
        <v xml:space="preserve"> </v>
      </c>
      <c r="T76" s="90" t="str">
        <f t="shared" si="35"/>
        <v xml:space="preserve"> </v>
      </c>
      <c r="U76" s="90" t="str">
        <f t="shared" si="36"/>
        <v xml:space="preserve"> </v>
      </c>
      <c r="V76" s="90" t="str">
        <f t="shared" si="37"/>
        <v xml:space="preserve"> </v>
      </c>
      <c r="W76" s="90" t="str">
        <f t="shared" si="38"/>
        <v/>
      </c>
      <c r="X76" s="90" t="e">
        <f t="shared" si="39"/>
        <v>#VALUE!</v>
      </c>
      <c r="Y76" s="90" t="e">
        <f t="shared" si="40"/>
        <v>#VALUE!</v>
      </c>
      <c r="Z76" s="90" t="e">
        <f t="shared" si="41"/>
        <v>#VALUE!</v>
      </c>
      <c r="AA76" s="90" t="e">
        <f t="shared" si="42"/>
        <v>#VALUE!</v>
      </c>
      <c r="AB76" s="90" t="e">
        <f t="shared" si="43"/>
        <v>#VALUE!</v>
      </c>
      <c r="AC76" s="90" t="e">
        <f>TAN(AB76*PI()/180)-RADIANS(AB76)</f>
        <v>#VALUE!</v>
      </c>
      <c r="AD76" s="364" t="e">
        <f t="shared" si="44"/>
        <v>#VALUE!</v>
      </c>
      <c r="AE76" s="90" t="e">
        <f>ROUNDUP(AD76,0)</f>
        <v>#VALUE!</v>
      </c>
    </row>
    <row r="77" spans="1:31">
      <c r="A77" s="392">
        <v>52</v>
      </c>
      <c r="B77" s="95" t="e">
        <f t="shared" si="28"/>
        <v>#VALUE!</v>
      </c>
      <c r="C77" s="122" t="str">
        <f t="shared" si="29"/>
        <v xml:space="preserve"> </v>
      </c>
      <c r="D77" s="122" t="str">
        <f t="shared" si="30"/>
        <v xml:space="preserve"> </v>
      </c>
      <c r="E77" s="122" t="str">
        <f t="shared" si="31"/>
        <v xml:space="preserve"> </v>
      </c>
      <c r="F77" s="122" t="str">
        <f t="shared" si="32"/>
        <v xml:space="preserve"> </v>
      </c>
      <c r="G77" s="117" t="e">
        <f t="shared" si="33"/>
        <v>#VALUE!</v>
      </c>
      <c r="H77" s="118" t="e">
        <f t="shared" si="19"/>
        <v>#VALUE!</v>
      </c>
      <c r="I77" s="118"/>
      <c r="J77" s="119" t="e">
        <f t="shared" si="20"/>
        <v>#VALUE!</v>
      </c>
      <c r="K77" s="119" t="str">
        <f t="shared" si="45"/>
        <v xml:space="preserve"> </v>
      </c>
      <c r="L77" s="119" t="str">
        <f t="shared" si="46"/>
        <v xml:space="preserve"> </v>
      </c>
      <c r="M77" s="119" t="str">
        <f t="shared" si="47"/>
        <v xml:space="preserve"> </v>
      </c>
      <c r="N77" s="119" t="str">
        <f t="shared" si="48"/>
        <v xml:space="preserve"> </v>
      </c>
      <c r="O77" s="119" t="e">
        <f t="shared" si="49"/>
        <v>#VALUE!</v>
      </c>
      <c r="P77" s="119">
        <f t="shared" si="6"/>
        <v>0</v>
      </c>
      <c r="R77" s="93" t="str">
        <f t="shared" si="50"/>
        <v xml:space="preserve"> </v>
      </c>
      <c r="S77" s="90" t="str">
        <f t="shared" si="34"/>
        <v xml:space="preserve"> </v>
      </c>
      <c r="T77" s="90" t="str">
        <f t="shared" si="35"/>
        <v xml:space="preserve"> </v>
      </c>
      <c r="U77" s="90" t="str">
        <f t="shared" si="36"/>
        <v xml:space="preserve"> </v>
      </c>
      <c r="V77" s="90" t="str">
        <f t="shared" si="37"/>
        <v xml:space="preserve"> </v>
      </c>
      <c r="W77" s="90" t="str">
        <f t="shared" si="38"/>
        <v/>
      </c>
      <c r="X77" s="90" t="e">
        <f t="shared" si="39"/>
        <v>#VALUE!</v>
      </c>
      <c r="Y77" s="90" t="e">
        <f t="shared" si="40"/>
        <v>#VALUE!</v>
      </c>
      <c r="Z77" s="90" t="e">
        <f t="shared" si="41"/>
        <v>#VALUE!</v>
      </c>
      <c r="AA77" s="90" t="e">
        <f t="shared" si="42"/>
        <v>#VALUE!</v>
      </c>
      <c r="AB77" s="90" t="e">
        <f t="shared" si="43"/>
        <v>#VALUE!</v>
      </c>
      <c r="AC77" s="90" t="e">
        <f t="shared" ref="AC77:AC130" si="51">TAN(AB77*PI()/180)-RADIANS(AB77)</f>
        <v>#VALUE!</v>
      </c>
      <c r="AD77" s="364" t="e">
        <f t="shared" si="44"/>
        <v>#VALUE!</v>
      </c>
      <c r="AE77" s="90" t="e">
        <f t="shared" si="27"/>
        <v>#VALUE!</v>
      </c>
    </row>
    <row r="78" spans="1:31">
      <c r="A78" s="392">
        <v>53</v>
      </c>
      <c r="B78" s="95" t="e">
        <f t="shared" si="28"/>
        <v>#VALUE!</v>
      </c>
      <c r="C78" s="122" t="str">
        <f t="shared" si="29"/>
        <v xml:space="preserve"> </v>
      </c>
      <c r="D78" s="122" t="str">
        <f t="shared" si="30"/>
        <v xml:space="preserve"> </v>
      </c>
      <c r="E78" s="122" t="str">
        <f t="shared" si="31"/>
        <v xml:space="preserve"> </v>
      </c>
      <c r="F78" s="122" t="str">
        <f t="shared" si="32"/>
        <v xml:space="preserve"> </v>
      </c>
      <c r="G78" s="117" t="e">
        <f t="shared" si="33"/>
        <v>#VALUE!</v>
      </c>
      <c r="H78" s="118" t="e">
        <f t="shared" si="19"/>
        <v>#VALUE!</v>
      </c>
      <c r="I78" s="118"/>
      <c r="J78" s="119" t="e">
        <f t="shared" si="20"/>
        <v>#VALUE!</v>
      </c>
      <c r="K78" s="119" t="str">
        <f t="shared" si="45"/>
        <v xml:space="preserve"> </v>
      </c>
      <c r="L78" s="119" t="str">
        <f t="shared" si="46"/>
        <v xml:space="preserve"> </v>
      </c>
      <c r="M78" s="119" t="str">
        <f t="shared" si="47"/>
        <v xml:space="preserve"> </v>
      </c>
      <c r="N78" s="119" t="str">
        <f t="shared" si="48"/>
        <v xml:space="preserve"> </v>
      </c>
      <c r="O78" s="119" t="e">
        <f t="shared" si="49"/>
        <v>#VALUE!</v>
      </c>
      <c r="P78" s="119">
        <f t="shared" si="6"/>
        <v>0</v>
      </c>
      <c r="R78" s="93" t="str">
        <f t="shared" si="50"/>
        <v xml:space="preserve"> </v>
      </c>
      <c r="S78" s="90" t="str">
        <f t="shared" si="34"/>
        <v xml:space="preserve"> </v>
      </c>
      <c r="T78" s="90" t="str">
        <f t="shared" si="35"/>
        <v xml:space="preserve"> </v>
      </c>
      <c r="U78" s="90" t="str">
        <f t="shared" si="36"/>
        <v xml:space="preserve"> </v>
      </c>
      <c r="V78" s="90" t="str">
        <f t="shared" si="37"/>
        <v xml:space="preserve"> </v>
      </c>
      <c r="W78" s="90" t="str">
        <f t="shared" si="38"/>
        <v/>
      </c>
      <c r="X78" s="90" t="e">
        <f t="shared" si="39"/>
        <v>#VALUE!</v>
      </c>
      <c r="Y78" s="90" t="e">
        <f t="shared" si="40"/>
        <v>#VALUE!</v>
      </c>
      <c r="Z78" s="90" t="e">
        <f t="shared" si="41"/>
        <v>#VALUE!</v>
      </c>
      <c r="AA78" s="90" t="e">
        <f t="shared" si="42"/>
        <v>#VALUE!</v>
      </c>
      <c r="AB78" s="90" t="e">
        <f t="shared" si="43"/>
        <v>#VALUE!</v>
      </c>
      <c r="AC78" s="90" t="e">
        <f t="shared" si="51"/>
        <v>#VALUE!</v>
      </c>
      <c r="AD78" s="364" t="e">
        <f t="shared" si="44"/>
        <v>#VALUE!</v>
      </c>
      <c r="AE78" s="90" t="e">
        <f t="shared" si="27"/>
        <v>#VALUE!</v>
      </c>
    </row>
    <row r="79" spans="1:31">
      <c r="A79" s="392">
        <v>54</v>
      </c>
      <c r="B79" s="95" t="e">
        <f t="shared" si="28"/>
        <v>#VALUE!</v>
      </c>
      <c r="C79" s="122" t="str">
        <f t="shared" si="29"/>
        <v xml:space="preserve"> </v>
      </c>
      <c r="D79" s="122" t="str">
        <f t="shared" si="30"/>
        <v xml:space="preserve"> </v>
      </c>
      <c r="E79" s="122" t="str">
        <f t="shared" si="31"/>
        <v xml:space="preserve"> </v>
      </c>
      <c r="F79" s="122" t="str">
        <f t="shared" si="32"/>
        <v xml:space="preserve"> </v>
      </c>
      <c r="G79" s="117" t="e">
        <f t="shared" si="33"/>
        <v>#VALUE!</v>
      </c>
      <c r="H79" s="118" t="e">
        <f t="shared" si="19"/>
        <v>#VALUE!</v>
      </c>
      <c r="I79" s="118"/>
      <c r="J79" s="119" t="e">
        <f t="shared" si="20"/>
        <v>#VALUE!</v>
      </c>
      <c r="K79" s="119" t="str">
        <f t="shared" si="45"/>
        <v xml:space="preserve"> </v>
      </c>
      <c r="L79" s="119" t="str">
        <f t="shared" si="46"/>
        <v xml:space="preserve"> </v>
      </c>
      <c r="M79" s="119" t="str">
        <f t="shared" si="47"/>
        <v xml:space="preserve"> </v>
      </c>
      <c r="N79" s="119" t="str">
        <f t="shared" si="48"/>
        <v xml:space="preserve"> </v>
      </c>
      <c r="O79" s="119" t="e">
        <f t="shared" si="49"/>
        <v>#VALUE!</v>
      </c>
      <c r="P79" s="119">
        <f t="shared" si="6"/>
        <v>0</v>
      </c>
      <c r="R79" s="93" t="str">
        <f t="shared" si="50"/>
        <v xml:space="preserve"> </v>
      </c>
      <c r="S79" s="90" t="str">
        <f t="shared" si="34"/>
        <v xml:space="preserve"> </v>
      </c>
      <c r="T79" s="90" t="str">
        <f t="shared" si="35"/>
        <v xml:space="preserve"> </v>
      </c>
      <c r="U79" s="90" t="str">
        <f t="shared" si="36"/>
        <v xml:space="preserve"> </v>
      </c>
      <c r="V79" s="90" t="str">
        <f t="shared" si="37"/>
        <v xml:space="preserve"> </v>
      </c>
      <c r="W79" s="90" t="str">
        <f t="shared" si="38"/>
        <v/>
      </c>
      <c r="X79" s="90" t="e">
        <f t="shared" si="39"/>
        <v>#VALUE!</v>
      </c>
      <c r="Y79" s="90" t="e">
        <f t="shared" si="40"/>
        <v>#VALUE!</v>
      </c>
      <c r="Z79" s="90" t="e">
        <f t="shared" si="41"/>
        <v>#VALUE!</v>
      </c>
      <c r="AA79" s="90" t="e">
        <f t="shared" si="42"/>
        <v>#VALUE!</v>
      </c>
      <c r="AB79" s="90" t="e">
        <f t="shared" si="43"/>
        <v>#VALUE!</v>
      </c>
      <c r="AC79" s="90" t="e">
        <f t="shared" si="51"/>
        <v>#VALUE!</v>
      </c>
      <c r="AD79" s="364" t="e">
        <f t="shared" si="44"/>
        <v>#VALUE!</v>
      </c>
      <c r="AE79" s="90" t="e">
        <f t="shared" si="27"/>
        <v>#VALUE!</v>
      </c>
    </row>
    <row r="80" spans="1:31">
      <c r="A80" s="392">
        <v>55</v>
      </c>
      <c r="B80" s="95" t="e">
        <f t="shared" si="28"/>
        <v>#VALUE!</v>
      </c>
      <c r="C80" s="122" t="str">
        <f t="shared" si="29"/>
        <v xml:space="preserve"> </v>
      </c>
      <c r="D80" s="122" t="str">
        <f t="shared" si="30"/>
        <v xml:space="preserve"> </v>
      </c>
      <c r="E80" s="122" t="str">
        <f t="shared" si="31"/>
        <v xml:space="preserve"> </v>
      </c>
      <c r="F80" s="122" t="str">
        <f t="shared" si="32"/>
        <v xml:space="preserve"> </v>
      </c>
      <c r="G80" s="117" t="e">
        <f t="shared" si="33"/>
        <v>#VALUE!</v>
      </c>
      <c r="H80" s="118" t="e">
        <f t="shared" si="19"/>
        <v>#VALUE!</v>
      </c>
      <c r="I80" s="118"/>
      <c r="J80" s="119" t="e">
        <f t="shared" si="20"/>
        <v>#VALUE!</v>
      </c>
      <c r="K80" s="119" t="str">
        <f t="shared" si="45"/>
        <v xml:space="preserve"> </v>
      </c>
      <c r="L80" s="119" t="str">
        <f t="shared" si="46"/>
        <v xml:space="preserve"> </v>
      </c>
      <c r="M80" s="119" t="str">
        <f t="shared" si="47"/>
        <v xml:space="preserve"> </v>
      </c>
      <c r="N80" s="119" t="str">
        <f t="shared" si="48"/>
        <v xml:space="preserve"> </v>
      </c>
      <c r="O80" s="119" t="e">
        <f t="shared" si="49"/>
        <v>#VALUE!</v>
      </c>
      <c r="P80" s="119">
        <f t="shared" si="6"/>
        <v>0</v>
      </c>
      <c r="R80" s="93" t="str">
        <f t="shared" si="50"/>
        <v xml:space="preserve"> </v>
      </c>
      <c r="S80" s="90" t="str">
        <f t="shared" si="34"/>
        <v xml:space="preserve"> </v>
      </c>
      <c r="T80" s="90" t="str">
        <f t="shared" si="35"/>
        <v xml:space="preserve"> </v>
      </c>
      <c r="U80" s="90" t="str">
        <f t="shared" si="36"/>
        <v xml:space="preserve"> </v>
      </c>
      <c r="V80" s="90" t="str">
        <f t="shared" si="37"/>
        <v xml:space="preserve"> </v>
      </c>
      <c r="W80" s="90" t="str">
        <f t="shared" si="38"/>
        <v/>
      </c>
      <c r="X80" s="90" t="e">
        <f t="shared" si="39"/>
        <v>#VALUE!</v>
      </c>
      <c r="Y80" s="90" t="e">
        <f t="shared" si="40"/>
        <v>#VALUE!</v>
      </c>
      <c r="Z80" s="90" t="e">
        <f t="shared" si="41"/>
        <v>#VALUE!</v>
      </c>
      <c r="AA80" s="90" t="e">
        <f t="shared" si="42"/>
        <v>#VALUE!</v>
      </c>
      <c r="AB80" s="90" t="e">
        <f t="shared" si="43"/>
        <v>#VALUE!</v>
      </c>
      <c r="AC80" s="90" t="e">
        <f t="shared" si="51"/>
        <v>#VALUE!</v>
      </c>
      <c r="AD80" s="364" t="e">
        <f t="shared" si="44"/>
        <v>#VALUE!</v>
      </c>
      <c r="AE80" s="90" t="e">
        <f t="shared" si="27"/>
        <v>#VALUE!</v>
      </c>
    </row>
    <row r="81" spans="1:31">
      <c r="A81" s="392">
        <v>56</v>
      </c>
      <c r="B81" s="95" t="e">
        <f t="shared" si="28"/>
        <v>#VALUE!</v>
      </c>
      <c r="C81" s="122" t="str">
        <f t="shared" si="29"/>
        <v xml:space="preserve"> </v>
      </c>
      <c r="D81" s="122" t="str">
        <f t="shared" si="30"/>
        <v xml:space="preserve"> </v>
      </c>
      <c r="E81" s="122" t="str">
        <f t="shared" si="31"/>
        <v xml:space="preserve"> </v>
      </c>
      <c r="F81" s="122" t="str">
        <f t="shared" si="32"/>
        <v xml:space="preserve"> </v>
      </c>
      <c r="G81" s="117" t="e">
        <f t="shared" si="33"/>
        <v>#VALUE!</v>
      </c>
      <c r="H81" s="118" t="e">
        <f t="shared" si="19"/>
        <v>#VALUE!</v>
      </c>
      <c r="I81" s="118"/>
      <c r="J81" s="119" t="e">
        <f t="shared" si="20"/>
        <v>#VALUE!</v>
      </c>
      <c r="K81" s="119" t="str">
        <f t="shared" si="45"/>
        <v xml:space="preserve"> </v>
      </c>
      <c r="L81" s="119" t="str">
        <f t="shared" si="46"/>
        <v xml:space="preserve"> </v>
      </c>
      <c r="M81" s="119" t="str">
        <f t="shared" si="47"/>
        <v xml:space="preserve"> </v>
      </c>
      <c r="N81" s="119" t="str">
        <f t="shared" si="48"/>
        <v xml:space="preserve"> </v>
      </c>
      <c r="O81" s="119" t="e">
        <f t="shared" si="49"/>
        <v>#VALUE!</v>
      </c>
      <c r="P81" s="119">
        <f t="shared" si="6"/>
        <v>0</v>
      </c>
      <c r="R81" s="93" t="str">
        <f t="shared" si="50"/>
        <v xml:space="preserve"> </v>
      </c>
      <c r="S81" s="90" t="str">
        <f t="shared" si="34"/>
        <v xml:space="preserve"> </v>
      </c>
      <c r="T81" s="90" t="str">
        <f t="shared" si="35"/>
        <v xml:space="preserve"> </v>
      </c>
      <c r="U81" s="90" t="str">
        <f t="shared" si="36"/>
        <v xml:space="preserve"> </v>
      </c>
      <c r="V81" s="90" t="str">
        <f t="shared" si="37"/>
        <v xml:space="preserve"> </v>
      </c>
      <c r="W81" s="90" t="str">
        <f t="shared" si="38"/>
        <v/>
      </c>
      <c r="X81" s="90" t="e">
        <f t="shared" si="39"/>
        <v>#VALUE!</v>
      </c>
      <c r="Y81" s="90" t="e">
        <f t="shared" si="40"/>
        <v>#VALUE!</v>
      </c>
      <c r="Z81" s="90" t="e">
        <f t="shared" si="41"/>
        <v>#VALUE!</v>
      </c>
      <c r="AA81" s="90" t="e">
        <f t="shared" si="42"/>
        <v>#VALUE!</v>
      </c>
      <c r="AB81" s="90" t="e">
        <f t="shared" si="43"/>
        <v>#VALUE!</v>
      </c>
      <c r="AC81" s="90" t="e">
        <f t="shared" si="51"/>
        <v>#VALUE!</v>
      </c>
      <c r="AD81" s="364" t="e">
        <f t="shared" si="44"/>
        <v>#VALUE!</v>
      </c>
      <c r="AE81" s="90" t="e">
        <f t="shared" si="27"/>
        <v>#VALUE!</v>
      </c>
    </row>
    <row r="82" spans="1:31">
      <c r="A82" s="392">
        <v>57</v>
      </c>
      <c r="B82" s="95" t="e">
        <f t="shared" si="28"/>
        <v>#VALUE!</v>
      </c>
      <c r="C82" s="122" t="str">
        <f t="shared" si="29"/>
        <v xml:space="preserve"> </v>
      </c>
      <c r="D82" s="122" t="str">
        <f t="shared" si="30"/>
        <v xml:space="preserve"> </v>
      </c>
      <c r="E82" s="122" t="str">
        <f t="shared" si="31"/>
        <v xml:space="preserve"> </v>
      </c>
      <c r="F82" s="122" t="str">
        <f t="shared" si="32"/>
        <v xml:space="preserve"> </v>
      </c>
      <c r="G82" s="117" t="e">
        <f t="shared" si="33"/>
        <v>#VALUE!</v>
      </c>
      <c r="H82" s="118" t="e">
        <f t="shared" si="19"/>
        <v>#VALUE!</v>
      </c>
      <c r="I82" s="118"/>
      <c r="J82" s="119" t="e">
        <f t="shared" si="20"/>
        <v>#VALUE!</v>
      </c>
      <c r="K82" s="119" t="str">
        <f t="shared" si="45"/>
        <v xml:space="preserve"> </v>
      </c>
      <c r="L82" s="119" t="str">
        <f t="shared" si="46"/>
        <v xml:space="preserve"> </v>
      </c>
      <c r="M82" s="119" t="str">
        <f t="shared" si="47"/>
        <v xml:space="preserve"> </v>
      </c>
      <c r="N82" s="119" t="str">
        <f t="shared" si="48"/>
        <v xml:space="preserve"> </v>
      </c>
      <c r="O82" s="119" t="e">
        <f t="shared" si="49"/>
        <v>#VALUE!</v>
      </c>
      <c r="P82" s="119">
        <f t="shared" si="6"/>
        <v>0</v>
      </c>
      <c r="R82" s="93" t="str">
        <f t="shared" si="50"/>
        <v xml:space="preserve"> </v>
      </c>
      <c r="S82" s="90" t="str">
        <f t="shared" si="34"/>
        <v xml:space="preserve"> </v>
      </c>
      <c r="T82" s="90" t="str">
        <f t="shared" si="35"/>
        <v xml:space="preserve"> </v>
      </c>
      <c r="U82" s="90" t="str">
        <f t="shared" si="36"/>
        <v xml:space="preserve"> </v>
      </c>
      <c r="V82" s="90" t="str">
        <f t="shared" si="37"/>
        <v xml:space="preserve"> </v>
      </c>
      <c r="W82" s="90" t="str">
        <f t="shared" si="38"/>
        <v/>
      </c>
      <c r="X82" s="90" t="e">
        <f t="shared" si="39"/>
        <v>#VALUE!</v>
      </c>
      <c r="Y82" s="90" t="e">
        <f t="shared" si="40"/>
        <v>#VALUE!</v>
      </c>
      <c r="Z82" s="90" t="e">
        <f t="shared" si="41"/>
        <v>#VALUE!</v>
      </c>
      <c r="AA82" s="90" t="e">
        <f t="shared" si="42"/>
        <v>#VALUE!</v>
      </c>
      <c r="AB82" s="90" t="e">
        <f t="shared" si="43"/>
        <v>#VALUE!</v>
      </c>
      <c r="AC82" s="90" t="e">
        <f t="shared" si="51"/>
        <v>#VALUE!</v>
      </c>
      <c r="AD82" s="364" t="e">
        <f t="shared" si="44"/>
        <v>#VALUE!</v>
      </c>
      <c r="AE82" s="90" t="e">
        <f t="shared" si="27"/>
        <v>#VALUE!</v>
      </c>
    </row>
    <row r="83" spans="1:31">
      <c r="A83" s="392">
        <v>58</v>
      </c>
      <c r="B83" s="95" t="e">
        <f t="shared" si="28"/>
        <v>#VALUE!</v>
      </c>
      <c r="C83" s="122" t="str">
        <f t="shared" si="29"/>
        <v xml:space="preserve"> </v>
      </c>
      <c r="D83" s="122" t="str">
        <f t="shared" si="30"/>
        <v xml:space="preserve"> </v>
      </c>
      <c r="E83" s="122" t="str">
        <f t="shared" si="31"/>
        <v xml:space="preserve"> </v>
      </c>
      <c r="F83" s="122" t="str">
        <f t="shared" si="32"/>
        <v xml:space="preserve"> </v>
      </c>
      <c r="G83" s="117" t="e">
        <f t="shared" si="33"/>
        <v>#VALUE!</v>
      </c>
      <c r="H83" s="118" t="e">
        <f t="shared" si="19"/>
        <v>#VALUE!</v>
      </c>
      <c r="I83" s="118"/>
      <c r="J83" s="119" t="e">
        <f t="shared" si="20"/>
        <v>#VALUE!</v>
      </c>
      <c r="K83" s="119" t="str">
        <f t="shared" si="45"/>
        <v xml:space="preserve"> </v>
      </c>
      <c r="L83" s="119" t="str">
        <f t="shared" si="46"/>
        <v xml:space="preserve"> </v>
      </c>
      <c r="M83" s="119" t="str">
        <f t="shared" si="47"/>
        <v xml:space="preserve"> </v>
      </c>
      <c r="N83" s="119" t="str">
        <f t="shared" si="48"/>
        <v xml:space="preserve"> </v>
      </c>
      <c r="O83" s="119" t="e">
        <f t="shared" si="49"/>
        <v>#VALUE!</v>
      </c>
      <c r="P83" s="119">
        <f t="shared" si="6"/>
        <v>0</v>
      </c>
      <c r="R83" s="93" t="str">
        <f t="shared" si="50"/>
        <v xml:space="preserve"> </v>
      </c>
      <c r="S83" s="90" t="str">
        <f t="shared" si="34"/>
        <v xml:space="preserve"> </v>
      </c>
      <c r="T83" s="90" t="str">
        <f t="shared" si="35"/>
        <v xml:space="preserve"> </v>
      </c>
      <c r="U83" s="90" t="str">
        <f t="shared" si="36"/>
        <v xml:space="preserve"> </v>
      </c>
      <c r="V83" s="90" t="str">
        <f t="shared" si="37"/>
        <v xml:space="preserve"> </v>
      </c>
      <c r="W83" s="90" t="str">
        <f t="shared" si="38"/>
        <v/>
      </c>
      <c r="X83" s="90" t="e">
        <f t="shared" si="39"/>
        <v>#VALUE!</v>
      </c>
      <c r="Y83" s="90" t="e">
        <f t="shared" si="40"/>
        <v>#VALUE!</v>
      </c>
      <c r="Z83" s="90" t="e">
        <f t="shared" si="41"/>
        <v>#VALUE!</v>
      </c>
      <c r="AA83" s="90" t="e">
        <f t="shared" si="42"/>
        <v>#VALUE!</v>
      </c>
      <c r="AB83" s="90" t="e">
        <f t="shared" si="43"/>
        <v>#VALUE!</v>
      </c>
      <c r="AC83" s="90" t="e">
        <f t="shared" si="51"/>
        <v>#VALUE!</v>
      </c>
      <c r="AD83" s="364" t="e">
        <f t="shared" si="44"/>
        <v>#VALUE!</v>
      </c>
      <c r="AE83" s="90" t="e">
        <f t="shared" si="27"/>
        <v>#VALUE!</v>
      </c>
    </row>
    <row r="84" spans="1:31">
      <c r="A84" s="392">
        <v>59</v>
      </c>
      <c r="B84" s="95" t="e">
        <f t="shared" si="28"/>
        <v>#VALUE!</v>
      </c>
      <c r="C84" s="122" t="str">
        <f t="shared" si="29"/>
        <v xml:space="preserve"> </v>
      </c>
      <c r="D84" s="122" t="str">
        <f t="shared" si="30"/>
        <v xml:space="preserve"> </v>
      </c>
      <c r="E84" s="122" t="str">
        <f t="shared" si="31"/>
        <v xml:space="preserve"> </v>
      </c>
      <c r="F84" s="122" t="str">
        <f t="shared" si="32"/>
        <v xml:space="preserve"> </v>
      </c>
      <c r="G84" s="117" t="e">
        <f t="shared" si="33"/>
        <v>#VALUE!</v>
      </c>
      <c r="H84" s="118" t="e">
        <f t="shared" si="19"/>
        <v>#VALUE!</v>
      </c>
      <c r="I84" s="118"/>
      <c r="J84" s="119" t="e">
        <f t="shared" si="20"/>
        <v>#VALUE!</v>
      </c>
      <c r="K84" s="119" t="str">
        <f t="shared" si="45"/>
        <v xml:space="preserve"> </v>
      </c>
      <c r="L84" s="119" t="str">
        <f t="shared" si="46"/>
        <v xml:space="preserve"> </v>
      </c>
      <c r="M84" s="119" t="str">
        <f t="shared" si="47"/>
        <v xml:space="preserve"> </v>
      </c>
      <c r="N84" s="119" t="str">
        <f t="shared" si="48"/>
        <v xml:space="preserve"> </v>
      </c>
      <c r="O84" s="119" t="e">
        <f t="shared" si="49"/>
        <v>#VALUE!</v>
      </c>
      <c r="P84" s="119">
        <f t="shared" si="6"/>
        <v>0</v>
      </c>
      <c r="R84" s="93" t="str">
        <f t="shared" si="50"/>
        <v xml:space="preserve"> </v>
      </c>
      <c r="S84" s="90" t="str">
        <f t="shared" si="34"/>
        <v xml:space="preserve"> </v>
      </c>
      <c r="T84" s="90" t="str">
        <f t="shared" si="35"/>
        <v xml:space="preserve"> </v>
      </c>
      <c r="U84" s="90" t="str">
        <f t="shared" si="36"/>
        <v xml:space="preserve"> </v>
      </c>
      <c r="V84" s="90" t="str">
        <f t="shared" si="37"/>
        <v xml:space="preserve"> </v>
      </c>
      <c r="W84" s="90" t="str">
        <f t="shared" si="38"/>
        <v/>
      </c>
      <c r="X84" s="90" t="e">
        <f t="shared" si="39"/>
        <v>#VALUE!</v>
      </c>
      <c r="Y84" s="90" t="e">
        <f t="shared" si="40"/>
        <v>#VALUE!</v>
      </c>
      <c r="Z84" s="90" t="e">
        <f t="shared" si="41"/>
        <v>#VALUE!</v>
      </c>
      <c r="AA84" s="90" t="e">
        <f t="shared" si="42"/>
        <v>#VALUE!</v>
      </c>
      <c r="AB84" s="90" t="e">
        <f t="shared" si="43"/>
        <v>#VALUE!</v>
      </c>
      <c r="AC84" s="90" t="e">
        <f t="shared" si="51"/>
        <v>#VALUE!</v>
      </c>
      <c r="AD84" s="364" t="e">
        <f t="shared" si="44"/>
        <v>#VALUE!</v>
      </c>
      <c r="AE84" s="90" t="e">
        <f t="shared" si="27"/>
        <v>#VALUE!</v>
      </c>
    </row>
    <row r="85" spans="1:31">
      <c r="A85" s="392">
        <v>60</v>
      </c>
      <c r="B85" s="95" t="e">
        <f t="shared" si="28"/>
        <v>#VALUE!</v>
      </c>
      <c r="C85" s="122" t="str">
        <f t="shared" si="29"/>
        <v xml:space="preserve"> </v>
      </c>
      <c r="D85" s="122" t="str">
        <f t="shared" si="30"/>
        <v xml:space="preserve"> </v>
      </c>
      <c r="E85" s="122" t="str">
        <f t="shared" si="31"/>
        <v xml:space="preserve"> </v>
      </c>
      <c r="F85" s="122" t="str">
        <f t="shared" si="32"/>
        <v xml:space="preserve"> </v>
      </c>
      <c r="G85" s="117" t="e">
        <f t="shared" si="33"/>
        <v>#VALUE!</v>
      </c>
      <c r="H85" s="118" t="e">
        <f t="shared" si="19"/>
        <v>#VALUE!</v>
      </c>
      <c r="I85" s="118"/>
      <c r="J85" s="119" t="e">
        <f t="shared" si="20"/>
        <v>#VALUE!</v>
      </c>
      <c r="K85" s="119" t="str">
        <f t="shared" si="45"/>
        <v xml:space="preserve"> </v>
      </c>
      <c r="L85" s="119" t="str">
        <f t="shared" si="46"/>
        <v xml:space="preserve"> </v>
      </c>
      <c r="M85" s="119" t="str">
        <f t="shared" si="47"/>
        <v xml:space="preserve"> </v>
      </c>
      <c r="N85" s="119" t="str">
        <f t="shared" si="48"/>
        <v xml:space="preserve"> </v>
      </c>
      <c r="O85" s="119" t="e">
        <f t="shared" si="49"/>
        <v>#VALUE!</v>
      </c>
      <c r="P85" s="119">
        <f t="shared" si="6"/>
        <v>0</v>
      </c>
      <c r="R85" s="93" t="str">
        <f t="shared" si="50"/>
        <v xml:space="preserve"> </v>
      </c>
      <c r="S85" s="90" t="str">
        <f t="shared" si="34"/>
        <v xml:space="preserve"> </v>
      </c>
      <c r="T85" s="90" t="str">
        <f t="shared" si="35"/>
        <v xml:space="preserve"> </v>
      </c>
      <c r="U85" s="90" t="str">
        <f t="shared" si="36"/>
        <v xml:space="preserve"> </v>
      </c>
      <c r="V85" s="90" t="str">
        <f t="shared" si="37"/>
        <v xml:space="preserve"> </v>
      </c>
      <c r="W85" s="90" t="str">
        <f t="shared" si="38"/>
        <v/>
      </c>
      <c r="X85" s="90" t="e">
        <f t="shared" si="39"/>
        <v>#VALUE!</v>
      </c>
      <c r="Y85" s="90" t="e">
        <f t="shared" si="40"/>
        <v>#VALUE!</v>
      </c>
      <c r="Z85" s="90" t="e">
        <f t="shared" si="41"/>
        <v>#VALUE!</v>
      </c>
      <c r="AA85" s="90" t="e">
        <f t="shared" si="42"/>
        <v>#VALUE!</v>
      </c>
      <c r="AB85" s="90" t="e">
        <f t="shared" si="43"/>
        <v>#VALUE!</v>
      </c>
      <c r="AC85" s="90" t="e">
        <f t="shared" si="51"/>
        <v>#VALUE!</v>
      </c>
      <c r="AD85" s="364" t="e">
        <f t="shared" si="44"/>
        <v>#VALUE!</v>
      </c>
      <c r="AE85" s="90" t="e">
        <f t="shared" si="27"/>
        <v>#VALUE!</v>
      </c>
    </row>
    <row r="86" spans="1:31">
      <c r="A86" s="392">
        <v>61</v>
      </c>
      <c r="B86" s="95" t="e">
        <f t="shared" si="28"/>
        <v>#VALUE!</v>
      </c>
      <c r="C86" s="122" t="str">
        <f t="shared" si="29"/>
        <v xml:space="preserve"> </v>
      </c>
      <c r="D86" s="122" t="str">
        <f t="shared" si="30"/>
        <v xml:space="preserve"> </v>
      </c>
      <c r="E86" s="122" t="str">
        <f t="shared" si="31"/>
        <v xml:space="preserve"> </v>
      </c>
      <c r="F86" s="122" t="str">
        <f t="shared" si="32"/>
        <v xml:space="preserve"> </v>
      </c>
      <c r="G86" s="117" t="e">
        <f t="shared" si="33"/>
        <v>#VALUE!</v>
      </c>
      <c r="H86" s="118" t="e">
        <f t="shared" si="19"/>
        <v>#VALUE!</v>
      </c>
      <c r="I86" s="118"/>
      <c r="J86" s="119" t="e">
        <f t="shared" si="20"/>
        <v>#VALUE!</v>
      </c>
      <c r="K86" s="119" t="str">
        <f t="shared" si="45"/>
        <v xml:space="preserve"> </v>
      </c>
      <c r="L86" s="119" t="str">
        <f t="shared" si="46"/>
        <v xml:space="preserve"> </v>
      </c>
      <c r="M86" s="119" t="str">
        <f t="shared" si="47"/>
        <v xml:space="preserve"> </v>
      </c>
      <c r="N86" s="119" t="str">
        <f t="shared" si="48"/>
        <v xml:space="preserve"> </v>
      </c>
      <c r="O86" s="119" t="e">
        <f t="shared" si="49"/>
        <v>#VALUE!</v>
      </c>
      <c r="P86" s="119">
        <f t="shared" si="6"/>
        <v>0</v>
      </c>
      <c r="R86" s="93" t="str">
        <f t="shared" si="50"/>
        <v xml:space="preserve"> </v>
      </c>
      <c r="S86" s="90" t="str">
        <f t="shared" si="34"/>
        <v xml:space="preserve"> </v>
      </c>
      <c r="T86" s="90" t="str">
        <f t="shared" si="35"/>
        <v xml:space="preserve"> </v>
      </c>
      <c r="U86" s="90" t="str">
        <f t="shared" si="36"/>
        <v xml:space="preserve"> </v>
      </c>
      <c r="V86" s="90" t="str">
        <f t="shared" si="37"/>
        <v xml:space="preserve"> </v>
      </c>
      <c r="W86" s="90" t="str">
        <f t="shared" si="38"/>
        <v/>
      </c>
      <c r="X86" s="90" t="e">
        <f t="shared" si="39"/>
        <v>#VALUE!</v>
      </c>
      <c r="Y86" s="90" t="e">
        <f t="shared" si="40"/>
        <v>#VALUE!</v>
      </c>
      <c r="Z86" s="90" t="e">
        <f t="shared" si="41"/>
        <v>#VALUE!</v>
      </c>
      <c r="AA86" s="90" t="e">
        <f t="shared" si="42"/>
        <v>#VALUE!</v>
      </c>
      <c r="AB86" s="90" t="e">
        <f t="shared" si="43"/>
        <v>#VALUE!</v>
      </c>
      <c r="AC86" s="90" t="e">
        <f t="shared" si="51"/>
        <v>#VALUE!</v>
      </c>
      <c r="AD86" s="364" t="e">
        <f t="shared" si="44"/>
        <v>#VALUE!</v>
      </c>
      <c r="AE86" s="90" t="e">
        <f t="shared" si="27"/>
        <v>#VALUE!</v>
      </c>
    </row>
    <row r="87" spans="1:31">
      <c r="A87" s="392">
        <v>62</v>
      </c>
      <c r="B87" s="95" t="e">
        <f t="shared" si="28"/>
        <v>#VALUE!</v>
      </c>
      <c r="C87" s="122" t="str">
        <f t="shared" si="29"/>
        <v xml:space="preserve"> </v>
      </c>
      <c r="D87" s="122" t="str">
        <f t="shared" si="30"/>
        <v xml:space="preserve"> </v>
      </c>
      <c r="E87" s="122" t="str">
        <f t="shared" si="31"/>
        <v xml:space="preserve"> </v>
      </c>
      <c r="F87" s="122" t="str">
        <f t="shared" si="32"/>
        <v xml:space="preserve"> </v>
      </c>
      <c r="G87" s="117" t="e">
        <f t="shared" si="33"/>
        <v>#VALUE!</v>
      </c>
      <c r="H87" s="118" t="e">
        <f t="shared" si="19"/>
        <v>#VALUE!</v>
      </c>
      <c r="I87" s="118"/>
      <c r="J87" s="119" t="e">
        <f t="shared" si="20"/>
        <v>#VALUE!</v>
      </c>
      <c r="K87" s="119" t="str">
        <f t="shared" si="45"/>
        <v xml:space="preserve"> </v>
      </c>
      <c r="L87" s="119" t="str">
        <f t="shared" si="46"/>
        <v xml:space="preserve"> </v>
      </c>
      <c r="M87" s="119" t="str">
        <f t="shared" si="47"/>
        <v xml:space="preserve"> </v>
      </c>
      <c r="N87" s="119" t="str">
        <f t="shared" si="48"/>
        <v xml:space="preserve"> </v>
      </c>
      <c r="O87" s="119" t="e">
        <f t="shared" si="49"/>
        <v>#VALUE!</v>
      </c>
      <c r="P87" s="119">
        <f t="shared" si="6"/>
        <v>0</v>
      </c>
      <c r="R87" s="93" t="str">
        <f t="shared" si="50"/>
        <v xml:space="preserve"> </v>
      </c>
      <c r="S87" s="90" t="str">
        <f t="shared" si="34"/>
        <v xml:space="preserve"> </v>
      </c>
      <c r="T87" s="90" t="str">
        <f t="shared" si="35"/>
        <v xml:space="preserve"> </v>
      </c>
      <c r="U87" s="90" t="str">
        <f t="shared" si="36"/>
        <v xml:space="preserve"> </v>
      </c>
      <c r="V87" s="90" t="str">
        <f t="shared" si="37"/>
        <v xml:space="preserve"> </v>
      </c>
      <c r="W87" s="90" t="str">
        <f t="shared" si="38"/>
        <v/>
      </c>
      <c r="X87" s="90" t="e">
        <f t="shared" si="39"/>
        <v>#VALUE!</v>
      </c>
      <c r="Y87" s="90" t="e">
        <f t="shared" si="40"/>
        <v>#VALUE!</v>
      </c>
      <c r="Z87" s="90" t="e">
        <f t="shared" si="41"/>
        <v>#VALUE!</v>
      </c>
      <c r="AA87" s="90" t="e">
        <f t="shared" si="42"/>
        <v>#VALUE!</v>
      </c>
      <c r="AB87" s="90" t="e">
        <f t="shared" si="43"/>
        <v>#VALUE!</v>
      </c>
      <c r="AC87" s="90" t="e">
        <f t="shared" si="51"/>
        <v>#VALUE!</v>
      </c>
      <c r="AD87" s="364" t="e">
        <f t="shared" si="44"/>
        <v>#VALUE!</v>
      </c>
      <c r="AE87" s="90" t="e">
        <f t="shared" si="27"/>
        <v>#VALUE!</v>
      </c>
    </row>
    <row r="88" spans="1:31">
      <c r="A88" s="392">
        <v>63</v>
      </c>
      <c r="B88" s="95" t="e">
        <f t="shared" si="28"/>
        <v>#VALUE!</v>
      </c>
      <c r="C88" s="122" t="str">
        <f t="shared" si="29"/>
        <v xml:space="preserve"> </v>
      </c>
      <c r="D88" s="122" t="str">
        <f t="shared" si="30"/>
        <v xml:space="preserve"> </v>
      </c>
      <c r="E88" s="122" t="str">
        <f t="shared" si="31"/>
        <v xml:space="preserve"> </v>
      </c>
      <c r="F88" s="122" t="str">
        <f t="shared" si="32"/>
        <v xml:space="preserve"> </v>
      </c>
      <c r="G88" s="117" t="e">
        <f t="shared" si="33"/>
        <v>#VALUE!</v>
      </c>
      <c r="H88" s="118" t="e">
        <f t="shared" si="19"/>
        <v>#VALUE!</v>
      </c>
      <c r="I88" s="118"/>
      <c r="J88" s="119" t="e">
        <f t="shared" si="20"/>
        <v>#VALUE!</v>
      </c>
      <c r="K88" s="119" t="str">
        <f t="shared" si="45"/>
        <v xml:space="preserve"> </v>
      </c>
      <c r="L88" s="119" t="str">
        <f t="shared" si="46"/>
        <v xml:space="preserve"> </v>
      </c>
      <c r="M88" s="119" t="str">
        <f t="shared" si="47"/>
        <v xml:space="preserve"> </v>
      </c>
      <c r="N88" s="119" t="str">
        <f t="shared" si="48"/>
        <v xml:space="preserve"> </v>
      </c>
      <c r="O88" s="119" t="e">
        <f t="shared" si="49"/>
        <v>#VALUE!</v>
      </c>
      <c r="P88" s="119">
        <f t="shared" si="6"/>
        <v>0</v>
      </c>
      <c r="R88" s="93" t="str">
        <f t="shared" si="50"/>
        <v xml:space="preserve"> </v>
      </c>
      <c r="S88" s="90" t="str">
        <f t="shared" si="34"/>
        <v xml:space="preserve"> </v>
      </c>
      <c r="T88" s="90" t="str">
        <f t="shared" si="35"/>
        <v xml:space="preserve"> </v>
      </c>
      <c r="U88" s="90" t="str">
        <f t="shared" si="36"/>
        <v xml:space="preserve"> </v>
      </c>
      <c r="V88" s="90" t="str">
        <f t="shared" si="37"/>
        <v xml:space="preserve"> </v>
      </c>
      <c r="W88" s="90" t="str">
        <f t="shared" si="38"/>
        <v/>
      </c>
      <c r="X88" s="90" t="e">
        <f t="shared" si="39"/>
        <v>#VALUE!</v>
      </c>
      <c r="Y88" s="90" t="e">
        <f t="shared" si="40"/>
        <v>#VALUE!</v>
      </c>
      <c r="Z88" s="90" t="e">
        <f t="shared" si="41"/>
        <v>#VALUE!</v>
      </c>
      <c r="AA88" s="90" t="e">
        <f t="shared" si="42"/>
        <v>#VALUE!</v>
      </c>
      <c r="AB88" s="90" t="e">
        <f t="shared" si="43"/>
        <v>#VALUE!</v>
      </c>
      <c r="AC88" s="90" t="e">
        <f t="shared" si="51"/>
        <v>#VALUE!</v>
      </c>
      <c r="AD88" s="364" t="e">
        <f t="shared" si="44"/>
        <v>#VALUE!</v>
      </c>
      <c r="AE88" s="90" t="e">
        <f t="shared" si="27"/>
        <v>#VALUE!</v>
      </c>
    </row>
    <row r="89" spans="1:31">
      <c r="A89" s="392">
        <v>64</v>
      </c>
      <c r="B89" s="95" t="e">
        <f t="shared" si="28"/>
        <v>#VALUE!</v>
      </c>
      <c r="C89" s="122" t="str">
        <f t="shared" si="29"/>
        <v xml:space="preserve"> </v>
      </c>
      <c r="D89" s="122" t="str">
        <f t="shared" si="30"/>
        <v xml:space="preserve"> </v>
      </c>
      <c r="E89" s="122" t="str">
        <f t="shared" si="31"/>
        <v xml:space="preserve"> </v>
      </c>
      <c r="F89" s="122" t="str">
        <f t="shared" si="32"/>
        <v xml:space="preserve"> </v>
      </c>
      <c r="G89" s="117" t="e">
        <f t="shared" si="33"/>
        <v>#VALUE!</v>
      </c>
      <c r="H89" s="118" t="e">
        <f t="shared" si="19"/>
        <v>#VALUE!</v>
      </c>
      <c r="I89" s="118"/>
      <c r="J89" s="119" t="e">
        <f t="shared" si="20"/>
        <v>#VALUE!</v>
      </c>
      <c r="K89" s="119" t="str">
        <f t="shared" si="45"/>
        <v xml:space="preserve"> </v>
      </c>
      <c r="L89" s="119" t="str">
        <f t="shared" si="46"/>
        <v xml:space="preserve"> </v>
      </c>
      <c r="M89" s="119" t="str">
        <f t="shared" si="47"/>
        <v xml:space="preserve"> </v>
      </c>
      <c r="N89" s="119" t="str">
        <f t="shared" si="48"/>
        <v xml:space="preserve"> </v>
      </c>
      <c r="O89" s="119" t="e">
        <f t="shared" si="49"/>
        <v>#VALUE!</v>
      </c>
      <c r="P89" s="119">
        <f t="shared" si="6"/>
        <v>0</v>
      </c>
      <c r="R89" s="93" t="str">
        <f t="shared" si="50"/>
        <v xml:space="preserve"> </v>
      </c>
      <c r="S89" s="90" t="str">
        <f t="shared" si="34"/>
        <v xml:space="preserve"> </v>
      </c>
      <c r="T89" s="90" t="str">
        <f t="shared" si="35"/>
        <v xml:space="preserve"> </v>
      </c>
      <c r="U89" s="90" t="str">
        <f t="shared" si="36"/>
        <v xml:space="preserve"> </v>
      </c>
      <c r="V89" s="90" t="str">
        <f t="shared" si="37"/>
        <v xml:space="preserve"> </v>
      </c>
      <c r="W89" s="90" t="str">
        <f t="shared" si="38"/>
        <v/>
      </c>
      <c r="X89" s="90" t="e">
        <f t="shared" si="39"/>
        <v>#VALUE!</v>
      </c>
      <c r="Y89" s="90" t="e">
        <f t="shared" si="40"/>
        <v>#VALUE!</v>
      </c>
      <c r="Z89" s="90" t="e">
        <f t="shared" si="41"/>
        <v>#VALUE!</v>
      </c>
      <c r="AA89" s="90" t="e">
        <f t="shared" si="42"/>
        <v>#VALUE!</v>
      </c>
      <c r="AB89" s="90" t="e">
        <f t="shared" si="43"/>
        <v>#VALUE!</v>
      </c>
      <c r="AC89" s="90" t="e">
        <f t="shared" si="51"/>
        <v>#VALUE!</v>
      </c>
      <c r="AD89" s="364" t="e">
        <f t="shared" si="44"/>
        <v>#VALUE!</v>
      </c>
      <c r="AE89" s="90" t="e">
        <f t="shared" si="27"/>
        <v>#VALUE!</v>
      </c>
    </row>
    <row r="90" spans="1:31" hidden="1">
      <c r="A90" s="392">
        <v>65</v>
      </c>
      <c r="B90" s="95" t="e">
        <f t="shared" si="28"/>
        <v>#VALUE!</v>
      </c>
      <c r="C90" s="122" t="str">
        <f t="shared" ref="C90:C121" si="52">IF(P_1,SQRT(POWER(SQRT(P_1^2-$T90*$T90)-SIN($U90*PI()/180)*ABS($R90),2)+Db_teor_UT^2)," ")</f>
        <v xml:space="preserve"> </v>
      </c>
      <c r="D90" s="122" t="str">
        <f t="shared" ref="D90:D121" si="53">IF(P_2,SQRT(POWER(SQRT(P_2^2-$T90*$T90)-SIN($U90*PI()/180)*ABS($R90),2)+Db_teor_UT^2)," ")</f>
        <v xml:space="preserve"> </v>
      </c>
      <c r="E90" s="122" t="str">
        <f t="shared" ref="E90:E121" si="54">IF(P_3,SQRT(POWER(SQRT(P_3^2-$T90*$T90)-SIN($U90*PI()/180)*ABS($R90),2)+Db_teor_UT^2)," ")</f>
        <v xml:space="preserve"> </v>
      </c>
      <c r="F90" s="122" t="str">
        <f t="shared" ref="F90:F121" si="55">IF(P_4,SQRT(POWER(SQRT(P_4^2-$T90*$T90)-SIN($U90*PI()/180)*ABS($R90),2)+Db_teor_UT^2)," ")</f>
        <v xml:space="preserve"> </v>
      </c>
      <c r="G90" s="117" t="e">
        <f t="shared" ref="G90:G121" si="56">(Mod._c.*(Z_ut*inv_apt+(H90-1)*PI())+Y90)*COS(ac.*PI()/180)</f>
        <v>#VALUE!</v>
      </c>
      <c r="H90" s="118" t="e">
        <f t="shared" si="19"/>
        <v>#VALUE!</v>
      </c>
      <c r="I90" s="118"/>
      <c r="R90" s="93" t="str">
        <f t="shared" si="50"/>
        <v xml:space="preserve"> </v>
      </c>
      <c r="S90" s="90" t="str">
        <f t="shared" ref="S90:S121" si="57">IF($C$7,R90/($K$9+$K$15)," ")</f>
        <v xml:space="preserve"> </v>
      </c>
      <c r="T90" s="90" t="str">
        <f t="shared" ref="T90:T121" si="58">IF($C$7,$O$7*ABS($K$9)*COS($O$5*PI()/180)," ")</f>
        <v xml:space="preserve"> </v>
      </c>
      <c r="U90" s="90" t="str">
        <f t="shared" ref="U90:U121" si="59">IF($C$7,(ACOS(T90/(S90*ABS($K$9))))*180/PI()," ")</f>
        <v xml:space="preserve"> </v>
      </c>
      <c r="V90" s="90" t="str">
        <f t="shared" ref="V90:V121" si="60">IF($C$7,COS($O$5*PI()/180)*$O$7*$K$15," ")</f>
        <v xml:space="preserve"> </v>
      </c>
      <c r="W90" s="90" t="str">
        <f t="shared" ref="W90:W121" si="61">IF($C$7,SQRT(POWER(C90,2)-POWER($K$17,2))/2,"")</f>
        <v/>
      </c>
      <c r="X90" s="90" t="e">
        <f t="shared" ref="X90:X121" si="62">TAN(U90*PI()/180)-RADIANS(U90)</f>
        <v>#VALUE!</v>
      </c>
      <c r="Y90" s="90" t="e">
        <f t="shared" ref="Y90:Y121" si="63">(PI()*$O$7-$K$19)+(X90-$O$9)*($K$9+$K$15)*$O$7</f>
        <v>#VALUE!</v>
      </c>
      <c r="Z90" s="90" t="e">
        <f t="shared" ref="Z90:Z121" si="64">(Y90-$O$7*PI()/2)/(2*$K$5*TAN($O$5*PI()/180))</f>
        <v>#VALUE!</v>
      </c>
      <c r="AA90" s="90" t="e">
        <f t="shared" ref="AA90:AA121" si="65">$O$7*$K$15+2*Z90*$K$5</f>
        <v>#VALUE!</v>
      </c>
      <c r="AB90" s="90" t="e">
        <f t="shared" ref="AB90:AB121" si="66">ACOS(V90/AA90)*180/PI()</f>
        <v>#VALUE!</v>
      </c>
      <c r="AC90" s="90" t="e">
        <f t="shared" si="51"/>
        <v>#VALUE!</v>
      </c>
      <c r="AD90" s="364" t="e">
        <f t="shared" ref="AD90:AD121" si="67">Z_ut/PI()*(TAN(AB90*PI()/180)-2*Z90/Z_ut*TAN(an*PI()/180)-inv_apt)+0.5</f>
        <v>#VALUE!</v>
      </c>
      <c r="AE90" s="90" t="e">
        <f t="shared" ref="AE90:AE131" si="68">ROUNDUP(AD90,0)</f>
        <v>#VALUE!</v>
      </c>
    </row>
    <row r="91" spans="1:31" hidden="1">
      <c r="A91" s="392">
        <v>66</v>
      </c>
      <c r="B91" s="95" t="e">
        <f t="shared" si="28"/>
        <v>#VALUE!</v>
      </c>
      <c r="C91" s="122" t="str">
        <f t="shared" si="52"/>
        <v xml:space="preserve"> </v>
      </c>
      <c r="D91" s="122" t="str">
        <f t="shared" si="53"/>
        <v xml:space="preserve"> </v>
      </c>
      <c r="E91" s="122" t="str">
        <f t="shared" si="54"/>
        <v xml:space="preserve"> </v>
      </c>
      <c r="F91" s="122" t="str">
        <f t="shared" si="55"/>
        <v xml:space="preserve"> </v>
      </c>
      <c r="G91" s="117" t="e">
        <f t="shared" si="56"/>
        <v>#VALUE!</v>
      </c>
      <c r="H91" s="118" t="e">
        <f t="shared" ref="H91:H153" si="69">AE91</f>
        <v>#VALUE!</v>
      </c>
      <c r="I91" s="118"/>
      <c r="R91" s="93" t="str">
        <f t="shared" ref="R91:R122" si="70">IF($C$7,IF($K$9&gt;0,B91+$K$13,B91-ABS($K$13))," ")</f>
        <v xml:space="preserve"> </v>
      </c>
      <c r="S91" s="90" t="str">
        <f t="shared" si="57"/>
        <v xml:space="preserve"> </v>
      </c>
      <c r="T91" s="90" t="str">
        <f t="shared" si="58"/>
        <v xml:space="preserve"> </v>
      </c>
      <c r="U91" s="90" t="str">
        <f t="shared" si="59"/>
        <v xml:space="preserve"> </v>
      </c>
      <c r="V91" s="90" t="str">
        <f t="shared" si="60"/>
        <v xml:space="preserve"> </v>
      </c>
      <c r="W91" s="90" t="str">
        <f t="shared" si="61"/>
        <v/>
      </c>
      <c r="X91" s="90" t="e">
        <f t="shared" si="62"/>
        <v>#VALUE!</v>
      </c>
      <c r="Y91" s="90" t="e">
        <f t="shared" si="63"/>
        <v>#VALUE!</v>
      </c>
      <c r="Z91" s="90" t="e">
        <f t="shared" si="64"/>
        <v>#VALUE!</v>
      </c>
      <c r="AA91" s="90" t="e">
        <f t="shared" si="65"/>
        <v>#VALUE!</v>
      </c>
      <c r="AB91" s="90" t="e">
        <f t="shared" si="66"/>
        <v>#VALUE!</v>
      </c>
      <c r="AC91" s="90" t="e">
        <f t="shared" si="51"/>
        <v>#VALUE!</v>
      </c>
      <c r="AD91" s="364" t="e">
        <f t="shared" si="67"/>
        <v>#VALUE!</v>
      </c>
      <c r="AE91" s="90" t="e">
        <f t="shared" si="68"/>
        <v>#VALUE!</v>
      </c>
    </row>
    <row r="92" spans="1:31" hidden="1">
      <c r="A92" s="392">
        <v>67</v>
      </c>
      <c r="B92" s="95" t="e">
        <f t="shared" ref="B92:B153" si="71">B91-C$17</f>
        <v>#VALUE!</v>
      </c>
      <c r="C92" s="122" t="str">
        <f t="shared" si="52"/>
        <v xml:space="preserve"> </v>
      </c>
      <c r="D92" s="122" t="str">
        <f t="shared" si="53"/>
        <v xml:space="preserve"> </v>
      </c>
      <c r="E92" s="122" t="str">
        <f t="shared" si="54"/>
        <v xml:space="preserve"> </v>
      </c>
      <c r="F92" s="122" t="str">
        <f t="shared" si="55"/>
        <v xml:space="preserve"> </v>
      </c>
      <c r="G92" s="117" t="e">
        <f t="shared" si="56"/>
        <v>#VALUE!</v>
      </c>
      <c r="H92" s="118" t="e">
        <f t="shared" si="69"/>
        <v>#VALUE!</v>
      </c>
      <c r="I92" s="118"/>
      <c r="R92" s="93" t="str">
        <f t="shared" si="70"/>
        <v xml:space="preserve"> </v>
      </c>
      <c r="S92" s="90" t="str">
        <f t="shared" si="57"/>
        <v xml:space="preserve"> </v>
      </c>
      <c r="T92" s="90" t="str">
        <f t="shared" si="58"/>
        <v xml:space="preserve"> </v>
      </c>
      <c r="U92" s="90" t="str">
        <f t="shared" si="59"/>
        <v xml:space="preserve"> </v>
      </c>
      <c r="V92" s="90" t="str">
        <f t="shared" si="60"/>
        <v xml:space="preserve"> </v>
      </c>
      <c r="W92" s="90" t="str">
        <f t="shared" si="61"/>
        <v/>
      </c>
      <c r="X92" s="90" t="e">
        <f t="shared" si="62"/>
        <v>#VALUE!</v>
      </c>
      <c r="Y92" s="90" t="e">
        <f t="shared" si="63"/>
        <v>#VALUE!</v>
      </c>
      <c r="Z92" s="90" t="e">
        <f t="shared" si="64"/>
        <v>#VALUE!</v>
      </c>
      <c r="AA92" s="90" t="e">
        <f t="shared" si="65"/>
        <v>#VALUE!</v>
      </c>
      <c r="AB92" s="90" t="e">
        <f t="shared" si="66"/>
        <v>#VALUE!</v>
      </c>
      <c r="AC92" s="90" t="e">
        <f t="shared" si="51"/>
        <v>#VALUE!</v>
      </c>
      <c r="AD92" s="364" t="e">
        <f t="shared" si="67"/>
        <v>#VALUE!</v>
      </c>
      <c r="AE92" s="90" t="e">
        <f t="shared" si="68"/>
        <v>#VALUE!</v>
      </c>
    </row>
    <row r="93" spans="1:31" hidden="1">
      <c r="A93" s="392">
        <v>68</v>
      </c>
      <c r="B93" s="95" t="e">
        <f t="shared" si="71"/>
        <v>#VALUE!</v>
      </c>
      <c r="C93" s="122" t="str">
        <f t="shared" si="52"/>
        <v xml:space="preserve"> </v>
      </c>
      <c r="D93" s="122" t="str">
        <f t="shared" si="53"/>
        <v xml:space="preserve"> </v>
      </c>
      <c r="E93" s="122" t="str">
        <f t="shared" si="54"/>
        <v xml:space="preserve"> </v>
      </c>
      <c r="F93" s="122" t="str">
        <f t="shared" si="55"/>
        <v xml:space="preserve"> </v>
      </c>
      <c r="G93" s="117" t="e">
        <f t="shared" si="56"/>
        <v>#VALUE!</v>
      </c>
      <c r="H93" s="118" t="e">
        <f t="shared" si="69"/>
        <v>#VALUE!</v>
      </c>
      <c r="I93" s="118"/>
      <c r="R93" s="93" t="str">
        <f t="shared" si="70"/>
        <v xml:space="preserve"> </v>
      </c>
      <c r="S93" s="90" t="str">
        <f t="shared" si="57"/>
        <v xml:space="preserve"> </v>
      </c>
      <c r="T93" s="90" t="str">
        <f t="shared" si="58"/>
        <v xml:space="preserve"> </v>
      </c>
      <c r="U93" s="90" t="str">
        <f t="shared" si="59"/>
        <v xml:space="preserve"> </v>
      </c>
      <c r="V93" s="90" t="str">
        <f t="shared" si="60"/>
        <v xml:space="preserve"> </v>
      </c>
      <c r="W93" s="90" t="str">
        <f t="shared" si="61"/>
        <v/>
      </c>
      <c r="X93" s="90" t="e">
        <f t="shared" si="62"/>
        <v>#VALUE!</v>
      </c>
      <c r="Y93" s="90" t="e">
        <f t="shared" si="63"/>
        <v>#VALUE!</v>
      </c>
      <c r="Z93" s="90" t="e">
        <f t="shared" si="64"/>
        <v>#VALUE!</v>
      </c>
      <c r="AA93" s="90" t="e">
        <f t="shared" si="65"/>
        <v>#VALUE!</v>
      </c>
      <c r="AB93" s="90" t="e">
        <f t="shared" si="66"/>
        <v>#VALUE!</v>
      </c>
      <c r="AC93" s="90" t="e">
        <f t="shared" si="51"/>
        <v>#VALUE!</v>
      </c>
      <c r="AD93" s="364" t="e">
        <f t="shared" si="67"/>
        <v>#VALUE!</v>
      </c>
      <c r="AE93" s="90" t="e">
        <f t="shared" si="68"/>
        <v>#VALUE!</v>
      </c>
    </row>
    <row r="94" spans="1:31" hidden="1">
      <c r="A94" s="392">
        <v>69</v>
      </c>
      <c r="B94" s="95" t="e">
        <f t="shared" si="71"/>
        <v>#VALUE!</v>
      </c>
      <c r="C94" s="122" t="str">
        <f t="shared" si="52"/>
        <v xml:space="preserve"> </v>
      </c>
      <c r="D94" s="122" t="str">
        <f t="shared" si="53"/>
        <v xml:space="preserve"> </v>
      </c>
      <c r="E94" s="122" t="str">
        <f t="shared" si="54"/>
        <v xml:space="preserve"> </v>
      </c>
      <c r="F94" s="122" t="str">
        <f t="shared" si="55"/>
        <v xml:space="preserve"> </v>
      </c>
      <c r="G94" s="117" t="e">
        <f t="shared" si="56"/>
        <v>#VALUE!</v>
      </c>
      <c r="H94" s="118" t="e">
        <f t="shared" si="69"/>
        <v>#VALUE!</v>
      </c>
      <c r="I94" s="118"/>
      <c r="R94" s="93" t="str">
        <f t="shared" si="70"/>
        <v xml:space="preserve"> </v>
      </c>
      <c r="S94" s="90" t="str">
        <f t="shared" si="57"/>
        <v xml:space="preserve"> </v>
      </c>
      <c r="T94" s="90" t="str">
        <f t="shared" si="58"/>
        <v xml:space="preserve"> </v>
      </c>
      <c r="U94" s="90" t="str">
        <f t="shared" si="59"/>
        <v xml:space="preserve"> </v>
      </c>
      <c r="V94" s="90" t="str">
        <f t="shared" si="60"/>
        <v xml:space="preserve"> </v>
      </c>
      <c r="W94" s="90" t="str">
        <f t="shared" si="61"/>
        <v/>
      </c>
      <c r="X94" s="90" t="e">
        <f t="shared" si="62"/>
        <v>#VALUE!</v>
      </c>
      <c r="Y94" s="90" t="e">
        <f t="shared" si="63"/>
        <v>#VALUE!</v>
      </c>
      <c r="Z94" s="90" t="e">
        <f t="shared" si="64"/>
        <v>#VALUE!</v>
      </c>
      <c r="AA94" s="90" t="e">
        <f t="shared" si="65"/>
        <v>#VALUE!</v>
      </c>
      <c r="AB94" s="90" t="e">
        <f t="shared" si="66"/>
        <v>#VALUE!</v>
      </c>
      <c r="AC94" s="90" t="e">
        <f t="shared" si="51"/>
        <v>#VALUE!</v>
      </c>
      <c r="AD94" s="364" t="e">
        <f t="shared" si="67"/>
        <v>#VALUE!</v>
      </c>
      <c r="AE94" s="90" t="e">
        <f t="shared" si="68"/>
        <v>#VALUE!</v>
      </c>
    </row>
    <row r="95" spans="1:31" hidden="1">
      <c r="A95" s="392">
        <v>70</v>
      </c>
      <c r="B95" s="95" t="e">
        <f t="shared" si="71"/>
        <v>#VALUE!</v>
      </c>
      <c r="C95" s="122" t="str">
        <f t="shared" si="52"/>
        <v xml:space="preserve"> </v>
      </c>
      <c r="D95" s="122" t="str">
        <f t="shared" si="53"/>
        <v xml:space="preserve"> </v>
      </c>
      <c r="E95" s="122" t="str">
        <f t="shared" si="54"/>
        <v xml:space="preserve"> </v>
      </c>
      <c r="F95" s="122" t="str">
        <f t="shared" si="55"/>
        <v xml:space="preserve"> </v>
      </c>
      <c r="G95" s="117" t="e">
        <f t="shared" si="56"/>
        <v>#VALUE!</v>
      </c>
      <c r="H95" s="118" t="e">
        <f t="shared" si="69"/>
        <v>#VALUE!</v>
      </c>
      <c r="I95" s="118"/>
      <c r="R95" s="93" t="str">
        <f t="shared" si="70"/>
        <v xml:space="preserve"> </v>
      </c>
      <c r="S95" s="90" t="str">
        <f t="shared" si="57"/>
        <v xml:space="preserve"> </v>
      </c>
      <c r="T95" s="90" t="str">
        <f t="shared" si="58"/>
        <v xml:space="preserve"> </v>
      </c>
      <c r="U95" s="90" t="str">
        <f t="shared" si="59"/>
        <v xml:space="preserve"> </v>
      </c>
      <c r="V95" s="90" t="str">
        <f t="shared" si="60"/>
        <v xml:space="preserve"> </v>
      </c>
      <c r="W95" s="90" t="str">
        <f t="shared" si="61"/>
        <v/>
      </c>
      <c r="X95" s="90" t="e">
        <f t="shared" si="62"/>
        <v>#VALUE!</v>
      </c>
      <c r="Y95" s="90" t="e">
        <f t="shared" si="63"/>
        <v>#VALUE!</v>
      </c>
      <c r="Z95" s="90" t="e">
        <f t="shared" si="64"/>
        <v>#VALUE!</v>
      </c>
      <c r="AA95" s="90" t="e">
        <f t="shared" si="65"/>
        <v>#VALUE!</v>
      </c>
      <c r="AB95" s="90" t="e">
        <f t="shared" si="66"/>
        <v>#VALUE!</v>
      </c>
      <c r="AC95" s="90" t="e">
        <f t="shared" si="51"/>
        <v>#VALUE!</v>
      </c>
      <c r="AD95" s="364" t="e">
        <f t="shared" si="67"/>
        <v>#VALUE!</v>
      </c>
      <c r="AE95" s="90" t="e">
        <f t="shared" si="68"/>
        <v>#VALUE!</v>
      </c>
    </row>
    <row r="96" spans="1:31" hidden="1">
      <c r="A96" s="392">
        <v>71</v>
      </c>
      <c r="B96" s="95" t="e">
        <f t="shared" si="71"/>
        <v>#VALUE!</v>
      </c>
      <c r="C96" s="122" t="str">
        <f t="shared" si="52"/>
        <v xml:space="preserve"> </v>
      </c>
      <c r="D96" s="122" t="str">
        <f t="shared" si="53"/>
        <v xml:space="preserve"> </v>
      </c>
      <c r="E96" s="122" t="str">
        <f t="shared" si="54"/>
        <v xml:space="preserve"> </v>
      </c>
      <c r="F96" s="122" t="str">
        <f t="shared" si="55"/>
        <v xml:space="preserve"> </v>
      </c>
      <c r="G96" s="117" t="e">
        <f t="shared" si="56"/>
        <v>#VALUE!</v>
      </c>
      <c r="H96" s="118" t="e">
        <f t="shared" si="69"/>
        <v>#VALUE!</v>
      </c>
      <c r="I96" s="118"/>
      <c r="R96" s="93" t="str">
        <f t="shared" si="70"/>
        <v xml:space="preserve"> </v>
      </c>
      <c r="S96" s="90" t="str">
        <f t="shared" si="57"/>
        <v xml:space="preserve"> </v>
      </c>
      <c r="T96" s="90" t="str">
        <f t="shared" si="58"/>
        <v xml:space="preserve"> </v>
      </c>
      <c r="U96" s="90" t="str">
        <f t="shared" si="59"/>
        <v xml:space="preserve"> </v>
      </c>
      <c r="V96" s="90" t="str">
        <f t="shared" si="60"/>
        <v xml:space="preserve"> </v>
      </c>
      <c r="W96" s="90" t="str">
        <f t="shared" si="61"/>
        <v/>
      </c>
      <c r="X96" s="90" t="e">
        <f t="shared" si="62"/>
        <v>#VALUE!</v>
      </c>
      <c r="Y96" s="90" t="e">
        <f t="shared" si="63"/>
        <v>#VALUE!</v>
      </c>
      <c r="Z96" s="90" t="e">
        <f t="shared" si="64"/>
        <v>#VALUE!</v>
      </c>
      <c r="AA96" s="90" t="e">
        <f t="shared" si="65"/>
        <v>#VALUE!</v>
      </c>
      <c r="AB96" s="90" t="e">
        <f t="shared" si="66"/>
        <v>#VALUE!</v>
      </c>
      <c r="AC96" s="90" t="e">
        <f t="shared" si="51"/>
        <v>#VALUE!</v>
      </c>
      <c r="AD96" s="364" t="e">
        <f t="shared" si="67"/>
        <v>#VALUE!</v>
      </c>
      <c r="AE96" s="90" t="e">
        <f t="shared" si="68"/>
        <v>#VALUE!</v>
      </c>
    </row>
    <row r="97" spans="1:31" hidden="1">
      <c r="A97" s="392">
        <v>72</v>
      </c>
      <c r="B97" s="95" t="e">
        <f t="shared" si="71"/>
        <v>#VALUE!</v>
      </c>
      <c r="C97" s="122" t="str">
        <f t="shared" si="52"/>
        <v xml:space="preserve"> </v>
      </c>
      <c r="D97" s="122" t="str">
        <f t="shared" si="53"/>
        <v xml:space="preserve"> </v>
      </c>
      <c r="E97" s="122" t="str">
        <f t="shared" si="54"/>
        <v xml:space="preserve"> </v>
      </c>
      <c r="F97" s="122" t="str">
        <f t="shared" si="55"/>
        <v xml:space="preserve"> </v>
      </c>
      <c r="G97" s="117" t="e">
        <f t="shared" si="56"/>
        <v>#VALUE!</v>
      </c>
      <c r="H97" s="118" t="e">
        <f t="shared" si="69"/>
        <v>#VALUE!</v>
      </c>
      <c r="I97" s="118"/>
      <c r="R97" s="93" t="str">
        <f t="shared" si="70"/>
        <v xml:space="preserve"> </v>
      </c>
      <c r="S97" s="90" t="str">
        <f t="shared" si="57"/>
        <v xml:space="preserve"> </v>
      </c>
      <c r="T97" s="90" t="str">
        <f t="shared" si="58"/>
        <v xml:space="preserve"> </v>
      </c>
      <c r="U97" s="90" t="str">
        <f t="shared" si="59"/>
        <v xml:space="preserve"> </v>
      </c>
      <c r="V97" s="90" t="str">
        <f t="shared" si="60"/>
        <v xml:space="preserve"> </v>
      </c>
      <c r="W97" s="90" t="str">
        <f t="shared" si="61"/>
        <v/>
      </c>
      <c r="X97" s="90" t="e">
        <f t="shared" si="62"/>
        <v>#VALUE!</v>
      </c>
      <c r="Y97" s="90" t="e">
        <f t="shared" si="63"/>
        <v>#VALUE!</v>
      </c>
      <c r="Z97" s="90" t="e">
        <f t="shared" si="64"/>
        <v>#VALUE!</v>
      </c>
      <c r="AA97" s="90" t="e">
        <f t="shared" si="65"/>
        <v>#VALUE!</v>
      </c>
      <c r="AB97" s="90" t="e">
        <f t="shared" si="66"/>
        <v>#VALUE!</v>
      </c>
      <c r="AC97" s="90" t="e">
        <f t="shared" si="51"/>
        <v>#VALUE!</v>
      </c>
      <c r="AD97" s="364" t="e">
        <f t="shared" si="67"/>
        <v>#VALUE!</v>
      </c>
      <c r="AE97" s="90" t="e">
        <f t="shared" si="68"/>
        <v>#VALUE!</v>
      </c>
    </row>
    <row r="98" spans="1:31" hidden="1">
      <c r="A98" s="392">
        <v>73</v>
      </c>
      <c r="B98" s="95" t="e">
        <f t="shared" si="71"/>
        <v>#VALUE!</v>
      </c>
      <c r="C98" s="122" t="str">
        <f t="shared" si="52"/>
        <v xml:space="preserve"> </v>
      </c>
      <c r="D98" s="122" t="str">
        <f t="shared" si="53"/>
        <v xml:space="preserve"> </v>
      </c>
      <c r="E98" s="122" t="str">
        <f t="shared" si="54"/>
        <v xml:space="preserve"> </v>
      </c>
      <c r="F98" s="122" t="str">
        <f t="shared" si="55"/>
        <v xml:space="preserve"> </v>
      </c>
      <c r="G98" s="117" t="e">
        <f t="shared" si="56"/>
        <v>#VALUE!</v>
      </c>
      <c r="H98" s="118" t="e">
        <f t="shared" si="69"/>
        <v>#VALUE!</v>
      </c>
      <c r="I98" s="118"/>
      <c r="R98" s="93" t="str">
        <f t="shared" si="70"/>
        <v xml:space="preserve"> </v>
      </c>
      <c r="S98" s="90" t="str">
        <f t="shared" si="57"/>
        <v xml:space="preserve"> </v>
      </c>
      <c r="T98" s="90" t="str">
        <f t="shared" si="58"/>
        <v xml:space="preserve"> </v>
      </c>
      <c r="U98" s="90" t="str">
        <f t="shared" si="59"/>
        <v xml:space="preserve"> </v>
      </c>
      <c r="V98" s="90" t="str">
        <f t="shared" si="60"/>
        <v xml:space="preserve"> </v>
      </c>
      <c r="W98" s="90" t="str">
        <f t="shared" si="61"/>
        <v/>
      </c>
      <c r="X98" s="90" t="e">
        <f t="shared" si="62"/>
        <v>#VALUE!</v>
      </c>
      <c r="Y98" s="90" t="e">
        <f t="shared" si="63"/>
        <v>#VALUE!</v>
      </c>
      <c r="Z98" s="90" t="e">
        <f t="shared" si="64"/>
        <v>#VALUE!</v>
      </c>
      <c r="AA98" s="90" t="e">
        <f t="shared" si="65"/>
        <v>#VALUE!</v>
      </c>
      <c r="AB98" s="90" t="e">
        <f t="shared" si="66"/>
        <v>#VALUE!</v>
      </c>
      <c r="AC98" s="90" t="e">
        <f t="shared" si="51"/>
        <v>#VALUE!</v>
      </c>
      <c r="AD98" s="364" t="e">
        <f t="shared" si="67"/>
        <v>#VALUE!</v>
      </c>
      <c r="AE98" s="90" t="e">
        <f t="shared" si="68"/>
        <v>#VALUE!</v>
      </c>
    </row>
    <row r="99" spans="1:31" hidden="1">
      <c r="A99" s="392">
        <v>74</v>
      </c>
      <c r="B99" s="95" t="e">
        <f t="shared" si="71"/>
        <v>#VALUE!</v>
      </c>
      <c r="C99" s="122" t="str">
        <f t="shared" si="52"/>
        <v xml:space="preserve"> </v>
      </c>
      <c r="D99" s="122" t="str">
        <f t="shared" si="53"/>
        <v xml:space="preserve"> </v>
      </c>
      <c r="E99" s="122" t="str">
        <f t="shared" si="54"/>
        <v xml:space="preserve"> </v>
      </c>
      <c r="F99" s="122" t="str">
        <f t="shared" si="55"/>
        <v xml:space="preserve"> </v>
      </c>
      <c r="G99" s="117" t="e">
        <f t="shared" si="56"/>
        <v>#VALUE!</v>
      </c>
      <c r="H99" s="118" t="e">
        <f t="shared" si="69"/>
        <v>#VALUE!</v>
      </c>
      <c r="I99" s="118"/>
      <c r="R99" s="93" t="str">
        <f t="shared" si="70"/>
        <v xml:space="preserve"> </v>
      </c>
      <c r="S99" s="90" t="str">
        <f t="shared" si="57"/>
        <v xml:space="preserve"> </v>
      </c>
      <c r="T99" s="90" t="str">
        <f t="shared" si="58"/>
        <v xml:space="preserve"> </v>
      </c>
      <c r="U99" s="90" t="str">
        <f t="shared" si="59"/>
        <v xml:space="preserve"> </v>
      </c>
      <c r="V99" s="90" t="str">
        <f t="shared" si="60"/>
        <v xml:space="preserve"> </v>
      </c>
      <c r="W99" s="90" t="str">
        <f t="shared" si="61"/>
        <v/>
      </c>
      <c r="X99" s="90" t="e">
        <f t="shared" si="62"/>
        <v>#VALUE!</v>
      </c>
      <c r="Y99" s="90" t="e">
        <f t="shared" si="63"/>
        <v>#VALUE!</v>
      </c>
      <c r="Z99" s="90" t="e">
        <f t="shared" si="64"/>
        <v>#VALUE!</v>
      </c>
      <c r="AA99" s="90" t="e">
        <f t="shared" si="65"/>
        <v>#VALUE!</v>
      </c>
      <c r="AB99" s="90" t="e">
        <f t="shared" si="66"/>
        <v>#VALUE!</v>
      </c>
      <c r="AC99" s="90" t="e">
        <f t="shared" si="51"/>
        <v>#VALUE!</v>
      </c>
      <c r="AD99" s="364" t="e">
        <f t="shared" si="67"/>
        <v>#VALUE!</v>
      </c>
      <c r="AE99" s="90" t="e">
        <f t="shared" si="68"/>
        <v>#VALUE!</v>
      </c>
    </row>
    <row r="100" spans="1:31" hidden="1">
      <c r="A100" s="392">
        <v>75</v>
      </c>
      <c r="B100" s="95" t="e">
        <f t="shared" si="71"/>
        <v>#VALUE!</v>
      </c>
      <c r="C100" s="122" t="str">
        <f t="shared" si="52"/>
        <v xml:space="preserve"> </v>
      </c>
      <c r="D100" s="122" t="str">
        <f t="shared" si="53"/>
        <v xml:space="preserve"> </v>
      </c>
      <c r="E100" s="122" t="str">
        <f t="shared" si="54"/>
        <v xml:space="preserve"> </v>
      </c>
      <c r="F100" s="122" t="str">
        <f t="shared" si="55"/>
        <v xml:space="preserve"> </v>
      </c>
      <c r="G100" s="117" t="e">
        <f t="shared" si="56"/>
        <v>#VALUE!</v>
      </c>
      <c r="H100" s="118" t="e">
        <f t="shared" si="69"/>
        <v>#VALUE!</v>
      </c>
      <c r="I100" s="118"/>
      <c r="R100" s="93" t="str">
        <f t="shared" si="70"/>
        <v xml:space="preserve"> </v>
      </c>
      <c r="S100" s="90" t="str">
        <f t="shared" si="57"/>
        <v xml:space="preserve"> </v>
      </c>
      <c r="T100" s="90" t="str">
        <f t="shared" si="58"/>
        <v xml:space="preserve"> </v>
      </c>
      <c r="U100" s="90" t="str">
        <f t="shared" si="59"/>
        <v xml:space="preserve"> </v>
      </c>
      <c r="V100" s="90" t="str">
        <f t="shared" si="60"/>
        <v xml:space="preserve"> </v>
      </c>
      <c r="W100" s="90" t="str">
        <f t="shared" si="61"/>
        <v/>
      </c>
      <c r="X100" s="90" t="e">
        <f t="shared" si="62"/>
        <v>#VALUE!</v>
      </c>
      <c r="Y100" s="90" t="e">
        <f t="shared" si="63"/>
        <v>#VALUE!</v>
      </c>
      <c r="Z100" s="90" t="e">
        <f t="shared" si="64"/>
        <v>#VALUE!</v>
      </c>
      <c r="AA100" s="90" t="e">
        <f t="shared" si="65"/>
        <v>#VALUE!</v>
      </c>
      <c r="AB100" s="90" t="e">
        <f t="shared" si="66"/>
        <v>#VALUE!</v>
      </c>
      <c r="AC100" s="90" t="e">
        <f t="shared" si="51"/>
        <v>#VALUE!</v>
      </c>
      <c r="AD100" s="364" t="e">
        <f t="shared" si="67"/>
        <v>#VALUE!</v>
      </c>
      <c r="AE100" s="90" t="e">
        <f t="shared" si="68"/>
        <v>#VALUE!</v>
      </c>
    </row>
    <row r="101" spans="1:31" hidden="1">
      <c r="A101" s="392">
        <v>76</v>
      </c>
      <c r="B101" s="95" t="e">
        <f t="shared" si="71"/>
        <v>#VALUE!</v>
      </c>
      <c r="C101" s="122" t="str">
        <f t="shared" si="52"/>
        <v xml:space="preserve"> </v>
      </c>
      <c r="D101" s="122" t="str">
        <f t="shared" si="53"/>
        <v xml:space="preserve"> </v>
      </c>
      <c r="E101" s="122" t="str">
        <f t="shared" si="54"/>
        <v xml:space="preserve"> </v>
      </c>
      <c r="F101" s="122" t="str">
        <f t="shared" si="55"/>
        <v xml:space="preserve"> </v>
      </c>
      <c r="G101" s="117" t="e">
        <f t="shared" si="56"/>
        <v>#VALUE!</v>
      </c>
      <c r="H101" s="118" t="e">
        <f t="shared" si="69"/>
        <v>#VALUE!</v>
      </c>
      <c r="I101" s="118"/>
      <c r="R101" s="93" t="str">
        <f t="shared" si="70"/>
        <v xml:space="preserve"> </v>
      </c>
      <c r="S101" s="90" t="str">
        <f t="shared" si="57"/>
        <v xml:space="preserve"> </v>
      </c>
      <c r="T101" s="90" t="str">
        <f t="shared" si="58"/>
        <v xml:space="preserve"> </v>
      </c>
      <c r="U101" s="90" t="str">
        <f t="shared" si="59"/>
        <v xml:space="preserve"> </v>
      </c>
      <c r="V101" s="90" t="str">
        <f t="shared" si="60"/>
        <v xml:space="preserve"> </v>
      </c>
      <c r="W101" s="90" t="str">
        <f t="shared" si="61"/>
        <v/>
      </c>
      <c r="X101" s="90" t="e">
        <f t="shared" si="62"/>
        <v>#VALUE!</v>
      </c>
      <c r="Y101" s="90" t="e">
        <f t="shared" si="63"/>
        <v>#VALUE!</v>
      </c>
      <c r="Z101" s="90" t="e">
        <f t="shared" si="64"/>
        <v>#VALUE!</v>
      </c>
      <c r="AA101" s="90" t="e">
        <f t="shared" si="65"/>
        <v>#VALUE!</v>
      </c>
      <c r="AB101" s="90" t="e">
        <f t="shared" si="66"/>
        <v>#VALUE!</v>
      </c>
      <c r="AC101" s="90" t="e">
        <f t="shared" si="51"/>
        <v>#VALUE!</v>
      </c>
      <c r="AD101" s="364" t="e">
        <f t="shared" si="67"/>
        <v>#VALUE!</v>
      </c>
      <c r="AE101" s="90" t="e">
        <f t="shared" si="68"/>
        <v>#VALUE!</v>
      </c>
    </row>
    <row r="102" spans="1:31" hidden="1">
      <c r="A102" s="392">
        <v>77</v>
      </c>
      <c r="B102" s="95" t="e">
        <f t="shared" si="71"/>
        <v>#VALUE!</v>
      </c>
      <c r="C102" s="122" t="str">
        <f t="shared" si="52"/>
        <v xml:space="preserve"> </v>
      </c>
      <c r="D102" s="122" t="str">
        <f t="shared" si="53"/>
        <v xml:space="preserve"> </v>
      </c>
      <c r="E102" s="122" t="str">
        <f t="shared" si="54"/>
        <v xml:space="preserve"> </v>
      </c>
      <c r="F102" s="122" t="str">
        <f t="shared" si="55"/>
        <v xml:space="preserve"> </v>
      </c>
      <c r="G102" s="117" t="e">
        <f t="shared" si="56"/>
        <v>#VALUE!</v>
      </c>
      <c r="H102" s="118" t="e">
        <f t="shared" si="69"/>
        <v>#VALUE!</v>
      </c>
      <c r="I102" s="118"/>
      <c r="R102" s="93" t="str">
        <f t="shared" si="70"/>
        <v xml:space="preserve"> </v>
      </c>
      <c r="S102" s="90" t="str">
        <f t="shared" si="57"/>
        <v xml:space="preserve"> </v>
      </c>
      <c r="T102" s="90" t="str">
        <f t="shared" si="58"/>
        <v xml:space="preserve"> </v>
      </c>
      <c r="U102" s="90" t="str">
        <f t="shared" si="59"/>
        <v xml:space="preserve"> </v>
      </c>
      <c r="V102" s="90" t="str">
        <f t="shared" si="60"/>
        <v xml:space="preserve"> </v>
      </c>
      <c r="W102" s="90" t="str">
        <f t="shared" si="61"/>
        <v/>
      </c>
      <c r="X102" s="90" t="e">
        <f t="shared" si="62"/>
        <v>#VALUE!</v>
      </c>
      <c r="Y102" s="90" t="e">
        <f t="shared" si="63"/>
        <v>#VALUE!</v>
      </c>
      <c r="Z102" s="90" t="e">
        <f t="shared" si="64"/>
        <v>#VALUE!</v>
      </c>
      <c r="AA102" s="90" t="e">
        <f t="shared" si="65"/>
        <v>#VALUE!</v>
      </c>
      <c r="AB102" s="90" t="e">
        <f t="shared" si="66"/>
        <v>#VALUE!</v>
      </c>
      <c r="AC102" s="90" t="e">
        <f t="shared" si="51"/>
        <v>#VALUE!</v>
      </c>
      <c r="AD102" s="364" t="e">
        <f t="shared" si="67"/>
        <v>#VALUE!</v>
      </c>
      <c r="AE102" s="90" t="e">
        <f t="shared" si="68"/>
        <v>#VALUE!</v>
      </c>
    </row>
    <row r="103" spans="1:31" hidden="1">
      <c r="A103" s="392">
        <v>78</v>
      </c>
      <c r="B103" s="95" t="e">
        <f t="shared" si="71"/>
        <v>#VALUE!</v>
      </c>
      <c r="C103" s="122" t="str">
        <f t="shared" si="52"/>
        <v xml:space="preserve"> </v>
      </c>
      <c r="D103" s="122" t="str">
        <f t="shared" si="53"/>
        <v xml:space="preserve"> </v>
      </c>
      <c r="E103" s="122" t="str">
        <f t="shared" si="54"/>
        <v xml:space="preserve"> </v>
      </c>
      <c r="F103" s="122" t="str">
        <f t="shared" si="55"/>
        <v xml:space="preserve"> </v>
      </c>
      <c r="G103" s="117" t="e">
        <f t="shared" si="56"/>
        <v>#VALUE!</v>
      </c>
      <c r="H103" s="118" t="e">
        <f t="shared" si="69"/>
        <v>#VALUE!</v>
      </c>
      <c r="I103" s="118"/>
      <c r="R103" s="93" t="str">
        <f t="shared" si="70"/>
        <v xml:space="preserve"> </v>
      </c>
      <c r="S103" s="90" t="str">
        <f t="shared" si="57"/>
        <v xml:space="preserve"> </v>
      </c>
      <c r="T103" s="90" t="str">
        <f t="shared" si="58"/>
        <v xml:space="preserve"> </v>
      </c>
      <c r="U103" s="90" t="str">
        <f t="shared" si="59"/>
        <v xml:space="preserve"> </v>
      </c>
      <c r="V103" s="90" t="str">
        <f t="shared" si="60"/>
        <v xml:space="preserve"> </v>
      </c>
      <c r="W103" s="90" t="str">
        <f t="shared" si="61"/>
        <v/>
      </c>
      <c r="X103" s="90" t="e">
        <f t="shared" si="62"/>
        <v>#VALUE!</v>
      </c>
      <c r="Y103" s="90" t="e">
        <f t="shared" si="63"/>
        <v>#VALUE!</v>
      </c>
      <c r="Z103" s="90" t="e">
        <f t="shared" si="64"/>
        <v>#VALUE!</v>
      </c>
      <c r="AA103" s="90" t="e">
        <f t="shared" si="65"/>
        <v>#VALUE!</v>
      </c>
      <c r="AB103" s="90" t="e">
        <f t="shared" si="66"/>
        <v>#VALUE!</v>
      </c>
      <c r="AC103" s="90" t="e">
        <f t="shared" si="51"/>
        <v>#VALUE!</v>
      </c>
      <c r="AD103" s="364" t="e">
        <f t="shared" si="67"/>
        <v>#VALUE!</v>
      </c>
      <c r="AE103" s="90" t="e">
        <f t="shared" si="68"/>
        <v>#VALUE!</v>
      </c>
    </row>
    <row r="104" spans="1:31" hidden="1">
      <c r="A104" s="392">
        <v>79</v>
      </c>
      <c r="B104" s="95" t="e">
        <f t="shared" si="71"/>
        <v>#VALUE!</v>
      </c>
      <c r="C104" s="122" t="str">
        <f t="shared" si="52"/>
        <v xml:space="preserve"> </v>
      </c>
      <c r="D104" s="122" t="str">
        <f t="shared" si="53"/>
        <v xml:space="preserve"> </v>
      </c>
      <c r="E104" s="122" t="str">
        <f t="shared" si="54"/>
        <v xml:space="preserve"> </v>
      </c>
      <c r="F104" s="122" t="str">
        <f t="shared" si="55"/>
        <v xml:space="preserve"> </v>
      </c>
      <c r="G104" s="117" t="e">
        <f t="shared" si="56"/>
        <v>#VALUE!</v>
      </c>
      <c r="H104" s="118" t="e">
        <f t="shared" si="69"/>
        <v>#VALUE!</v>
      </c>
      <c r="I104" s="118"/>
      <c r="R104" s="93" t="str">
        <f t="shared" si="70"/>
        <v xml:space="preserve"> </v>
      </c>
      <c r="S104" s="90" t="str">
        <f t="shared" si="57"/>
        <v xml:space="preserve"> </v>
      </c>
      <c r="T104" s="90" t="str">
        <f t="shared" si="58"/>
        <v xml:space="preserve"> </v>
      </c>
      <c r="U104" s="90" t="str">
        <f t="shared" si="59"/>
        <v xml:space="preserve"> </v>
      </c>
      <c r="V104" s="90" t="str">
        <f t="shared" si="60"/>
        <v xml:space="preserve"> </v>
      </c>
      <c r="W104" s="90" t="str">
        <f t="shared" si="61"/>
        <v/>
      </c>
      <c r="X104" s="90" t="e">
        <f t="shared" si="62"/>
        <v>#VALUE!</v>
      </c>
      <c r="Y104" s="90" t="e">
        <f t="shared" si="63"/>
        <v>#VALUE!</v>
      </c>
      <c r="Z104" s="90" t="e">
        <f t="shared" si="64"/>
        <v>#VALUE!</v>
      </c>
      <c r="AA104" s="90" t="e">
        <f t="shared" si="65"/>
        <v>#VALUE!</v>
      </c>
      <c r="AB104" s="90" t="e">
        <f t="shared" si="66"/>
        <v>#VALUE!</v>
      </c>
      <c r="AC104" s="90" t="e">
        <f t="shared" si="51"/>
        <v>#VALUE!</v>
      </c>
      <c r="AD104" s="364" t="e">
        <f t="shared" si="67"/>
        <v>#VALUE!</v>
      </c>
      <c r="AE104" s="90" t="e">
        <f t="shared" si="68"/>
        <v>#VALUE!</v>
      </c>
    </row>
    <row r="105" spans="1:31" hidden="1">
      <c r="A105" s="392">
        <v>80</v>
      </c>
      <c r="B105" s="95" t="e">
        <f t="shared" si="71"/>
        <v>#VALUE!</v>
      </c>
      <c r="C105" s="122" t="str">
        <f t="shared" si="52"/>
        <v xml:space="preserve"> </v>
      </c>
      <c r="D105" s="122" t="str">
        <f t="shared" si="53"/>
        <v xml:space="preserve"> </v>
      </c>
      <c r="E105" s="122" t="str">
        <f t="shared" si="54"/>
        <v xml:space="preserve"> </v>
      </c>
      <c r="F105" s="122" t="str">
        <f t="shared" si="55"/>
        <v xml:space="preserve"> </v>
      </c>
      <c r="G105" s="117" t="e">
        <f t="shared" si="56"/>
        <v>#VALUE!</v>
      </c>
      <c r="H105" s="118" t="e">
        <f t="shared" si="69"/>
        <v>#VALUE!</v>
      </c>
      <c r="I105" s="118"/>
      <c r="R105" s="93" t="str">
        <f t="shared" si="70"/>
        <v xml:space="preserve"> </v>
      </c>
      <c r="S105" s="90" t="str">
        <f t="shared" si="57"/>
        <v xml:space="preserve"> </v>
      </c>
      <c r="T105" s="90" t="str">
        <f t="shared" si="58"/>
        <v xml:space="preserve"> </v>
      </c>
      <c r="U105" s="90" t="str">
        <f t="shared" si="59"/>
        <v xml:space="preserve"> </v>
      </c>
      <c r="V105" s="90" t="str">
        <f t="shared" si="60"/>
        <v xml:space="preserve"> </v>
      </c>
      <c r="W105" s="90" t="str">
        <f t="shared" si="61"/>
        <v/>
      </c>
      <c r="X105" s="90" t="e">
        <f t="shared" si="62"/>
        <v>#VALUE!</v>
      </c>
      <c r="Y105" s="90" t="e">
        <f t="shared" si="63"/>
        <v>#VALUE!</v>
      </c>
      <c r="Z105" s="90" t="e">
        <f t="shared" si="64"/>
        <v>#VALUE!</v>
      </c>
      <c r="AA105" s="90" t="e">
        <f t="shared" si="65"/>
        <v>#VALUE!</v>
      </c>
      <c r="AB105" s="90" t="e">
        <f t="shared" si="66"/>
        <v>#VALUE!</v>
      </c>
      <c r="AC105" s="90" t="e">
        <f t="shared" si="51"/>
        <v>#VALUE!</v>
      </c>
      <c r="AD105" s="364" t="e">
        <f t="shared" si="67"/>
        <v>#VALUE!</v>
      </c>
      <c r="AE105" s="90" t="e">
        <f t="shared" si="68"/>
        <v>#VALUE!</v>
      </c>
    </row>
    <row r="106" spans="1:31" hidden="1">
      <c r="A106" s="392">
        <v>81</v>
      </c>
      <c r="B106" s="95" t="e">
        <f t="shared" si="71"/>
        <v>#VALUE!</v>
      </c>
      <c r="C106" s="122" t="str">
        <f t="shared" si="52"/>
        <v xml:space="preserve"> </v>
      </c>
      <c r="D106" s="122" t="str">
        <f t="shared" si="53"/>
        <v xml:space="preserve"> </v>
      </c>
      <c r="E106" s="122" t="str">
        <f t="shared" si="54"/>
        <v xml:space="preserve"> </v>
      </c>
      <c r="F106" s="122" t="str">
        <f t="shared" si="55"/>
        <v xml:space="preserve"> </v>
      </c>
      <c r="G106" s="117" t="e">
        <f t="shared" si="56"/>
        <v>#VALUE!</v>
      </c>
      <c r="H106" s="118" t="e">
        <f t="shared" si="69"/>
        <v>#VALUE!</v>
      </c>
      <c r="I106" s="118"/>
      <c r="R106" s="93" t="str">
        <f t="shared" si="70"/>
        <v xml:space="preserve"> </v>
      </c>
      <c r="S106" s="90" t="str">
        <f t="shared" si="57"/>
        <v xml:space="preserve"> </v>
      </c>
      <c r="T106" s="90" t="str">
        <f t="shared" si="58"/>
        <v xml:space="preserve"> </v>
      </c>
      <c r="U106" s="90" t="str">
        <f t="shared" si="59"/>
        <v xml:space="preserve"> </v>
      </c>
      <c r="V106" s="90" t="str">
        <f t="shared" si="60"/>
        <v xml:space="preserve"> </v>
      </c>
      <c r="W106" s="90" t="str">
        <f t="shared" si="61"/>
        <v/>
      </c>
      <c r="X106" s="90" t="e">
        <f t="shared" si="62"/>
        <v>#VALUE!</v>
      </c>
      <c r="Y106" s="90" t="e">
        <f t="shared" si="63"/>
        <v>#VALUE!</v>
      </c>
      <c r="Z106" s="90" t="e">
        <f t="shared" si="64"/>
        <v>#VALUE!</v>
      </c>
      <c r="AA106" s="90" t="e">
        <f t="shared" si="65"/>
        <v>#VALUE!</v>
      </c>
      <c r="AB106" s="90" t="e">
        <f t="shared" si="66"/>
        <v>#VALUE!</v>
      </c>
      <c r="AC106" s="90" t="e">
        <f t="shared" si="51"/>
        <v>#VALUE!</v>
      </c>
      <c r="AD106" s="364" t="e">
        <f t="shared" si="67"/>
        <v>#VALUE!</v>
      </c>
      <c r="AE106" s="90" t="e">
        <f t="shared" si="68"/>
        <v>#VALUE!</v>
      </c>
    </row>
    <row r="107" spans="1:31" hidden="1">
      <c r="A107" s="392">
        <v>82</v>
      </c>
      <c r="B107" s="95" t="e">
        <f t="shared" si="71"/>
        <v>#VALUE!</v>
      </c>
      <c r="C107" s="122" t="str">
        <f t="shared" si="52"/>
        <v xml:space="preserve"> </v>
      </c>
      <c r="D107" s="122" t="str">
        <f t="shared" si="53"/>
        <v xml:space="preserve"> </v>
      </c>
      <c r="E107" s="122" t="str">
        <f t="shared" si="54"/>
        <v xml:space="preserve"> </v>
      </c>
      <c r="F107" s="122" t="str">
        <f t="shared" si="55"/>
        <v xml:space="preserve"> </v>
      </c>
      <c r="G107" s="117" t="e">
        <f t="shared" si="56"/>
        <v>#VALUE!</v>
      </c>
      <c r="H107" s="118" t="e">
        <f t="shared" si="69"/>
        <v>#VALUE!</v>
      </c>
      <c r="I107" s="118"/>
      <c r="R107" s="93" t="str">
        <f t="shared" si="70"/>
        <v xml:space="preserve"> </v>
      </c>
      <c r="S107" s="90" t="str">
        <f t="shared" si="57"/>
        <v xml:space="preserve"> </v>
      </c>
      <c r="T107" s="90" t="str">
        <f t="shared" si="58"/>
        <v xml:space="preserve"> </v>
      </c>
      <c r="U107" s="90" t="str">
        <f t="shared" si="59"/>
        <v xml:space="preserve"> </v>
      </c>
      <c r="V107" s="90" t="str">
        <f t="shared" si="60"/>
        <v xml:space="preserve"> </v>
      </c>
      <c r="W107" s="90" t="str">
        <f t="shared" si="61"/>
        <v/>
      </c>
      <c r="X107" s="90" t="e">
        <f t="shared" si="62"/>
        <v>#VALUE!</v>
      </c>
      <c r="Y107" s="90" t="e">
        <f t="shared" si="63"/>
        <v>#VALUE!</v>
      </c>
      <c r="Z107" s="90" t="e">
        <f t="shared" si="64"/>
        <v>#VALUE!</v>
      </c>
      <c r="AA107" s="90" t="e">
        <f t="shared" si="65"/>
        <v>#VALUE!</v>
      </c>
      <c r="AB107" s="90" t="e">
        <f t="shared" si="66"/>
        <v>#VALUE!</v>
      </c>
      <c r="AC107" s="90" t="e">
        <f t="shared" si="51"/>
        <v>#VALUE!</v>
      </c>
      <c r="AD107" s="364" t="e">
        <f t="shared" si="67"/>
        <v>#VALUE!</v>
      </c>
      <c r="AE107" s="90" t="e">
        <f t="shared" si="68"/>
        <v>#VALUE!</v>
      </c>
    </row>
    <row r="108" spans="1:31" hidden="1">
      <c r="A108" s="392">
        <v>83</v>
      </c>
      <c r="B108" s="95" t="e">
        <f t="shared" si="71"/>
        <v>#VALUE!</v>
      </c>
      <c r="C108" s="122" t="str">
        <f t="shared" si="52"/>
        <v xml:space="preserve"> </v>
      </c>
      <c r="D108" s="122" t="str">
        <f t="shared" si="53"/>
        <v xml:space="preserve"> </v>
      </c>
      <c r="E108" s="122" t="str">
        <f t="shared" si="54"/>
        <v xml:space="preserve"> </v>
      </c>
      <c r="F108" s="122" t="str">
        <f t="shared" si="55"/>
        <v xml:space="preserve"> </v>
      </c>
      <c r="G108" s="117" t="e">
        <f t="shared" si="56"/>
        <v>#VALUE!</v>
      </c>
      <c r="H108" s="118" t="e">
        <f t="shared" si="69"/>
        <v>#VALUE!</v>
      </c>
      <c r="I108" s="118"/>
      <c r="R108" s="93" t="str">
        <f t="shared" si="70"/>
        <v xml:space="preserve"> </v>
      </c>
      <c r="S108" s="90" t="str">
        <f t="shared" si="57"/>
        <v xml:space="preserve"> </v>
      </c>
      <c r="T108" s="90" t="str">
        <f t="shared" si="58"/>
        <v xml:space="preserve"> </v>
      </c>
      <c r="U108" s="90" t="str">
        <f t="shared" si="59"/>
        <v xml:space="preserve"> </v>
      </c>
      <c r="V108" s="90" t="str">
        <f t="shared" si="60"/>
        <v xml:space="preserve"> </v>
      </c>
      <c r="W108" s="90" t="str">
        <f t="shared" si="61"/>
        <v/>
      </c>
      <c r="X108" s="90" t="e">
        <f t="shared" si="62"/>
        <v>#VALUE!</v>
      </c>
      <c r="Y108" s="90" t="e">
        <f t="shared" si="63"/>
        <v>#VALUE!</v>
      </c>
      <c r="Z108" s="90" t="e">
        <f t="shared" si="64"/>
        <v>#VALUE!</v>
      </c>
      <c r="AA108" s="90" t="e">
        <f t="shared" si="65"/>
        <v>#VALUE!</v>
      </c>
      <c r="AB108" s="90" t="e">
        <f t="shared" si="66"/>
        <v>#VALUE!</v>
      </c>
      <c r="AC108" s="90" t="e">
        <f t="shared" si="51"/>
        <v>#VALUE!</v>
      </c>
      <c r="AD108" s="364" t="e">
        <f t="shared" si="67"/>
        <v>#VALUE!</v>
      </c>
      <c r="AE108" s="90" t="e">
        <f t="shared" si="68"/>
        <v>#VALUE!</v>
      </c>
    </row>
    <row r="109" spans="1:31" hidden="1">
      <c r="A109" s="392">
        <v>84</v>
      </c>
      <c r="B109" s="95" t="e">
        <f t="shared" si="71"/>
        <v>#VALUE!</v>
      </c>
      <c r="C109" s="122" t="str">
        <f t="shared" si="52"/>
        <v xml:space="preserve"> </v>
      </c>
      <c r="D109" s="122" t="str">
        <f t="shared" si="53"/>
        <v xml:space="preserve"> </v>
      </c>
      <c r="E109" s="122" t="str">
        <f t="shared" si="54"/>
        <v xml:space="preserve"> </v>
      </c>
      <c r="F109" s="122" t="str">
        <f t="shared" si="55"/>
        <v xml:space="preserve"> </v>
      </c>
      <c r="G109" s="117" t="e">
        <f t="shared" si="56"/>
        <v>#VALUE!</v>
      </c>
      <c r="H109" s="118" t="e">
        <f t="shared" si="69"/>
        <v>#VALUE!</v>
      </c>
      <c r="I109" s="118"/>
      <c r="R109" s="93" t="str">
        <f t="shared" si="70"/>
        <v xml:space="preserve"> </v>
      </c>
      <c r="S109" s="90" t="str">
        <f t="shared" si="57"/>
        <v xml:space="preserve"> </v>
      </c>
      <c r="T109" s="90" t="str">
        <f t="shared" si="58"/>
        <v xml:space="preserve"> </v>
      </c>
      <c r="U109" s="90" t="str">
        <f t="shared" si="59"/>
        <v xml:space="preserve"> </v>
      </c>
      <c r="V109" s="90" t="str">
        <f t="shared" si="60"/>
        <v xml:space="preserve"> </v>
      </c>
      <c r="W109" s="90" t="str">
        <f t="shared" si="61"/>
        <v/>
      </c>
      <c r="X109" s="90" t="e">
        <f t="shared" si="62"/>
        <v>#VALUE!</v>
      </c>
      <c r="Y109" s="90" t="e">
        <f t="shared" si="63"/>
        <v>#VALUE!</v>
      </c>
      <c r="Z109" s="90" t="e">
        <f t="shared" si="64"/>
        <v>#VALUE!</v>
      </c>
      <c r="AA109" s="90" t="e">
        <f t="shared" si="65"/>
        <v>#VALUE!</v>
      </c>
      <c r="AB109" s="90" t="e">
        <f t="shared" si="66"/>
        <v>#VALUE!</v>
      </c>
      <c r="AC109" s="90" t="e">
        <f t="shared" si="51"/>
        <v>#VALUE!</v>
      </c>
      <c r="AD109" s="364" t="e">
        <f t="shared" si="67"/>
        <v>#VALUE!</v>
      </c>
      <c r="AE109" s="90" t="e">
        <f t="shared" si="68"/>
        <v>#VALUE!</v>
      </c>
    </row>
    <row r="110" spans="1:31" hidden="1">
      <c r="A110" s="392">
        <v>85</v>
      </c>
      <c r="B110" s="95" t="e">
        <f t="shared" si="71"/>
        <v>#VALUE!</v>
      </c>
      <c r="C110" s="122" t="str">
        <f t="shared" si="52"/>
        <v xml:space="preserve"> </v>
      </c>
      <c r="D110" s="122" t="str">
        <f t="shared" si="53"/>
        <v xml:space="preserve"> </v>
      </c>
      <c r="E110" s="122" t="str">
        <f t="shared" si="54"/>
        <v xml:space="preserve"> </v>
      </c>
      <c r="F110" s="122" t="str">
        <f t="shared" si="55"/>
        <v xml:space="preserve"> </v>
      </c>
      <c r="G110" s="117" t="e">
        <f t="shared" si="56"/>
        <v>#VALUE!</v>
      </c>
      <c r="H110" s="118" t="e">
        <f t="shared" si="69"/>
        <v>#VALUE!</v>
      </c>
      <c r="I110" s="118"/>
      <c r="R110" s="93" t="str">
        <f t="shared" si="70"/>
        <v xml:space="preserve"> </v>
      </c>
      <c r="S110" s="90" t="str">
        <f t="shared" si="57"/>
        <v xml:space="preserve"> </v>
      </c>
      <c r="T110" s="90" t="str">
        <f t="shared" si="58"/>
        <v xml:space="preserve"> </v>
      </c>
      <c r="U110" s="90" t="str">
        <f t="shared" si="59"/>
        <v xml:space="preserve"> </v>
      </c>
      <c r="V110" s="90" t="str">
        <f t="shared" si="60"/>
        <v xml:space="preserve"> </v>
      </c>
      <c r="W110" s="90" t="str">
        <f t="shared" si="61"/>
        <v/>
      </c>
      <c r="X110" s="90" t="e">
        <f t="shared" si="62"/>
        <v>#VALUE!</v>
      </c>
      <c r="Y110" s="90" t="e">
        <f t="shared" si="63"/>
        <v>#VALUE!</v>
      </c>
      <c r="Z110" s="90" t="e">
        <f t="shared" si="64"/>
        <v>#VALUE!</v>
      </c>
      <c r="AA110" s="90" t="e">
        <f t="shared" si="65"/>
        <v>#VALUE!</v>
      </c>
      <c r="AB110" s="90" t="e">
        <f t="shared" si="66"/>
        <v>#VALUE!</v>
      </c>
      <c r="AC110" s="90" t="e">
        <f t="shared" si="51"/>
        <v>#VALUE!</v>
      </c>
      <c r="AD110" s="364" t="e">
        <f t="shared" si="67"/>
        <v>#VALUE!</v>
      </c>
      <c r="AE110" s="90" t="e">
        <f t="shared" si="68"/>
        <v>#VALUE!</v>
      </c>
    </row>
    <row r="111" spans="1:31" hidden="1">
      <c r="A111" s="392">
        <v>86</v>
      </c>
      <c r="B111" s="95" t="e">
        <f t="shared" si="71"/>
        <v>#VALUE!</v>
      </c>
      <c r="C111" s="122" t="str">
        <f t="shared" si="52"/>
        <v xml:space="preserve"> </v>
      </c>
      <c r="D111" s="122" t="str">
        <f t="shared" si="53"/>
        <v xml:space="preserve"> </v>
      </c>
      <c r="E111" s="122" t="str">
        <f t="shared" si="54"/>
        <v xml:space="preserve"> </v>
      </c>
      <c r="F111" s="122" t="str">
        <f t="shared" si="55"/>
        <v xml:space="preserve"> </v>
      </c>
      <c r="G111" s="117" t="e">
        <f t="shared" si="56"/>
        <v>#VALUE!</v>
      </c>
      <c r="H111" s="118" t="e">
        <f t="shared" si="69"/>
        <v>#VALUE!</v>
      </c>
      <c r="I111" s="118"/>
      <c r="R111" s="93" t="str">
        <f t="shared" si="70"/>
        <v xml:space="preserve"> </v>
      </c>
      <c r="S111" s="90" t="str">
        <f t="shared" si="57"/>
        <v xml:space="preserve"> </v>
      </c>
      <c r="T111" s="90" t="str">
        <f t="shared" si="58"/>
        <v xml:space="preserve"> </v>
      </c>
      <c r="U111" s="90" t="str">
        <f t="shared" si="59"/>
        <v xml:space="preserve"> </v>
      </c>
      <c r="V111" s="90" t="str">
        <f t="shared" si="60"/>
        <v xml:space="preserve"> </v>
      </c>
      <c r="W111" s="90" t="str">
        <f t="shared" si="61"/>
        <v/>
      </c>
      <c r="X111" s="90" t="e">
        <f t="shared" si="62"/>
        <v>#VALUE!</v>
      </c>
      <c r="Y111" s="90" t="e">
        <f t="shared" si="63"/>
        <v>#VALUE!</v>
      </c>
      <c r="Z111" s="90" t="e">
        <f t="shared" si="64"/>
        <v>#VALUE!</v>
      </c>
      <c r="AA111" s="90" t="e">
        <f t="shared" si="65"/>
        <v>#VALUE!</v>
      </c>
      <c r="AB111" s="90" t="e">
        <f t="shared" si="66"/>
        <v>#VALUE!</v>
      </c>
      <c r="AC111" s="90" t="e">
        <f t="shared" si="51"/>
        <v>#VALUE!</v>
      </c>
      <c r="AD111" s="364" t="e">
        <f t="shared" si="67"/>
        <v>#VALUE!</v>
      </c>
      <c r="AE111" s="90" t="e">
        <f t="shared" si="68"/>
        <v>#VALUE!</v>
      </c>
    </row>
    <row r="112" spans="1:31" hidden="1">
      <c r="A112" s="392">
        <v>87</v>
      </c>
      <c r="B112" s="95" t="e">
        <f t="shared" si="71"/>
        <v>#VALUE!</v>
      </c>
      <c r="C112" s="122" t="str">
        <f t="shared" si="52"/>
        <v xml:space="preserve"> </v>
      </c>
      <c r="D112" s="122" t="str">
        <f t="shared" si="53"/>
        <v xml:space="preserve"> </v>
      </c>
      <c r="E112" s="122" t="str">
        <f t="shared" si="54"/>
        <v xml:space="preserve"> </v>
      </c>
      <c r="F112" s="122" t="str">
        <f t="shared" si="55"/>
        <v xml:space="preserve"> </v>
      </c>
      <c r="G112" s="117" t="e">
        <f t="shared" si="56"/>
        <v>#VALUE!</v>
      </c>
      <c r="H112" s="118" t="e">
        <f t="shared" si="69"/>
        <v>#VALUE!</v>
      </c>
      <c r="I112" s="118"/>
      <c r="R112" s="93" t="str">
        <f t="shared" si="70"/>
        <v xml:space="preserve"> </v>
      </c>
      <c r="S112" s="90" t="str">
        <f t="shared" si="57"/>
        <v xml:space="preserve"> </v>
      </c>
      <c r="T112" s="90" t="str">
        <f t="shared" si="58"/>
        <v xml:space="preserve"> </v>
      </c>
      <c r="U112" s="90" t="str">
        <f t="shared" si="59"/>
        <v xml:space="preserve"> </v>
      </c>
      <c r="V112" s="90" t="str">
        <f t="shared" si="60"/>
        <v xml:space="preserve"> </v>
      </c>
      <c r="W112" s="90" t="str">
        <f t="shared" si="61"/>
        <v/>
      </c>
      <c r="X112" s="90" t="e">
        <f t="shared" si="62"/>
        <v>#VALUE!</v>
      </c>
      <c r="Y112" s="90" t="e">
        <f t="shared" si="63"/>
        <v>#VALUE!</v>
      </c>
      <c r="Z112" s="90" t="e">
        <f t="shared" si="64"/>
        <v>#VALUE!</v>
      </c>
      <c r="AA112" s="90" t="e">
        <f t="shared" si="65"/>
        <v>#VALUE!</v>
      </c>
      <c r="AB112" s="90" t="e">
        <f t="shared" si="66"/>
        <v>#VALUE!</v>
      </c>
      <c r="AC112" s="90" t="e">
        <f t="shared" si="51"/>
        <v>#VALUE!</v>
      </c>
      <c r="AD112" s="364" t="e">
        <f t="shared" si="67"/>
        <v>#VALUE!</v>
      </c>
      <c r="AE112" s="90" t="e">
        <f t="shared" si="68"/>
        <v>#VALUE!</v>
      </c>
    </row>
    <row r="113" spans="1:31" hidden="1">
      <c r="A113" s="392">
        <v>88</v>
      </c>
      <c r="B113" s="95" t="e">
        <f t="shared" si="71"/>
        <v>#VALUE!</v>
      </c>
      <c r="C113" s="122" t="str">
        <f t="shared" si="52"/>
        <v xml:space="preserve"> </v>
      </c>
      <c r="D113" s="122" t="str">
        <f t="shared" si="53"/>
        <v xml:space="preserve"> </v>
      </c>
      <c r="E113" s="122" t="str">
        <f t="shared" si="54"/>
        <v xml:space="preserve"> </v>
      </c>
      <c r="F113" s="122" t="str">
        <f t="shared" si="55"/>
        <v xml:space="preserve"> </v>
      </c>
      <c r="G113" s="117" t="e">
        <f t="shared" si="56"/>
        <v>#VALUE!</v>
      </c>
      <c r="H113" s="118" t="e">
        <f t="shared" si="69"/>
        <v>#VALUE!</v>
      </c>
      <c r="I113" s="118"/>
      <c r="R113" s="93" t="str">
        <f t="shared" si="70"/>
        <v xml:space="preserve"> </v>
      </c>
      <c r="S113" s="90" t="str">
        <f t="shared" si="57"/>
        <v xml:space="preserve"> </v>
      </c>
      <c r="T113" s="90" t="str">
        <f t="shared" si="58"/>
        <v xml:space="preserve"> </v>
      </c>
      <c r="U113" s="90" t="str">
        <f t="shared" si="59"/>
        <v xml:space="preserve"> </v>
      </c>
      <c r="V113" s="90" t="str">
        <f t="shared" si="60"/>
        <v xml:space="preserve"> </v>
      </c>
      <c r="W113" s="90" t="str">
        <f t="shared" si="61"/>
        <v/>
      </c>
      <c r="X113" s="90" t="e">
        <f t="shared" si="62"/>
        <v>#VALUE!</v>
      </c>
      <c r="Y113" s="90" t="e">
        <f t="shared" si="63"/>
        <v>#VALUE!</v>
      </c>
      <c r="Z113" s="90" t="e">
        <f t="shared" si="64"/>
        <v>#VALUE!</v>
      </c>
      <c r="AA113" s="90" t="e">
        <f t="shared" si="65"/>
        <v>#VALUE!</v>
      </c>
      <c r="AB113" s="90" t="e">
        <f t="shared" si="66"/>
        <v>#VALUE!</v>
      </c>
      <c r="AC113" s="90" t="e">
        <f t="shared" si="51"/>
        <v>#VALUE!</v>
      </c>
      <c r="AD113" s="364" t="e">
        <f t="shared" si="67"/>
        <v>#VALUE!</v>
      </c>
      <c r="AE113" s="90" t="e">
        <f t="shared" si="68"/>
        <v>#VALUE!</v>
      </c>
    </row>
    <row r="114" spans="1:31" hidden="1">
      <c r="A114" s="392">
        <v>89</v>
      </c>
      <c r="B114" s="95" t="e">
        <f t="shared" si="71"/>
        <v>#VALUE!</v>
      </c>
      <c r="C114" s="122" t="str">
        <f t="shared" si="52"/>
        <v xml:space="preserve"> </v>
      </c>
      <c r="D114" s="122" t="str">
        <f t="shared" si="53"/>
        <v xml:space="preserve"> </v>
      </c>
      <c r="E114" s="122" t="str">
        <f t="shared" si="54"/>
        <v xml:space="preserve"> </v>
      </c>
      <c r="F114" s="122" t="str">
        <f t="shared" si="55"/>
        <v xml:space="preserve"> </v>
      </c>
      <c r="G114" s="117" t="e">
        <f t="shared" si="56"/>
        <v>#VALUE!</v>
      </c>
      <c r="H114" s="118" t="e">
        <f t="shared" si="69"/>
        <v>#VALUE!</v>
      </c>
      <c r="I114" s="118"/>
      <c r="R114" s="93" t="str">
        <f t="shared" si="70"/>
        <v xml:space="preserve"> </v>
      </c>
      <c r="S114" s="90" t="str">
        <f t="shared" si="57"/>
        <v xml:space="preserve"> </v>
      </c>
      <c r="T114" s="90" t="str">
        <f t="shared" si="58"/>
        <v xml:space="preserve"> </v>
      </c>
      <c r="U114" s="90" t="str">
        <f t="shared" si="59"/>
        <v xml:space="preserve"> </v>
      </c>
      <c r="V114" s="90" t="str">
        <f t="shared" si="60"/>
        <v xml:space="preserve"> </v>
      </c>
      <c r="W114" s="90" t="str">
        <f t="shared" si="61"/>
        <v/>
      </c>
      <c r="X114" s="90" t="e">
        <f t="shared" si="62"/>
        <v>#VALUE!</v>
      </c>
      <c r="Y114" s="90" t="e">
        <f t="shared" si="63"/>
        <v>#VALUE!</v>
      </c>
      <c r="Z114" s="90" t="e">
        <f t="shared" si="64"/>
        <v>#VALUE!</v>
      </c>
      <c r="AA114" s="90" t="e">
        <f t="shared" si="65"/>
        <v>#VALUE!</v>
      </c>
      <c r="AB114" s="90" t="e">
        <f t="shared" si="66"/>
        <v>#VALUE!</v>
      </c>
      <c r="AC114" s="90" t="e">
        <f t="shared" si="51"/>
        <v>#VALUE!</v>
      </c>
      <c r="AD114" s="364" t="e">
        <f t="shared" si="67"/>
        <v>#VALUE!</v>
      </c>
      <c r="AE114" s="90" t="e">
        <f t="shared" si="68"/>
        <v>#VALUE!</v>
      </c>
    </row>
    <row r="115" spans="1:31" hidden="1">
      <c r="A115" s="392">
        <v>90</v>
      </c>
      <c r="B115" s="95" t="e">
        <f t="shared" si="71"/>
        <v>#VALUE!</v>
      </c>
      <c r="C115" s="122" t="str">
        <f t="shared" si="52"/>
        <v xml:space="preserve"> </v>
      </c>
      <c r="D115" s="122" t="str">
        <f t="shared" si="53"/>
        <v xml:space="preserve"> </v>
      </c>
      <c r="E115" s="122" t="str">
        <f t="shared" si="54"/>
        <v xml:space="preserve"> </v>
      </c>
      <c r="F115" s="122" t="str">
        <f t="shared" si="55"/>
        <v xml:space="preserve"> </v>
      </c>
      <c r="G115" s="117" t="e">
        <f t="shared" si="56"/>
        <v>#VALUE!</v>
      </c>
      <c r="H115" s="118" t="e">
        <f t="shared" si="69"/>
        <v>#VALUE!</v>
      </c>
      <c r="I115" s="118"/>
      <c r="R115" s="93" t="str">
        <f t="shared" si="70"/>
        <v xml:space="preserve"> </v>
      </c>
      <c r="S115" s="90" t="str">
        <f t="shared" si="57"/>
        <v xml:space="preserve"> </v>
      </c>
      <c r="T115" s="90" t="str">
        <f t="shared" si="58"/>
        <v xml:space="preserve"> </v>
      </c>
      <c r="U115" s="90" t="str">
        <f t="shared" si="59"/>
        <v xml:space="preserve"> </v>
      </c>
      <c r="V115" s="90" t="str">
        <f t="shared" si="60"/>
        <v xml:space="preserve"> </v>
      </c>
      <c r="W115" s="90" t="str">
        <f t="shared" si="61"/>
        <v/>
      </c>
      <c r="X115" s="90" t="e">
        <f t="shared" si="62"/>
        <v>#VALUE!</v>
      </c>
      <c r="Y115" s="90" t="e">
        <f t="shared" si="63"/>
        <v>#VALUE!</v>
      </c>
      <c r="Z115" s="90" t="e">
        <f t="shared" si="64"/>
        <v>#VALUE!</v>
      </c>
      <c r="AA115" s="90" t="e">
        <f t="shared" si="65"/>
        <v>#VALUE!</v>
      </c>
      <c r="AB115" s="90" t="e">
        <f t="shared" si="66"/>
        <v>#VALUE!</v>
      </c>
      <c r="AC115" s="90" t="e">
        <f t="shared" si="51"/>
        <v>#VALUE!</v>
      </c>
      <c r="AD115" s="364" t="e">
        <f t="shared" si="67"/>
        <v>#VALUE!</v>
      </c>
      <c r="AE115" s="90" t="e">
        <f t="shared" si="68"/>
        <v>#VALUE!</v>
      </c>
    </row>
    <row r="116" spans="1:31" hidden="1">
      <c r="A116" s="392">
        <v>91</v>
      </c>
      <c r="B116" s="95" t="e">
        <f t="shared" si="71"/>
        <v>#VALUE!</v>
      </c>
      <c r="C116" s="122" t="str">
        <f t="shared" si="52"/>
        <v xml:space="preserve"> </v>
      </c>
      <c r="D116" s="122" t="str">
        <f t="shared" si="53"/>
        <v xml:space="preserve"> </v>
      </c>
      <c r="E116" s="122" t="str">
        <f t="shared" si="54"/>
        <v xml:space="preserve"> </v>
      </c>
      <c r="F116" s="122" t="str">
        <f t="shared" si="55"/>
        <v xml:space="preserve"> </v>
      </c>
      <c r="G116" s="117" t="e">
        <f t="shared" si="56"/>
        <v>#VALUE!</v>
      </c>
      <c r="H116" s="118" t="e">
        <f t="shared" si="69"/>
        <v>#VALUE!</v>
      </c>
      <c r="I116" s="118"/>
      <c r="R116" s="93" t="str">
        <f t="shared" si="70"/>
        <v xml:space="preserve"> </v>
      </c>
      <c r="S116" s="90" t="str">
        <f t="shared" si="57"/>
        <v xml:space="preserve"> </v>
      </c>
      <c r="T116" s="90" t="str">
        <f t="shared" si="58"/>
        <v xml:space="preserve"> </v>
      </c>
      <c r="U116" s="90" t="str">
        <f t="shared" si="59"/>
        <v xml:space="preserve"> </v>
      </c>
      <c r="V116" s="90" t="str">
        <f t="shared" si="60"/>
        <v xml:space="preserve"> </v>
      </c>
      <c r="W116" s="90" t="str">
        <f t="shared" si="61"/>
        <v/>
      </c>
      <c r="X116" s="90" t="e">
        <f t="shared" si="62"/>
        <v>#VALUE!</v>
      </c>
      <c r="Y116" s="90" t="e">
        <f t="shared" si="63"/>
        <v>#VALUE!</v>
      </c>
      <c r="Z116" s="90" t="e">
        <f t="shared" si="64"/>
        <v>#VALUE!</v>
      </c>
      <c r="AA116" s="90" t="e">
        <f t="shared" si="65"/>
        <v>#VALUE!</v>
      </c>
      <c r="AB116" s="90" t="e">
        <f t="shared" si="66"/>
        <v>#VALUE!</v>
      </c>
      <c r="AC116" s="90" t="e">
        <f t="shared" si="51"/>
        <v>#VALUE!</v>
      </c>
      <c r="AD116" s="364" t="e">
        <f t="shared" si="67"/>
        <v>#VALUE!</v>
      </c>
      <c r="AE116" s="90" t="e">
        <f t="shared" si="68"/>
        <v>#VALUE!</v>
      </c>
    </row>
    <row r="117" spans="1:31" hidden="1">
      <c r="A117" s="392">
        <v>92</v>
      </c>
      <c r="B117" s="95" t="e">
        <f t="shared" si="71"/>
        <v>#VALUE!</v>
      </c>
      <c r="C117" s="122" t="str">
        <f t="shared" si="52"/>
        <v xml:space="preserve"> </v>
      </c>
      <c r="D117" s="122" t="str">
        <f t="shared" si="53"/>
        <v xml:space="preserve"> </v>
      </c>
      <c r="E117" s="122" t="str">
        <f t="shared" si="54"/>
        <v xml:space="preserve"> </v>
      </c>
      <c r="F117" s="122" t="str">
        <f t="shared" si="55"/>
        <v xml:space="preserve"> </v>
      </c>
      <c r="G117" s="117" t="e">
        <f t="shared" si="56"/>
        <v>#VALUE!</v>
      </c>
      <c r="H117" s="118" t="e">
        <f t="shared" si="69"/>
        <v>#VALUE!</v>
      </c>
      <c r="I117" s="118"/>
      <c r="R117" s="93" t="str">
        <f t="shared" si="70"/>
        <v xml:space="preserve"> </v>
      </c>
      <c r="S117" s="90" t="str">
        <f t="shared" si="57"/>
        <v xml:space="preserve"> </v>
      </c>
      <c r="T117" s="90" t="str">
        <f t="shared" si="58"/>
        <v xml:space="preserve"> </v>
      </c>
      <c r="U117" s="90" t="str">
        <f t="shared" si="59"/>
        <v xml:space="preserve"> </v>
      </c>
      <c r="V117" s="90" t="str">
        <f t="shared" si="60"/>
        <v xml:space="preserve"> </v>
      </c>
      <c r="W117" s="90" t="str">
        <f t="shared" si="61"/>
        <v/>
      </c>
      <c r="X117" s="90" t="e">
        <f t="shared" si="62"/>
        <v>#VALUE!</v>
      </c>
      <c r="Y117" s="90" t="e">
        <f t="shared" si="63"/>
        <v>#VALUE!</v>
      </c>
      <c r="Z117" s="90" t="e">
        <f t="shared" si="64"/>
        <v>#VALUE!</v>
      </c>
      <c r="AA117" s="90" t="e">
        <f t="shared" si="65"/>
        <v>#VALUE!</v>
      </c>
      <c r="AB117" s="90" t="e">
        <f t="shared" si="66"/>
        <v>#VALUE!</v>
      </c>
      <c r="AC117" s="90" t="e">
        <f t="shared" si="51"/>
        <v>#VALUE!</v>
      </c>
      <c r="AD117" s="364" t="e">
        <f t="shared" si="67"/>
        <v>#VALUE!</v>
      </c>
      <c r="AE117" s="90" t="e">
        <f t="shared" si="68"/>
        <v>#VALUE!</v>
      </c>
    </row>
    <row r="118" spans="1:31" hidden="1">
      <c r="A118" s="392">
        <v>93</v>
      </c>
      <c r="B118" s="95" t="e">
        <f t="shared" si="71"/>
        <v>#VALUE!</v>
      </c>
      <c r="C118" s="122" t="str">
        <f t="shared" si="52"/>
        <v xml:space="preserve"> </v>
      </c>
      <c r="D118" s="122" t="str">
        <f t="shared" si="53"/>
        <v xml:space="preserve"> </v>
      </c>
      <c r="E118" s="122" t="str">
        <f t="shared" si="54"/>
        <v xml:space="preserve"> </v>
      </c>
      <c r="F118" s="122" t="str">
        <f t="shared" si="55"/>
        <v xml:space="preserve"> </v>
      </c>
      <c r="G118" s="117" t="e">
        <f t="shared" si="56"/>
        <v>#VALUE!</v>
      </c>
      <c r="H118" s="118" t="e">
        <f t="shared" si="69"/>
        <v>#VALUE!</v>
      </c>
      <c r="I118" s="118"/>
      <c r="R118" s="93" t="str">
        <f t="shared" si="70"/>
        <v xml:space="preserve"> </v>
      </c>
      <c r="S118" s="90" t="str">
        <f t="shared" si="57"/>
        <v xml:space="preserve"> </v>
      </c>
      <c r="T118" s="90" t="str">
        <f t="shared" si="58"/>
        <v xml:space="preserve"> </v>
      </c>
      <c r="U118" s="90" t="str">
        <f t="shared" si="59"/>
        <v xml:space="preserve"> </v>
      </c>
      <c r="V118" s="90" t="str">
        <f t="shared" si="60"/>
        <v xml:space="preserve"> </v>
      </c>
      <c r="W118" s="90" t="str">
        <f t="shared" si="61"/>
        <v/>
      </c>
      <c r="X118" s="90" t="e">
        <f t="shared" si="62"/>
        <v>#VALUE!</v>
      </c>
      <c r="Y118" s="90" t="e">
        <f t="shared" si="63"/>
        <v>#VALUE!</v>
      </c>
      <c r="Z118" s="90" t="e">
        <f t="shared" si="64"/>
        <v>#VALUE!</v>
      </c>
      <c r="AA118" s="90" t="e">
        <f t="shared" si="65"/>
        <v>#VALUE!</v>
      </c>
      <c r="AB118" s="90" t="e">
        <f t="shared" si="66"/>
        <v>#VALUE!</v>
      </c>
      <c r="AC118" s="90" t="e">
        <f t="shared" si="51"/>
        <v>#VALUE!</v>
      </c>
      <c r="AD118" s="364" t="e">
        <f t="shared" si="67"/>
        <v>#VALUE!</v>
      </c>
      <c r="AE118" s="90" t="e">
        <f t="shared" si="68"/>
        <v>#VALUE!</v>
      </c>
    </row>
    <row r="119" spans="1:31" hidden="1">
      <c r="A119" s="392">
        <v>94</v>
      </c>
      <c r="B119" s="95" t="e">
        <f t="shared" si="71"/>
        <v>#VALUE!</v>
      </c>
      <c r="C119" s="122" t="str">
        <f t="shared" si="52"/>
        <v xml:space="preserve"> </v>
      </c>
      <c r="D119" s="122" t="str">
        <f t="shared" si="53"/>
        <v xml:space="preserve"> </v>
      </c>
      <c r="E119" s="122" t="str">
        <f t="shared" si="54"/>
        <v xml:space="preserve"> </v>
      </c>
      <c r="F119" s="122" t="str">
        <f t="shared" si="55"/>
        <v xml:space="preserve"> </v>
      </c>
      <c r="G119" s="117" t="e">
        <f t="shared" si="56"/>
        <v>#VALUE!</v>
      </c>
      <c r="H119" s="118" t="e">
        <f t="shared" si="69"/>
        <v>#VALUE!</v>
      </c>
      <c r="I119" s="118"/>
      <c r="R119" s="93" t="str">
        <f t="shared" si="70"/>
        <v xml:space="preserve"> </v>
      </c>
      <c r="S119" s="90" t="str">
        <f t="shared" si="57"/>
        <v xml:space="preserve"> </v>
      </c>
      <c r="T119" s="90" t="str">
        <f t="shared" si="58"/>
        <v xml:space="preserve"> </v>
      </c>
      <c r="U119" s="90" t="str">
        <f t="shared" si="59"/>
        <v xml:space="preserve"> </v>
      </c>
      <c r="V119" s="90" t="str">
        <f t="shared" si="60"/>
        <v xml:space="preserve"> </v>
      </c>
      <c r="W119" s="90" t="str">
        <f t="shared" si="61"/>
        <v/>
      </c>
      <c r="X119" s="90" t="e">
        <f t="shared" si="62"/>
        <v>#VALUE!</v>
      </c>
      <c r="Y119" s="90" t="e">
        <f t="shared" si="63"/>
        <v>#VALUE!</v>
      </c>
      <c r="Z119" s="90" t="e">
        <f t="shared" si="64"/>
        <v>#VALUE!</v>
      </c>
      <c r="AA119" s="90" t="e">
        <f t="shared" si="65"/>
        <v>#VALUE!</v>
      </c>
      <c r="AB119" s="90" t="e">
        <f t="shared" si="66"/>
        <v>#VALUE!</v>
      </c>
      <c r="AC119" s="90" t="e">
        <f t="shared" si="51"/>
        <v>#VALUE!</v>
      </c>
      <c r="AD119" s="364" t="e">
        <f t="shared" si="67"/>
        <v>#VALUE!</v>
      </c>
      <c r="AE119" s="90" t="e">
        <f t="shared" si="68"/>
        <v>#VALUE!</v>
      </c>
    </row>
    <row r="120" spans="1:31" hidden="1">
      <c r="A120" s="392">
        <v>95</v>
      </c>
      <c r="B120" s="95" t="e">
        <f t="shared" si="71"/>
        <v>#VALUE!</v>
      </c>
      <c r="C120" s="122" t="str">
        <f t="shared" si="52"/>
        <v xml:space="preserve"> </v>
      </c>
      <c r="D120" s="122" t="str">
        <f t="shared" si="53"/>
        <v xml:space="preserve"> </v>
      </c>
      <c r="E120" s="122" t="str">
        <f t="shared" si="54"/>
        <v xml:space="preserve"> </v>
      </c>
      <c r="F120" s="122" t="str">
        <f t="shared" si="55"/>
        <v xml:space="preserve"> </v>
      </c>
      <c r="G120" s="117" t="e">
        <f t="shared" si="56"/>
        <v>#VALUE!</v>
      </c>
      <c r="H120" s="118" t="e">
        <f t="shared" si="69"/>
        <v>#VALUE!</v>
      </c>
      <c r="I120" s="118"/>
      <c r="R120" s="93" t="str">
        <f t="shared" si="70"/>
        <v xml:space="preserve"> </v>
      </c>
      <c r="S120" s="90" t="str">
        <f t="shared" si="57"/>
        <v xml:space="preserve"> </v>
      </c>
      <c r="T120" s="90" t="str">
        <f t="shared" si="58"/>
        <v xml:space="preserve"> </v>
      </c>
      <c r="U120" s="90" t="str">
        <f t="shared" si="59"/>
        <v xml:space="preserve"> </v>
      </c>
      <c r="V120" s="90" t="str">
        <f t="shared" si="60"/>
        <v xml:space="preserve"> </v>
      </c>
      <c r="W120" s="90" t="str">
        <f t="shared" si="61"/>
        <v/>
      </c>
      <c r="X120" s="90" t="e">
        <f t="shared" si="62"/>
        <v>#VALUE!</v>
      </c>
      <c r="Y120" s="90" t="e">
        <f t="shared" si="63"/>
        <v>#VALUE!</v>
      </c>
      <c r="Z120" s="90" t="e">
        <f t="shared" si="64"/>
        <v>#VALUE!</v>
      </c>
      <c r="AA120" s="90" t="e">
        <f t="shared" si="65"/>
        <v>#VALUE!</v>
      </c>
      <c r="AB120" s="90" t="e">
        <f t="shared" si="66"/>
        <v>#VALUE!</v>
      </c>
      <c r="AC120" s="90" t="e">
        <f t="shared" si="51"/>
        <v>#VALUE!</v>
      </c>
      <c r="AD120" s="364" t="e">
        <f t="shared" si="67"/>
        <v>#VALUE!</v>
      </c>
      <c r="AE120" s="90" t="e">
        <f t="shared" si="68"/>
        <v>#VALUE!</v>
      </c>
    </row>
    <row r="121" spans="1:31" hidden="1">
      <c r="A121" s="392">
        <v>96</v>
      </c>
      <c r="B121" s="95" t="e">
        <f t="shared" si="71"/>
        <v>#VALUE!</v>
      </c>
      <c r="C121" s="122" t="str">
        <f t="shared" si="52"/>
        <v xml:space="preserve"> </v>
      </c>
      <c r="D121" s="122" t="str">
        <f t="shared" si="53"/>
        <v xml:space="preserve"> </v>
      </c>
      <c r="E121" s="122" t="str">
        <f t="shared" si="54"/>
        <v xml:space="preserve"> </v>
      </c>
      <c r="F121" s="122" t="str">
        <f t="shared" si="55"/>
        <v xml:space="preserve"> </v>
      </c>
      <c r="G121" s="117" t="e">
        <f t="shared" si="56"/>
        <v>#VALUE!</v>
      </c>
      <c r="H121" s="118" t="e">
        <f t="shared" si="69"/>
        <v>#VALUE!</v>
      </c>
      <c r="I121" s="118"/>
      <c r="R121" s="93" t="str">
        <f t="shared" si="70"/>
        <v xml:space="preserve"> </v>
      </c>
      <c r="S121" s="90" t="str">
        <f t="shared" si="57"/>
        <v xml:space="preserve"> </v>
      </c>
      <c r="T121" s="90" t="str">
        <f t="shared" si="58"/>
        <v xml:space="preserve"> </v>
      </c>
      <c r="U121" s="90" t="str">
        <f t="shared" si="59"/>
        <v xml:space="preserve"> </v>
      </c>
      <c r="V121" s="90" t="str">
        <f t="shared" si="60"/>
        <v xml:space="preserve"> </v>
      </c>
      <c r="W121" s="90" t="str">
        <f t="shared" si="61"/>
        <v/>
      </c>
      <c r="X121" s="90" t="e">
        <f t="shared" si="62"/>
        <v>#VALUE!</v>
      </c>
      <c r="Y121" s="90" t="e">
        <f t="shared" si="63"/>
        <v>#VALUE!</v>
      </c>
      <c r="Z121" s="90" t="e">
        <f t="shared" si="64"/>
        <v>#VALUE!</v>
      </c>
      <c r="AA121" s="90" t="e">
        <f t="shared" si="65"/>
        <v>#VALUE!</v>
      </c>
      <c r="AB121" s="90" t="e">
        <f t="shared" si="66"/>
        <v>#VALUE!</v>
      </c>
      <c r="AC121" s="90" t="e">
        <f t="shared" si="51"/>
        <v>#VALUE!</v>
      </c>
      <c r="AD121" s="364" t="e">
        <f t="shared" si="67"/>
        <v>#VALUE!</v>
      </c>
      <c r="AE121" s="90" t="e">
        <f t="shared" si="68"/>
        <v>#VALUE!</v>
      </c>
    </row>
    <row r="122" spans="1:31" hidden="1">
      <c r="A122" s="392">
        <v>97</v>
      </c>
      <c r="B122" s="95" t="e">
        <f t="shared" si="71"/>
        <v>#VALUE!</v>
      </c>
      <c r="C122" s="122" t="str">
        <f t="shared" ref="C122:C153" si="72">IF(P_1,SQRT(POWER(SQRT(P_1^2-$T122*$T122)-SIN($U122*PI()/180)*ABS($R122),2)+Db_teor_UT^2)," ")</f>
        <v xml:space="preserve"> </v>
      </c>
      <c r="D122" s="122" t="str">
        <f t="shared" ref="D122:D153" si="73">IF(P_2,SQRT(POWER(SQRT(P_2^2-$T122*$T122)-SIN($U122*PI()/180)*ABS($R122),2)+Db_teor_UT^2)," ")</f>
        <v xml:space="preserve"> </v>
      </c>
      <c r="E122" s="122" t="str">
        <f t="shared" ref="E122:E153" si="74">IF(P_3,SQRT(POWER(SQRT(P_3^2-$T122*$T122)-SIN($U122*PI()/180)*ABS($R122),2)+Db_teor_UT^2)," ")</f>
        <v xml:space="preserve"> </v>
      </c>
      <c r="F122" s="122" t="str">
        <f t="shared" ref="F122:F153" si="75">IF(P_4,SQRT(POWER(SQRT(P_4^2-$T122*$T122)-SIN($U122*PI()/180)*ABS($R122),2)+Db_teor_UT^2)," ")</f>
        <v xml:space="preserve"> </v>
      </c>
      <c r="G122" s="117" t="e">
        <f t="shared" ref="G122:G153" si="76">(Mod._c.*(Z_ut*inv_apt+(H122-1)*PI())+Y122)*COS(ac.*PI()/180)</f>
        <v>#VALUE!</v>
      </c>
      <c r="H122" s="118" t="e">
        <f t="shared" si="69"/>
        <v>#VALUE!</v>
      </c>
      <c r="I122" s="118"/>
      <c r="R122" s="93" t="str">
        <f t="shared" si="70"/>
        <v xml:space="preserve"> </v>
      </c>
      <c r="S122" s="90" t="str">
        <f t="shared" ref="S122:S131" si="77">IF($C$7,R122/($K$9+$K$15)," ")</f>
        <v xml:space="preserve"> </v>
      </c>
      <c r="T122" s="90" t="str">
        <f t="shared" ref="T122:T131" si="78">IF($C$7,$O$7*ABS($K$9)*COS($O$5*PI()/180)," ")</f>
        <v xml:space="preserve"> </v>
      </c>
      <c r="U122" s="90" t="str">
        <f t="shared" ref="U122:U131" si="79">IF($C$7,(ACOS(T122/(S122*ABS($K$9))))*180/PI()," ")</f>
        <v xml:space="preserve"> </v>
      </c>
      <c r="V122" s="90" t="str">
        <f t="shared" ref="V122:V131" si="80">IF($C$7,COS($O$5*PI()/180)*$O$7*$K$15," ")</f>
        <v xml:space="preserve"> </v>
      </c>
      <c r="W122" s="90" t="str">
        <f t="shared" ref="W122:W131" si="81">IF($C$7,SQRT(POWER(C122,2)-POWER($K$17,2))/2,"")</f>
        <v/>
      </c>
      <c r="X122" s="90" t="e">
        <f t="shared" ref="X122:X131" si="82">TAN(U122*PI()/180)-RADIANS(U122)</f>
        <v>#VALUE!</v>
      </c>
      <c r="Y122" s="90" t="e">
        <f t="shared" ref="Y122:Y131" si="83">(PI()*$O$7-$K$19)+(X122-$O$9)*($K$9+$K$15)*$O$7</f>
        <v>#VALUE!</v>
      </c>
      <c r="Z122" s="90" t="e">
        <f t="shared" ref="Z122:Z131" si="84">(Y122-$O$7*PI()/2)/(2*$K$5*TAN($O$5*PI()/180))</f>
        <v>#VALUE!</v>
      </c>
      <c r="AA122" s="90" t="e">
        <f t="shared" ref="AA122:AA131" si="85">$O$7*$K$15+2*Z122*$K$5</f>
        <v>#VALUE!</v>
      </c>
      <c r="AB122" s="90" t="e">
        <f t="shared" ref="AB122:AB131" si="86">ACOS(V122/AA122)*180/PI()</f>
        <v>#VALUE!</v>
      </c>
      <c r="AC122" s="90" t="e">
        <f t="shared" si="51"/>
        <v>#VALUE!</v>
      </c>
      <c r="AD122" s="364" t="e">
        <f t="shared" ref="AD122:AD131" si="87">Z_ut/PI()*(TAN(AB122*PI()/180)-2*Z122/Z_ut*TAN(an*PI()/180)-inv_apt)+0.5</f>
        <v>#VALUE!</v>
      </c>
      <c r="AE122" s="90" t="e">
        <f t="shared" si="68"/>
        <v>#VALUE!</v>
      </c>
    </row>
    <row r="123" spans="1:31" hidden="1">
      <c r="A123" s="392">
        <v>98</v>
      </c>
      <c r="B123" s="95" t="e">
        <f t="shared" si="71"/>
        <v>#VALUE!</v>
      </c>
      <c r="C123" s="122" t="str">
        <f t="shared" si="72"/>
        <v xml:space="preserve"> </v>
      </c>
      <c r="D123" s="122" t="str">
        <f t="shared" si="73"/>
        <v xml:space="preserve"> </v>
      </c>
      <c r="E123" s="122" t="str">
        <f t="shared" si="74"/>
        <v xml:space="preserve"> </v>
      </c>
      <c r="F123" s="122" t="str">
        <f t="shared" si="75"/>
        <v xml:space="preserve"> </v>
      </c>
      <c r="G123" s="117" t="e">
        <f t="shared" si="76"/>
        <v>#VALUE!</v>
      </c>
      <c r="H123" s="118" t="e">
        <f t="shared" si="69"/>
        <v>#VALUE!</v>
      </c>
      <c r="I123" s="118"/>
      <c r="R123" s="93" t="str">
        <f t="shared" ref="R123:R131" si="88">IF($C$7,IF($K$9&gt;0,B123+$K$13,B123-ABS($K$13))," ")</f>
        <v xml:space="preserve"> </v>
      </c>
      <c r="S123" s="90" t="str">
        <f t="shared" si="77"/>
        <v xml:space="preserve"> </v>
      </c>
      <c r="T123" s="90" t="str">
        <f t="shared" si="78"/>
        <v xml:space="preserve"> </v>
      </c>
      <c r="U123" s="90" t="str">
        <f t="shared" si="79"/>
        <v xml:space="preserve"> </v>
      </c>
      <c r="V123" s="90" t="str">
        <f t="shared" si="80"/>
        <v xml:space="preserve"> </v>
      </c>
      <c r="W123" s="90" t="str">
        <f t="shared" si="81"/>
        <v/>
      </c>
      <c r="X123" s="90" t="e">
        <f t="shared" si="82"/>
        <v>#VALUE!</v>
      </c>
      <c r="Y123" s="90" t="e">
        <f t="shared" si="83"/>
        <v>#VALUE!</v>
      </c>
      <c r="Z123" s="90" t="e">
        <f t="shared" si="84"/>
        <v>#VALUE!</v>
      </c>
      <c r="AA123" s="90" t="e">
        <f t="shared" si="85"/>
        <v>#VALUE!</v>
      </c>
      <c r="AB123" s="90" t="e">
        <f t="shared" si="86"/>
        <v>#VALUE!</v>
      </c>
      <c r="AC123" s="90" t="e">
        <f t="shared" si="51"/>
        <v>#VALUE!</v>
      </c>
      <c r="AD123" s="364" t="e">
        <f t="shared" si="87"/>
        <v>#VALUE!</v>
      </c>
      <c r="AE123" s="90" t="e">
        <f t="shared" si="68"/>
        <v>#VALUE!</v>
      </c>
    </row>
    <row r="124" spans="1:31" hidden="1">
      <c r="A124" s="392">
        <v>99</v>
      </c>
      <c r="B124" s="95" t="e">
        <f t="shared" si="71"/>
        <v>#VALUE!</v>
      </c>
      <c r="C124" s="122" t="str">
        <f t="shared" si="72"/>
        <v xml:space="preserve"> </v>
      </c>
      <c r="D124" s="122" t="str">
        <f t="shared" si="73"/>
        <v xml:space="preserve"> </v>
      </c>
      <c r="E124" s="122" t="str">
        <f t="shared" si="74"/>
        <v xml:space="preserve"> </v>
      </c>
      <c r="F124" s="122" t="str">
        <f t="shared" si="75"/>
        <v xml:space="preserve"> </v>
      </c>
      <c r="G124" s="117" t="e">
        <f t="shared" si="76"/>
        <v>#VALUE!</v>
      </c>
      <c r="H124" s="118" t="e">
        <f t="shared" si="69"/>
        <v>#VALUE!</v>
      </c>
      <c r="I124" s="118"/>
      <c r="R124" s="93" t="str">
        <f t="shared" si="88"/>
        <v xml:space="preserve"> </v>
      </c>
      <c r="S124" s="90" t="str">
        <f t="shared" si="77"/>
        <v xml:space="preserve"> </v>
      </c>
      <c r="T124" s="90" t="str">
        <f t="shared" si="78"/>
        <v xml:space="preserve"> </v>
      </c>
      <c r="U124" s="90" t="str">
        <f t="shared" si="79"/>
        <v xml:space="preserve"> </v>
      </c>
      <c r="V124" s="90" t="str">
        <f t="shared" si="80"/>
        <v xml:space="preserve"> </v>
      </c>
      <c r="W124" s="90" t="str">
        <f t="shared" si="81"/>
        <v/>
      </c>
      <c r="X124" s="90" t="e">
        <f t="shared" si="82"/>
        <v>#VALUE!</v>
      </c>
      <c r="Y124" s="90" t="e">
        <f t="shared" si="83"/>
        <v>#VALUE!</v>
      </c>
      <c r="Z124" s="90" t="e">
        <f t="shared" si="84"/>
        <v>#VALUE!</v>
      </c>
      <c r="AA124" s="90" t="e">
        <f t="shared" si="85"/>
        <v>#VALUE!</v>
      </c>
      <c r="AB124" s="90" t="e">
        <f t="shared" si="86"/>
        <v>#VALUE!</v>
      </c>
      <c r="AC124" s="90" t="e">
        <f t="shared" si="51"/>
        <v>#VALUE!</v>
      </c>
      <c r="AD124" s="364" t="e">
        <f t="shared" si="87"/>
        <v>#VALUE!</v>
      </c>
      <c r="AE124" s="90" t="e">
        <f t="shared" si="68"/>
        <v>#VALUE!</v>
      </c>
    </row>
    <row r="125" spans="1:31" hidden="1">
      <c r="A125" s="392">
        <v>100</v>
      </c>
      <c r="B125" s="95" t="e">
        <f t="shared" si="71"/>
        <v>#VALUE!</v>
      </c>
      <c r="C125" s="122" t="str">
        <f t="shared" si="72"/>
        <v xml:space="preserve"> </v>
      </c>
      <c r="D125" s="122" t="str">
        <f t="shared" si="73"/>
        <v xml:space="preserve"> </v>
      </c>
      <c r="E125" s="122" t="str">
        <f t="shared" si="74"/>
        <v xml:space="preserve"> </v>
      </c>
      <c r="F125" s="122" t="str">
        <f t="shared" si="75"/>
        <v xml:space="preserve"> </v>
      </c>
      <c r="G125" s="117" t="e">
        <f t="shared" si="76"/>
        <v>#VALUE!</v>
      </c>
      <c r="H125" s="118" t="e">
        <f t="shared" si="69"/>
        <v>#VALUE!</v>
      </c>
      <c r="I125" s="118"/>
      <c r="R125" s="93" t="str">
        <f t="shared" si="88"/>
        <v xml:space="preserve"> </v>
      </c>
      <c r="S125" s="90" t="str">
        <f t="shared" si="77"/>
        <v xml:space="preserve"> </v>
      </c>
      <c r="T125" s="90" t="str">
        <f t="shared" si="78"/>
        <v xml:space="preserve"> </v>
      </c>
      <c r="U125" s="90" t="str">
        <f t="shared" si="79"/>
        <v xml:space="preserve"> </v>
      </c>
      <c r="V125" s="90" t="str">
        <f t="shared" si="80"/>
        <v xml:space="preserve"> </v>
      </c>
      <c r="W125" s="90" t="str">
        <f t="shared" si="81"/>
        <v/>
      </c>
      <c r="X125" s="90" t="e">
        <f t="shared" si="82"/>
        <v>#VALUE!</v>
      </c>
      <c r="Y125" s="90" t="e">
        <f t="shared" si="83"/>
        <v>#VALUE!</v>
      </c>
      <c r="Z125" s="90" t="e">
        <f t="shared" si="84"/>
        <v>#VALUE!</v>
      </c>
      <c r="AA125" s="90" t="e">
        <f t="shared" si="85"/>
        <v>#VALUE!</v>
      </c>
      <c r="AB125" s="90" t="e">
        <f t="shared" si="86"/>
        <v>#VALUE!</v>
      </c>
      <c r="AC125" s="90" t="e">
        <f t="shared" si="51"/>
        <v>#VALUE!</v>
      </c>
      <c r="AD125" s="364" t="e">
        <f t="shared" si="87"/>
        <v>#VALUE!</v>
      </c>
      <c r="AE125" s="90" t="e">
        <f t="shared" si="68"/>
        <v>#VALUE!</v>
      </c>
    </row>
    <row r="126" spans="1:31" hidden="1">
      <c r="A126" s="392">
        <v>101</v>
      </c>
      <c r="B126" s="95" t="e">
        <f t="shared" si="71"/>
        <v>#VALUE!</v>
      </c>
      <c r="C126" s="122" t="str">
        <f t="shared" si="72"/>
        <v xml:space="preserve"> </v>
      </c>
      <c r="D126" s="122" t="str">
        <f t="shared" si="73"/>
        <v xml:space="preserve"> </v>
      </c>
      <c r="E126" s="122" t="str">
        <f t="shared" si="74"/>
        <v xml:space="preserve"> </v>
      </c>
      <c r="F126" s="122" t="str">
        <f t="shared" si="75"/>
        <v xml:space="preserve"> </v>
      </c>
      <c r="G126" s="117" t="e">
        <f t="shared" si="76"/>
        <v>#VALUE!</v>
      </c>
      <c r="H126" s="118" t="e">
        <f t="shared" si="69"/>
        <v>#VALUE!</v>
      </c>
      <c r="I126" s="118"/>
      <c r="R126" s="93" t="str">
        <f t="shared" si="88"/>
        <v xml:space="preserve"> </v>
      </c>
      <c r="S126" s="90" t="str">
        <f t="shared" si="77"/>
        <v xml:space="preserve"> </v>
      </c>
      <c r="T126" s="90" t="str">
        <f t="shared" si="78"/>
        <v xml:space="preserve"> </v>
      </c>
      <c r="U126" s="90" t="str">
        <f t="shared" si="79"/>
        <v xml:space="preserve"> </v>
      </c>
      <c r="V126" s="90" t="str">
        <f t="shared" si="80"/>
        <v xml:space="preserve"> </v>
      </c>
      <c r="W126" s="90" t="str">
        <f t="shared" si="81"/>
        <v/>
      </c>
      <c r="X126" s="90" t="e">
        <f t="shared" si="82"/>
        <v>#VALUE!</v>
      </c>
      <c r="Y126" s="90" t="e">
        <f t="shared" si="83"/>
        <v>#VALUE!</v>
      </c>
      <c r="Z126" s="90" t="e">
        <f t="shared" si="84"/>
        <v>#VALUE!</v>
      </c>
      <c r="AA126" s="90" t="e">
        <f t="shared" si="85"/>
        <v>#VALUE!</v>
      </c>
      <c r="AB126" s="90" t="e">
        <f t="shared" si="86"/>
        <v>#VALUE!</v>
      </c>
      <c r="AC126" s="90" t="e">
        <f t="shared" si="51"/>
        <v>#VALUE!</v>
      </c>
      <c r="AD126" s="364" t="e">
        <f t="shared" si="87"/>
        <v>#VALUE!</v>
      </c>
      <c r="AE126" s="90" t="e">
        <f t="shared" si="68"/>
        <v>#VALUE!</v>
      </c>
    </row>
    <row r="127" spans="1:31" hidden="1">
      <c r="A127" s="392">
        <v>102</v>
      </c>
      <c r="B127" s="95" t="e">
        <f t="shared" si="71"/>
        <v>#VALUE!</v>
      </c>
      <c r="C127" s="122" t="str">
        <f t="shared" si="72"/>
        <v xml:space="preserve"> </v>
      </c>
      <c r="D127" s="122" t="str">
        <f t="shared" si="73"/>
        <v xml:space="preserve"> </v>
      </c>
      <c r="E127" s="122" t="str">
        <f t="shared" si="74"/>
        <v xml:space="preserve"> </v>
      </c>
      <c r="F127" s="122" t="str">
        <f t="shared" si="75"/>
        <v xml:space="preserve"> </v>
      </c>
      <c r="G127" s="117" t="e">
        <f t="shared" si="76"/>
        <v>#VALUE!</v>
      </c>
      <c r="H127" s="118" t="e">
        <f t="shared" si="69"/>
        <v>#VALUE!</v>
      </c>
      <c r="I127" s="118"/>
      <c r="R127" s="93" t="str">
        <f t="shared" si="88"/>
        <v xml:space="preserve"> </v>
      </c>
      <c r="S127" s="90" t="str">
        <f t="shared" si="77"/>
        <v xml:space="preserve"> </v>
      </c>
      <c r="T127" s="90" t="str">
        <f t="shared" si="78"/>
        <v xml:space="preserve"> </v>
      </c>
      <c r="U127" s="90" t="str">
        <f t="shared" si="79"/>
        <v xml:space="preserve"> </v>
      </c>
      <c r="V127" s="90" t="str">
        <f t="shared" si="80"/>
        <v xml:space="preserve"> </v>
      </c>
      <c r="W127" s="90" t="str">
        <f t="shared" si="81"/>
        <v/>
      </c>
      <c r="X127" s="90" t="e">
        <f t="shared" si="82"/>
        <v>#VALUE!</v>
      </c>
      <c r="Y127" s="90" t="e">
        <f t="shared" si="83"/>
        <v>#VALUE!</v>
      </c>
      <c r="Z127" s="90" t="e">
        <f t="shared" si="84"/>
        <v>#VALUE!</v>
      </c>
      <c r="AA127" s="90" t="e">
        <f t="shared" si="85"/>
        <v>#VALUE!</v>
      </c>
      <c r="AB127" s="90" t="e">
        <f t="shared" si="86"/>
        <v>#VALUE!</v>
      </c>
      <c r="AC127" s="90" t="e">
        <f t="shared" si="51"/>
        <v>#VALUE!</v>
      </c>
      <c r="AD127" s="364" t="e">
        <f t="shared" si="87"/>
        <v>#VALUE!</v>
      </c>
      <c r="AE127" s="90" t="e">
        <f t="shared" si="68"/>
        <v>#VALUE!</v>
      </c>
    </row>
    <row r="128" spans="1:31" hidden="1">
      <c r="A128" s="392">
        <v>103</v>
      </c>
      <c r="B128" s="95" t="e">
        <f t="shared" si="71"/>
        <v>#VALUE!</v>
      </c>
      <c r="C128" s="122" t="str">
        <f t="shared" si="72"/>
        <v xml:space="preserve"> </v>
      </c>
      <c r="D128" s="122" t="str">
        <f t="shared" si="73"/>
        <v xml:space="preserve"> </v>
      </c>
      <c r="E128" s="122" t="str">
        <f t="shared" si="74"/>
        <v xml:space="preserve"> </v>
      </c>
      <c r="F128" s="122" t="str">
        <f t="shared" si="75"/>
        <v xml:space="preserve"> </v>
      </c>
      <c r="G128" s="117" t="e">
        <f t="shared" si="76"/>
        <v>#VALUE!</v>
      </c>
      <c r="H128" s="118" t="e">
        <f t="shared" si="69"/>
        <v>#VALUE!</v>
      </c>
      <c r="I128" s="118"/>
      <c r="R128" s="93" t="str">
        <f t="shared" si="88"/>
        <v xml:space="preserve"> </v>
      </c>
      <c r="S128" s="90" t="str">
        <f t="shared" si="77"/>
        <v xml:space="preserve"> </v>
      </c>
      <c r="T128" s="90" t="str">
        <f t="shared" si="78"/>
        <v xml:space="preserve"> </v>
      </c>
      <c r="U128" s="90" t="str">
        <f t="shared" si="79"/>
        <v xml:space="preserve"> </v>
      </c>
      <c r="V128" s="90" t="str">
        <f t="shared" si="80"/>
        <v xml:space="preserve"> </v>
      </c>
      <c r="W128" s="90" t="str">
        <f t="shared" si="81"/>
        <v/>
      </c>
      <c r="X128" s="90" t="e">
        <f t="shared" si="82"/>
        <v>#VALUE!</v>
      </c>
      <c r="Y128" s="90" t="e">
        <f t="shared" si="83"/>
        <v>#VALUE!</v>
      </c>
      <c r="Z128" s="90" t="e">
        <f t="shared" si="84"/>
        <v>#VALUE!</v>
      </c>
      <c r="AA128" s="90" t="e">
        <f t="shared" si="85"/>
        <v>#VALUE!</v>
      </c>
      <c r="AB128" s="90" t="e">
        <f t="shared" si="86"/>
        <v>#VALUE!</v>
      </c>
      <c r="AC128" s="90" t="e">
        <f t="shared" si="51"/>
        <v>#VALUE!</v>
      </c>
      <c r="AD128" s="364" t="e">
        <f t="shared" si="87"/>
        <v>#VALUE!</v>
      </c>
      <c r="AE128" s="90" t="e">
        <f t="shared" si="68"/>
        <v>#VALUE!</v>
      </c>
    </row>
    <row r="129" spans="1:31" hidden="1">
      <c r="A129" s="392">
        <v>104</v>
      </c>
      <c r="B129" s="95" t="e">
        <f t="shared" si="71"/>
        <v>#VALUE!</v>
      </c>
      <c r="C129" s="122" t="str">
        <f t="shared" si="72"/>
        <v xml:space="preserve"> </v>
      </c>
      <c r="D129" s="122" t="str">
        <f t="shared" si="73"/>
        <v xml:space="preserve"> </v>
      </c>
      <c r="E129" s="122" t="str">
        <f t="shared" si="74"/>
        <v xml:space="preserve"> </v>
      </c>
      <c r="F129" s="122" t="str">
        <f t="shared" si="75"/>
        <v xml:space="preserve"> </v>
      </c>
      <c r="G129" s="117" t="e">
        <f t="shared" si="76"/>
        <v>#VALUE!</v>
      </c>
      <c r="H129" s="118" t="e">
        <f t="shared" si="69"/>
        <v>#VALUE!</v>
      </c>
      <c r="I129" s="118"/>
      <c r="R129" s="93" t="str">
        <f t="shared" si="88"/>
        <v xml:space="preserve"> </v>
      </c>
      <c r="S129" s="90" t="str">
        <f t="shared" si="77"/>
        <v xml:space="preserve"> </v>
      </c>
      <c r="T129" s="90" t="str">
        <f t="shared" si="78"/>
        <v xml:space="preserve"> </v>
      </c>
      <c r="U129" s="90" t="str">
        <f t="shared" si="79"/>
        <v xml:space="preserve"> </v>
      </c>
      <c r="V129" s="90" t="str">
        <f t="shared" si="80"/>
        <v xml:space="preserve"> </v>
      </c>
      <c r="W129" s="90" t="str">
        <f t="shared" si="81"/>
        <v/>
      </c>
      <c r="X129" s="90" t="e">
        <f t="shared" si="82"/>
        <v>#VALUE!</v>
      </c>
      <c r="Y129" s="90" t="e">
        <f t="shared" si="83"/>
        <v>#VALUE!</v>
      </c>
      <c r="Z129" s="90" t="e">
        <f t="shared" si="84"/>
        <v>#VALUE!</v>
      </c>
      <c r="AA129" s="90" t="e">
        <f t="shared" si="85"/>
        <v>#VALUE!</v>
      </c>
      <c r="AB129" s="90" t="e">
        <f t="shared" si="86"/>
        <v>#VALUE!</v>
      </c>
      <c r="AC129" s="90" t="e">
        <f t="shared" si="51"/>
        <v>#VALUE!</v>
      </c>
      <c r="AD129" s="364" t="e">
        <f t="shared" si="87"/>
        <v>#VALUE!</v>
      </c>
      <c r="AE129" s="90" t="e">
        <f t="shared" si="68"/>
        <v>#VALUE!</v>
      </c>
    </row>
    <row r="130" spans="1:31" hidden="1">
      <c r="A130" s="392">
        <v>105</v>
      </c>
      <c r="B130" s="95" t="e">
        <f t="shared" si="71"/>
        <v>#VALUE!</v>
      </c>
      <c r="C130" s="122" t="str">
        <f t="shared" si="72"/>
        <v xml:space="preserve"> </v>
      </c>
      <c r="D130" s="122" t="str">
        <f t="shared" si="73"/>
        <v xml:space="preserve"> </v>
      </c>
      <c r="E130" s="122" t="str">
        <f t="shared" si="74"/>
        <v xml:space="preserve"> </v>
      </c>
      <c r="F130" s="122" t="str">
        <f t="shared" si="75"/>
        <v xml:space="preserve"> </v>
      </c>
      <c r="G130" s="117" t="e">
        <f t="shared" si="76"/>
        <v>#VALUE!</v>
      </c>
      <c r="H130" s="118" t="e">
        <f t="shared" si="69"/>
        <v>#VALUE!</v>
      </c>
      <c r="I130" s="118"/>
      <c r="R130" s="93" t="str">
        <f t="shared" si="88"/>
        <v xml:space="preserve"> </v>
      </c>
      <c r="S130" s="90" t="str">
        <f t="shared" si="77"/>
        <v xml:space="preserve"> </v>
      </c>
      <c r="T130" s="90" t="str">
        <f t="shared" si="78"/>
        <v xml:space="preserve"> </v>
      </c>
      <c r="U130" s="90" t="str">
        <f t="shared" si="79"/>
        <v xml:space="preserve"> </v>
      </c>
      <c r="V130" s="90" t="str">
        <f t="shared" si="80"/>
        <v xml:space="preserve"> </v>
      </c>
      <c r="W130" s="90" t="str">
        <f t="shared" si="81"/>
        <v/>
      </c>
      <c r="X130" s="90" t="e">
        <f t="shared" si="82"/>
        <v>#VALUE!</v>
      </c>
      <c r="Y130" s="90" t="e">
        <f t="shared" si="83"/>
        <v>#VALUE!</v>
      </c>
      <c r="Z130" s="90" t="e">
        <f t="shared" si="84"/>
        <v>#VALUE!</v>
      </c>
      <c r="AA130" s="90" t="e">
        <f t="shared" si="85"/>
        <v>#VALUE!</v>
      </c>
      <c r="AB130" s="90" t="e">
        <f t="shared" si="86"/>
        <v>#VALUE!</v>
      </c>
      <c r="AC130" s="90" t="e">
        <f t="shared" si="51"/>
        <v>#VALUE!</v>
      </c>
      <c r="AD130" s="364" t="e">
        <f t="shared" si="87"/>
        <v>#VALUE!</v>
      </c>
      <c r="AE130" s="90" t="e">
        <f t="shared" si="68"/>
        <v>#VALUE!</v>
      </c>
    </row>
    <row r="131" spans="1:31" hidden="1">
      <c r="A131" s="392">
        <v>106</v>
      </c>
      <c r="B131" s="95" t="e">
        <f t="shared" si="71"/>
        <v>#VALUE!</v>
      </c>
      <c r="C131" s="122" t="str">
        <f t="shared" si="72"/>
        <v xml:space="preserve"> </v>
      </c>
      <c r="D131" s="122" t="str">
        <f t="shared" si="73"/>
        <v xml:space="preserve"> </v>
      </c>
      <c r="E131" s="122" t="str">
        <f t="shared" si="74"/>
        <v xml:space="preserve"> </v>
      </c>
      <c r="F131" s="122" t="str">
        <f t="shared" si="75"/>
        <v xml:space="preserve"> </v>
      </c>
      <c r="G131" s="117" t="e">
        <f t="shared" si="76"/>
        <v>#VALUE!</v>
      </c>
      <c r="H131" s="118" t="e">
        <f t="shared" si="69"/>
        <v>#VALUE!</v>
      </c>
      <c r="I131" s="118"/>
      <c r="R131" s="93" t="str">
        <f t="shared" si="88"/>
        <v xml:space="preserve"> </v>
      </c>
      <c r="S131" s="90" t="str">
        <f t="shared" si="77"/>
        <v xml:space="preserve"> </v>
      </c>
      <c r="T131" s="90" t="str">
        <f t="shared" si="78"/>
        <v xml:space="preserve"> </v>
      </c>
      <c r="U131" s="90" t="str">
        <f t="shared" si="79"/>
        <v xml:space="preserve"> </v>
      </c>
      <c r="V131" s="90" t="str">
        <f t="shared" si="80"/>
        <v xml:space="preserve"> </v>
      </c>
      <c r="W131" s="90" t="str">
        <f t="shared" si="81"/>
        <v/>
      </c>
      <c r="X131" s="90" t="e">
        <f t="shared" si="82"/>
        <v>#VALUE!</v>
      </c>
      <c r="Y131" s="90" t="e">
        <f t="shared" si="83"/>
        <v>#VALUE!</v>
      </c>
      <c r="Z131" s="90" t="e">
        <f t="shared" si="84"/>
        <v>#VALUE!</v>
      </c>
      <c r="AA131" s="90" t="e">
        <f t="shared" si="85"/>
        <v>#VALUE!</v>
      </c>
      <c r="AB131" s="90" t="e">
        <f t="shared" si="86"/>
        <v>#VALUE!</v>
      </c>
      <c r="AC131" s="90" t="e">
        <f>TAN(AB131*PI()/180)-RADIANS(AB131)</f>
        <v>#VALUE!</v>
      </c>
      <c r="AD131" s="364" t="e">
        <f t="shared" si="87"/>
        <v>#VALUE!</v>
      </c>
      <c r="AE131" s="90" t="e">
        <f t="shared" si="68"/>
        <v>#VALUE!</v>
      </c>
    </row>
    <row r="132" spans="1:31" hidden="1">
      <c r="A132" s="392">
        <v>107</v>
      </c>
      <c r="B132" s="95" t="e">
        <f t="shared" si="71"/>
        <v>#VALUE!</v>
      </c>
      <c r="C132" s="122" t="str">
        <f t="shared" si="72"/>
        <v xml:space="preserve"> </v>
      </c>
      <c r="D132" s="122" t="str">
        <f t="shared" si="73"/>
        <v xml:space="preserve"> </v>
      </c>
      <c r="E132" s="122" t="str">
        <f t="shared" si="74"/>
        <v xml:space="preserve"> </v>
      </c>
      <c r="F132" s="122" t="str">
        <f t="shared" si="75"/>
        <v xml:space="preserve"> </v>
      </c>
      <c r="G132" s="117" t="e">
        <f t="shared" si="76"/>
        <v>#VALUE!</v>
      </c>
      <c r="H132" s="118">
        <f t="shared" si="69"/>
        <v>0</v>
      </c>
      <c r="I132" s="118"/>
    </row>
    <row r="133" spans="1:31" hidden="1">
      <c r="A133" s="392">
        <v>108</v>
      </c>
      <c r="B133" s="95" t="e">
        <f t="shared" si="71"/>
        <v>#VALUE!</v>
      </c>
      <c r="C133" s="122" t="str">
        <f t="shared" si="72"/>
        <v xml:space="preserve"> </v>
      </c>
      <c r="D133" s="122" t="str">
        <f t="shared" si="73"/>
        <v xml:space="preserve"> </v>
      </c>
      <c r="E133" s="122" t="str">
        <f t="shared" si="74"/>
        <v xml:space="preserve"> </v>
      </c>
      <c r="F133" s="122" t="str">
        <f t="shared" si="75"/>
        <v xml:space="preserve"> </v>
      </c>
      <c r="G133" s="117" t="e">
        <f t="shared" si="76"/>
        <v>#VALUE!</v>
      </c>
      <c r="H133" s="118">
        <f t="shared" si="69"/>
        <v>0</v>
      </c>
      <c r="I133" s="118"/>
    </row>
    <row r="134" spans="1:31" hidden="1">
      <c r="A134" s="392">
        <v>109</v>
      </c>
      <c r="B134" s="95" t="e">
        <f t="shared" si="71"/>
        <v>#VALUE!</v>
      </c>
      <c r="C134" s="122" t="str">
        <f t="shared" si="72"/>
        <v xml:space="preserve"> </v>
      </c>
      <c r="D134" s="122" t="str">
        <f t="shared" si="73"/>
        <v xml:space="preserve"> </v>
      </c>
      <c r="E134" s="122" t="str">
        <f t="shared" si="74"/>
        <v xml:space="preserve"> </v>
      </c>
      <c r="F134" s="122" t="str">
        <f t="shared" si="75"/>
        <v xml:space="preserve"> </v>
      </c>
      <c r="G134" s="117" t="e">
        <f t="shared" si="76"/>
        <v>#VALUE!</v>
      </c>
      <c r="H134" s="118">
        <f t="shared" si="69"/>
        <v>0</v>
      </c>
      <c r="I134" s="118"/>
    </row>
    <row r="135" spans="1:31" hidden="1">
      <c r="A135" s="392">
        <v>110</v>
      </c>
      <c r="B135" s="95" t="e">
        <f t="shared" si="71"/>
        <v>#VALUE!</v>
      </c>
      <c r="C135" s="122" t="str">
        <f t="shared" si="72"/>
        <v xml:space="preserve"> </v>
      </c>
      <c r="D135" s="122" t="str">
        <f t="shared" si="73"/>
        <v xml:space="preserve"> </v>
      </c>
      <c r="E135" s="122" t="str">
        <f t="shared" si="74"/>
        <v xml:space="preserve"> </v>
      </c>
      <c r="F135" s="122" t="str">
        <f t="shared" si="75"/>
        <v xml:space="preserve"> </v>
      </c>
      <c r="G135" s="117" t="e">
        <f t="shared" si="76"/>
        <v>#VALUE!</v>
      </c>
      <c r="H135" s="118">
        <f t="shared" si="69"/>
        <v>0</v>
      </c>
      <c r="I135" s="118"/>
    </row>
    <row r="136" spans="1:31" hidden="1">
      <c r="A136" s="392">
        <v>111</v>
      </c>
      <c r="B136" s="95" t="e">
        <f t="shared" si="71"/>
        <v>#VALUE!</v>
      </c>
      <c r="C136" s="122" t="str">
        <f t="shared" si="72"/>
        <v xml:space="preserve"> </v>
      </c>
      <c r="D136" s="122" t="str">
        <f t="shared" si="73"/>
        <v xml:space="preserve"> </v>
      </c>
      <c r="E136" s="122" t="str">
        <f t="shared" si="74"/>
        <v xml:space="preserve"> </v>
      </c>
      <c r="F136" s="122" t="str">
        <f t="shared" si="75"/>
        <v xml:space="preserve"> </v>
      </c>
      <c r="G136" s="117" t="e">
        <f t="shared" si="76"/>
        <v>#VALUE!</v>
      </c>
      <c r="H136" s="118">
        <f t="shared" si="69"/>
        <v>0</v>
      </c>
      <c r="I136" s="118"/>
    </row>
    <row r="137" spans="1:31" hidden="1">
      <c r="A137" s="392">
        <v>112</v>
      </c>
      <c r="B137" s="95" t="e">
        <f t="shared" si="71"/>
        <v>#VALUE!</v>
      </c>
      <c r="C137" s="122" t="str">
        <f t="shared" si="72"/>
        <v xml:space="preserve"> </v>
      </c>
      <c r="D137" s="122" t="str">
        <f t="shared" si="73"/>
        <v xml:space="preserve"> </v>
      </c>
      <c r="E137" s="122" t="str">
        <f t="shared" si="74"/>
        <v xml:space="preserve"> </v>
      </c>
      <c r="F137" s="122" t="str">
        <f t="shared" si="75"/>
        <v xml:space="preserve"> </v>
      </c>
      <c r="G137" s="117" t="e">
        <f t="shared" si="76"/>
        <v>#VALUE!</v>
      </c>
      <c r="H137" s="118">
        <f t="shared" si="69"/>
        <v>0</v>
      </c>
      <c r="I137" s="118"/>
    </row>
    <row r="138" spans="1:31" hidden="1">
      <c r="A138" s="392">
        <v>113</v>
      </c>
      <c r="B138" s="95" t="e">
        <f t="shared" si="71"/>
        <v>#VALUE!</v>
      </c>
      <c r="C138" s="122" t="str">
        <f t="shared" si="72"/>
        <v xml:space="preserve"> </v>
      </c>
      <c r="D138" s="122" t="str">
        <f t="shared" si="73"/>
        <v xml:space="preserve"> </v>
      </c>
      <c r="E138" s="122" t="str">
        <f t="shared" si="74"/>
        <v xml:space="preserve"> </v>
      </c>
      <c r="F138" s="122" t="str">
        <f t="shared" si="75"/>
        <v xml:space="preserve"> </v>
      </c>
      <c r="G138" s="117" t="e">
        <f t="shared" si="76"/>
        <v>#VALUE!</v>
      </c>
      <c r="H138" s="118">
        <f t="shared" si="69"/>
        <v>0</v>
      </c>
      <c r="I138" s="118"/>
    </row>
    <row r="139" spans="1:31" hidden="1">
      <c r="A139" s="392">
        <v>114</v>
      </c>
      <c r="B139" s="95" t="e">
        <f t="shared" si="71"/>
        <v>#VALUE!</v>
      </c>
      <c r="C139" s="122" t="str">
        <f t="shared" si="72"/>
        <v xml:space="preserve"> </v>
      </c>
      <c r="D139" s="122" t="str">
        <f t="shared" si="73"/>
        <v xml:space="preserve"> </v>
      </c>
      <c r="E139" s="122" t="str">
        <f t="shared" si="74"/>
        <v xml:space="preserve"> </v>
      </c>
      <c r="F139" s="122" t="str">
        <f t="shared" si="75"/>
        <v xml:space="preserve"> </v>
      </c>
      <c r="G139" s="117" t="e">
        <f t="shared" si="76"/>
        <v>#VALUE!</v>
      </c>
      <c r="H139" s="118">
        <f t="shared" si="69"/>
        <v>0</v>
      </c>
      <c r="I139" s="118"/>
    </row>
    <row r="140" spans="1:31" hidden="1">
      <c r="A140" s="392">
        <v>115</v>
      </c>
      <c r="B140" s="95" t="e">
        <f t="shared" si="71"/>
        <v>#VALUE!</v>
      </c>
      <c r="C140" s="122" t="str">
        <f t="shared" si="72"/>
        <v xml:space="preserve"> </v>
      </c>
      <c r="D140" s="122" t="str">
        <f t="shared" si="73"/>
        <v xml:space="preserve"> </v>
      </c>
      <c r="E140" s="122" t="str">
        <f t="shared" si="74"/>
        <v xml:space="preserve"> </v>
      </c>
      <c r="F140" s="122" t="str">
        <f t="shared" si="75"/>
        <v xml:space="preserve"> </v>
      </c>
      <c r="G140" s="117" t="e">
        <f t="shared" si="76"/>
        <v>#VALUE!</v>
      </c>
      <c r="H140" s="118">
        <f t="shared" si="69"/>
        <v>0</v>
      </c>
      <c r="I140" s="118"/>
    </row>
    <row r="141" spans="1:31" hidden="1">
      <c r="A141" s="392">
        <v>116</v>
      </c>
      <c r="B141" s="95" t="e">
        <f t="shared" si="71"/>
        <v>#VALUE!</v>
      </c>
      <c r="C141" s="122" t="str">
        <f t="shared" si="72"/>
        <v xml:space="preserve"> </v>
      </c>
      <c r="D141" s="122" t="str">
        <f t="shared" si="73"/>
        <v xml:space="preserve"> </v>
      </c>
      <c r="E141" s="122" t="str">
        <f t="shared" si="74"/>
        <v xml:space="preserve"> </v>
      </c>
      <c r="F141" s="122" t="str">
        <f t="shared" si="75"/>
        <v xml:space="preserve"> </v>
      </c>
      <c r="G141" s="117" t="e">
        <f t="shared" si="76"/>
        <v>#VALUE!</v>
      </c>
      <c r="H141" s="118">
        <f t="shared" si="69"/>
        <v>0</v>
      </c>
      <c r="I141" s="118"/>
    </row>
    <row r="142" spans="1:31" hidden="1">
      <c r="A142" s="392">
        <v>117</v>
      </c>
      <c r="B142" s="95" t="e">
        <f t="shared" si="71"/>
        <v>#VALUE!</v>
      </c>
      <c r="C142" s="122" t="str">
        <f t="shared" si="72"/>
        <v xml:space="preserve"> </v>
      </c>
      <c r="D142" s="122" t="str">
        <f t="shared" si="73"/>
        <v xml:space="preserve"> </v>
      </c>
      <c r="E142" s="122" t="str">
        <f t="shared" si="74"/>
        <v xml:space="preserve"> </v>
      </c>
      <c r="F142" s="122" t="str">
        <f t="shared" si="75"/>
        <v xml:space="preserve"> </v>
      </c>
      <c r="G142" s="117" t="e">
        <f t="shared" si="76"/>
        <v>#VALUE!</v>
      </c>
      <c r="H142" s="118">
        <f t="shared" si="69"/>
        <v>0</v>
      </c>
      <c r="I142" s="118"/>
    </row>
    <row r="143" spans="1:31" hidden="1">
      <c r="A143" s="392">
        <v>118</v>
      </c>
      <c r="B143" s="95" t="e">
        <f t="shared" si="71"/>
        <v>#VALUE!</v>
      </c>
      <c r="C143" s="122" t="str">
        <f t="shared" si="72"/>
        <v xml:space="preserve"> </v>
      </c>
      <c r="D143" s="122" t="str">
        <f t="shared" si="73"/>
        <v xml:space="preserve"> </v>
      </c>
      <c r="E143" s="122" t="str">
        <f t="shared" si="74"/>
        <v xml:space="preserve"> </v>
      </c>
      <c r="F143" s="122" t="str">
        <f t="shared" si="75"/>
        <v xml:space="preserve"> </v>
      </c>
      <c r="G143" s="117" t="e">
        <f t="shared" si="76"/>
        <v>#VALUE!</v>
      </c>
      <c r="H143" s="118">
        <f t="shared" si="69"/>
        <v>0</v>
      </c>
      <c r="I143" s="118"/>
    </row>
    <row r="144" spans="1:31" hidden="1">
      <c r="A144" s="392">
        <v>119</v>
      </c>
      <c r="B144" s="95" t="e">
        <f t="shared" si="71"/>
        <v>#VALUE!</v>
      </c>
      <c r="C144" s="122" t="str">
        <f t="shared" si="72"/>
        <v xml:space="preserve"> </v>
      </c>
      <c r="D144" s="122" t="str">
        <f t="shared" si="73"/>
        <v xml:space="preserve"> </v>
      </c>
      <c r="E144" s="122" t="str">
        <f t="shared" si="74"/>
        <v xml:space="preserve"> </v>
      </c>
      <c r="F144" s="122" t="str">
        <f t="shared" si="75"/>
        <v xml:space="preserve"> </v>
      </c>
      <c r="G144" s="117" t="e">
        <f t="shared" si="76"/>
        <v>#VALUE!</v>
      </c>
      <c r="H144" s="118">
        <f t="shared" si="69"/>
        <v>0</v>
      </c>
      <c r="I144" s="118"/>
    </row>
    <row r="145" spans="1:9" hidden="1">
      <c r="A145" s="392">
        <v>120</v>
      </c>
      <c r="B145" s="95" t="e">
        <f t="shared" si="71"/>
        <v>#VALUE!</v>
      </c>
      <c r="C145" s="122" t="str">
        <f t="shared" si="72"/>
        <v xml:space="preserve"> </v>
      </c>
      <c r="D145" s="122" t="str">
        <f t="shared" si="73"/>
        <v xml:space="preserve"> </v>
      </c>
      <c r="E145" s="122" t="str">
        <f t="shared" si="74"/>
        <v xml:space="preserve"> </v>
      </c>
      <c r="F145" s="122" t="str">
        <f t="shared" si="75"/>
        <v xml:space="preserve"> </v>
      </c>
      <c r="G145" s="117" t="e">
        <f t="shared" si="76"/>
        <v>#VALUE!</v>
      </c>
      <c r="H145" s="118">
        <f t="shared" si="69"/>
        <v>0</v>
      </c>
      <c r="I145" s="118"/>
    </row>
    <row r="146" spans="1:9" hidden="1">
      <c r="A146" s="392">
        <v>121</v>
      </c>
      <c r="B146" s="95" t="e">
        <f t="shared" si="71"/>
        <v>#VALUE!</v>
      </c>
      <c r="C146" s="122" t="str">
        <f t="shared" si="72"/>
        <v xml:space="preserve"> </v>
      </c>
      <c r="D146" s="122" t="str">
        <f t="shared" si="73"/>
        <v xml:space="preserve"> </v>
      </c>
      <c r="E146" s="122" t="str">
        <f t="shared" si="74"/>
        <v xml:space="preserve"> </v>
      </c>
      <c r="F146" s="122" t="str">
        <f t="shared" si="75"/>
        <v xml:space="preserve"> </v>
      </c>
      <c r="G146" s="117" t="e">
        <f t="shared" si="76"/>
        <v>#VALUE!</v>
      </c>
      <c r="H146" s="118">
        <f t="shared" si="69"/>
        <v>0</v>
      </c>
      <c r="I146" s="118"/>
    </row>
    <row r="147" spans="1:9" hidden="1">
      <c r="A147" s="392">
        <v>122</v>
      </c>
      <c r="B147" s="95" t="e">
        <f t="shared" si="71"/>
        <v>#VALUE!</v>
      </c>
      <c r="C147" s="122" t="str">
        <f t="shared" si="72"/>
        <v xml:space="preserve"> </v>
      </c>
      <c r="D147" s="122" t="str">
        <f t="shared" si="73"/>
        <v xml:space="preserve"> </v>
      </c>
      <c r="E147" s="122" t="str">
        <f t="shared" si="74"/>
        <v xml:space="preserve"> </v>
      </c>
      <c r="F147" s="122" t="str">
        <f t="shared" si="75"/>
        <v xml:space="preserve"> </v>
      </c>
      <c r="G147" s="117" t="e">
        <f t="shared" si="76"/>
        <v>#VALUE!</v>
      </c>
      <c r="H147" s="118">
        <f t="shared" si="69"/>
        <v>0</v>
      </c>
      <c r="I147" s="118"/>
    </row>
    <row r="148" spans="1:9" hidden="1">
      <c r="A148" s="392">
        <v>123</v>
      </c>
      <c r="B148" s="95" t="e">
        <f t="shared" si="71"/>
        <v>#VALUE!</v>
      </c>
      <c r="C148" s="122" t="str">
        <f t="shared" si="72"/>
        <v xml:space="preserve"> </v>
      </c>
      <c r="D148" s="122" t="str">
        <f t="shared" si="73"/>
        <v xml:space="preserve"> </v>
      </c>
      <c r="E148" s="122" t="str">
        <f t="shared" si="74"/>
        <v xml:space="preserve"> </v>
      </c>
      <c r="F148" s="122" t="str">
        <f t="shared" si="75"/>
        <v xml:space="preserve"> </v>
      </c>
      <c r="G148" s="117" t="e">
        <f t="shared" si="76"/>
        <v>#VALUE!</v>
      </c>
      <c r="H148" s="118">
        <f t="shared" si="69"/>
        <v>0</v>
      </c>
      <c r="I148" s="118"/>
    </row>
    <row r="149" spans="1:9" hidden="1">
      <c r="A149" s="392">
        <v>124</v>
      </c>
      <c r="B149" s="95" t="e">
        <f t="shared" si="71"/>
        <v>#VALUE!</v>
      </c>
      <c r="C149" s="122" t="str">
        <f t="shared" si="72"/>
        <v xml:space="preserve"> </v>
      </c>
      <c r="D149" s="122" t="str">
        <f t="shared" si="73"/>
        <v xml:space="preserve"> </v>
      </c>
      <c r="E149" s="122" t="str">
        <f t="shared" si="74"/>
        <v xml:space="preserve"> </v>
      </c>
      <c r="F149" s="122" t="str">
        <f t="shared" si="75"/>
        <v xml:space="preserve"> </v>
      </c>
      <c r="G149" s="117" t="e">
        <f t="shared" si="76"/>
        <v>#VALUE!</v>
      </c>
      <c r="H149" s="118">
        <f t="shared" si="69"/>
        <v>0</v>
      </c>
      <c r="I149" s="118"/>
    </row>
    <row r="150" spans="1:9" hidden="1">
      <c r="A150" s="392">
        <v>125</v>
      </c>
      <c r="B150" s="95" t="e">
        <f t="shared" si="71"/>
        <v>#VALUE!</v>
      </c>
      <c r="C150" s="122" t="str">
        <f t="shared" si="72"/>
        <v xml:space="preserve"> </v>
      </c>
      <c r="D150" s="122" t="str">
        <f t="shared" si="73"/>
        <v xml:space="preserve"> </v>
      </c>
      <c r="E150" s="122" t="str">
        <f t="shared" si="74"/>
        <v xml:space="preserve"> </v>
      </c>
      <c r="F150" s="122" t="str">
        <f t="shared" si="75"/>
        <v xml:space="preserve"> </v>
      </c>
      <c r="G150" s="117" t="e">
        <f t="shared" si="76"/>
        <v>#VALUE!</v>
      </c>
      <c r="H150" s="118">
        <f t="shared" si="69"/>
        <v>0</v>
      </c>
      <c r="I150" s="118"/>
    </row>
    <row r="151" spans="1:9" hidden="1">
      <c r="A151" s="392">
        <v>126</v>
      </c>
      <c r="B151" s="95" t="e">
        <f t="shared" si="71"/>
        <v>#VALUE!</v>
      </c>
      <c r="C151" s="122" t="str">
        <f t="shared" si="72"/>
        <v xml:space="preserve"> </v>
      </c>
      <c r="D151" s="122" t="str">
        <f t="shared" si="73"/>
        <v xml:space="preserve"> </v>
      </c>
      <c r="E151" s="122" t="str">
        <f t="shared" si="74"/>
        <v xml:space="preserve"> </v>
      </c>
      <c r="F151" s="122" t="str">
        <f t="shared" si="75"/>
        <v xml:space="preserve"> </v>
      </c>
      <c r="G151" s="117" t="e">
        <f t="shared" si="76"/>
        <v>#VALUE!</v>
      </c>
      <c r="H151" s="118">
        <f t="shared" si="69"/>
        <v>0</v>
      </c>
      <c r="I151" s="118"/>
    </row>
    <row r="152" spans="1:9" hidden="1">
      <c r="A152" s="392">
        <v>127</v>
      </c>
      <c r="B152" s="95" t="e">
        <f t="shared" si="71"/>
        <v>#VALUE!</v>
      </c>
      <c r="C152" s="122" t="str">
        <f t="shared" si="72"/>
        <v xml:space="preserve"> </v>
      </c>
      <c r="D152" s="122" t="str">
        <f t="shared" si="73"/>
        <v xml:space="preserve"> </v>
      </c>
      <c r="E152" s="122" t="str">
        <f t="shared" si="74"/>
        <v xml:space="preserve"> </v>
      </c>
      <c r="F152" s="122" t="str">
        <f t="shared" si="75"/>
        <v xml:space="preserve"> </v>
      </c>
      <c r="G152" s="117" t="e">
        <f t="shared" si="76"/>
        <v>#VALUE!</v>
      </c>
      <c r="H152" s="118">
        <f t="shared" si="69"/>
        <v>0</v>
      </c>
      <c r="I152" s="118"/>
    </row>
    <row r="153" spans="1:9" hidden="1">
      <c r="A153" s="392">
        <v>128</v>
      </c>
      <c r="B153" s="95" t="e">
        <f t="shared" si="71"/>
        <v>#VALUE!</v>
      </c>
      <c r="C153" s="122" t="str">
        <f t="shared" si="72"/>
        <v xml:space="preserve"> </v>
      </c>
      <c r="D153" s="122" t="str">
        <f t="shared" si="73"/>
        <v xml:space="preserve"> </v>
      </c>
      <c r="E153" s="122" t="str">
        <f t="shared" si="74"/>
        <v xml:space="preserve"> </v>
      </c>
      <c r="F153" s="122" t="str">
        <f t="shared" si="75"/>
        <v xml:space="preserve"> </v>
      </c>
      <c r="G153" s="117" t="e">
        <f t="shared" si="76"/>
        <v>#VALUE!</v>
      </c>
      <c r="H153" s="118">
        <f t="shared" si="69"/>
        <v>0</v>
      </c>
      <c r="I153" s="118"/>
    </row>
  </sheetData>
  <mergeCells count="17">
    <mergeCell ref="O24:O25"/>
    <mergeCell ref="P24:P25"/>
    <mergeCell ref="B23:C23"/>
    <mergeCell ref="B24:B25"/>
    <mergeCell ref="G24:G25"/>
    <mergeCell ref="H24:H25"/>
    <mergeCell ref="J24:J25"/>
    <mergeCell ref="G23:J23"/>
    <mergeCell ref="B18:C18"/>
    <mergeCell ref="O1:P1"/>
    <mergeCell ref="B1:C1"/>
    <mergeCell ref="L1:N1"/>
    <mergeCell ref="F1:K1"/>
    <mergeCell ref="D1:E1"/>
    <mergeCell ref="B16:C16"/>
    <mergeCell ref="D15:D19"/>
    <mergeCell ref="D5:E5"/>
  </mergeCells>
  <conditionalFormatting sqref="C7">
    <cfRule type="expression" dxfId="24" priority="45">
      <formula>C7=""</formula>
    </cfRule>
  </conditionalFormatting>
  <conditionalFormatting sqref="C9">
    <cfRule type="expression" dxfId="23" priority="44">
      <formula>C9=""</formula>
    </cfRule>
  </conditionalFormatting>
  <conditionalFormatting sqref="C11">
    <cfRule type="expression" dxfId="22" priority="43">
      <formula>C11=""</formula>
    </cfRule>
  </conditionalFormatting>
  <conditionalFormatting sqref="C13">
    <cfRule type="expression" dxfId="21" priority="42">
      <formula>C13=""</formula>
    </cfRule>
  </conditionalFormatting>
  <conditionalFormatting sqref="K5">
    <cfRule type="expression" dxfId="20" priority="41">
      <formula>K5=""</formula>
    </cfRule>
  </conditionalFormatting>
  <conditionalFormatting sqref="K9">
    <cfRule type="expression" dxfId="19" priority="39">
      <formula>K9=""</formula>
    </cfRule>
  </conditionalFormatting>
  <conditionalFormatting sqref="K11">
    <cfRule type="expression" dxfId="18" priority="38">
      <formula>K11=""</formula>
    </cfRule>
  </conditionalFormatting>
  <conditionalFormatting sqref="K13">
    <cfRule type="expression" dxfId="17" priority="37">
      <formula>K13=""</formula>
    </cfRule>
  </conditionalFormatting>
  <conditionalFormatting sqref="K7">
    <cfRule type="expression" dxfId="16" priority="35">
      <formula>K7=""</formula>
    </cfRule>
  </conditionalFormatting>
  <conditionalFormatting sqref="K17">
    <cfRule type="expression" dxfId="15" priority="34">
      <formula>K17=""</formula>
    </cfRule>
  </conditionalFormatting>
  <conditionalFormatting sqref="C19">
    <cfRule type="expression" dxfId="14" priority="33">
      <formula>C19=""</formula>
    </cfRule>
  </conditionalFormatting>
  <conditionalFormatting sqref="K15">
    <cfRule type="expression" dxfId="13" priority="32">
      <formula>K15=""</formula>
    </cfRule>
  </conditionalFormatting>
  <conditionalFormatting sqref="C15">
    <cfRule type="expression" dxfId="12" priority="23">
      <formula>C15=""</formula>
    </cfRule>
  </conditionalFormatting>
  <conditionalFormatting sqref="C17">
    <cfRule type="expression" dxfId="11" priority="22">
      <formula>C17=""</formula>
    </cfRule>
  </conditionalFormatting>
  <conditionalFormatting sqref="B26:B153">
    <cfRule type="expression" dxfId="10" priority="21">
      <formula>ABS(B26-$C$19)&lt;0.000001</formula>
    </cfRule>
  </conditionalFormatting>
  <conditionalFormatting sqref="C26:G153">
    <cfRule type="expression" dxfId="9" priority="20">
      <formula>ABS($B26-$C$19)&lt;0.000001</formula>
    </cfRule>
  </conditionalFormatting>
  <conditionalFormatting sqref="H26:H153">
    <cfRule type="expression" dxfId="8" priority="19">
      <formula>ABS(B26-$C$19)&lt;0.000001</formula>
    </cfRule>
  </conditionalFormatting>
  <conditionalFormatting sqref="K26:O89">
    <cfRule type="expression" dxfId="7" priority="18">
      <formula>ABS($J26-$C$19)&lt;0.000001</formula>
    </cfRule>
  </conditionalFormatting>
  <conditionalFormatting sqref="J26:J89">
    <cfRule type="expression" dxfId="6" priority="17">
      <formula>ABS($J26-$C$19)&lt;0.000001</formula>
    </cfRule>
  </conditionalFormatting>
  <conditionalFormatting sqref="P26:P89">
    <cfRule type="expression" dxfId="5" priority="15">
      <formula>ABS($J26-$C$19)&lt;0.000001</formula>
    </cfRule>
  </conditionalFormatting>
  <conditionalFormatting sqref="K21">
    <cfRule type="expression" dxfId="4" priority="14">
      <formula>K21=""</formula>
    </cfRule>
  </conditionalFormatting>
  <conditionalFormatting sqref="K19">
    <cfRule type="expression" dxfId="3" priority="12">
      <formula>K19=""</formula>
    </cfRule>
  </conditionalFormatting>
  <conditionalFormatting sqref="O13">
    <cfRule type="expression" dxfId="2" priority="3">
      <formula>O13=""</formula>
    </cfRule>
  </conditionalFormatting>
  <conditionalFormatting sqref="O15">
    <cfRule type="expression" dxfId="1" priority="2">
      <formula>O15=""</formula>
    </cfRule>
  </conditionalFormatting>
  <conditionalFormatting sqref="J26:J89 B26:B89">
    <cfRule type="expression" dxfId="0" priority="1">
      <formula>ABS(B26-$C$21)&lt;=$C$17</formula>
    </cfRule>
  </conditionalFormatting>
  <dataValidations disablePrompts="1" count="3">
    <dataValidation type="decimal" allowBlank="1" showInputMessage="1" showErrorMessage="1" sqref="C17" xr:uid="{00000000-0002-0000-0700-000000000000}">
      <formula1>0.001</formula1>
      <formula2>1</formula2>
    </dataValidation>
    <dataValidation type="decimal" allowBlank="1" showInputMessage="1" showErrorMessage="1" sqref="C15" xr:uid="{00000000-0002-0000-0700-000001000000}">
      <formula1>C17</formula1>
      <formula2>C17*100</formula2>
    </dataValidation>
    <dataValidation type="whole" operator="notEqual" allowBlank="1" showInputMessage="1" showErrorMessage="1" sqref="L21" xr:uid="{00000000-0002-0000-0700-000002000000}">
      <formula1>0</formula1>
    </dataValidation>
  </dataValidations>
  <pageMargins left="0.19685039370078741" right="0" top="0.98425196850393704" bottom="0.98425196850393704" header="0.51181102362204722" footer="0.51181102362204722"/>
  <pageSetup paperSize="9" scale="61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MPA_Tabella_punti">
                <anchor moveWithCells="1" sizeWithCells="1">
                  <from>
                    <xdr:col>5</xdr:col>
                    <xdr:colOff>66675</xdr:colOff>
                    <xdr:row>5</xdr:row>
                    <xdr:rowOff>57150</xdr:rowOff>
                  </from>
                  <to>
                    <xdr:col>6</xdr:col>
                    <xdr:colOff>533400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init_TabellaPuntiControllo_Click">
                <anchor moveWithCells="1" sizeWithCells="1">
                  <from>
                    <xdr:col>31</xdr:col>
                    <xdr:colOff>123825</xdr:colOff>
                    <xdr:row>0</xdr:row>
                    <xdr:rowOff>219075</xdr:rowOff>
                  </from>
                  <to>
                    <xdr:col>31</xdr:col>
                    <xdr:colOff>752475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6">
    <pageSetUpPr fitToPage="1"/>
  </sheetPr>
  <dimension ref="A1:L111"/>
  <sheetViews>
    <sheetView workbookViewId="0">
      <selection activeCell="N7" sqref="N7"/>
    </sheetView>
  </sheetViews>
  <sheetFormatPr defaultRowHeight="15"/>
  <cols>
    <col min="1" max="1" width="10.7109375" style="89" customWidth="1"/>
    <col min="2" max="4" width="8.7109375" style="89" customWidth="1"/>
    <col min="5" max="5" width="8.7109375" style="123" customWidth="1"/>
    <col min="6" max="6" width="5.7109375" style="124" customWidth="1"/>
    <col min="7" max="7" width="10.7109375" style="89" customWidth="1"/>
    <col min="8" max="10" width="8.7109375" style="89" customWidth="1"/>
    <col min="11" max="11" width="8.7109375" style="123" customWidth="1"/>
    <col min="12" max="12" width="5.7109375" style="124" customWidth="1"/>
  </cols>
  <sheetData>
    <row r="1" spans="1:12">
      <c r="A1" s="95"/>
      <c r="B1" s="95"/>
      <c r="C1" s="95"/>
      <c r="D1" s="95"/>
      <c r="E1" s="96"/>
      <c r="F1" s="97"/>
      <c r="G1" s="95"/>
      <c r="H1" s="95"/>
      <c r="I1" s="95"/>
      <c r="J1" s="95"/>
      <c r="K1" s="96"/>
      <c r="L1" s="97"/>
    </row>
    <row r="2" spans="1:12" ht="33.75">
      <c r="A2" s="496" t="s">
        <v>14038</v>
      </c>
      <c r="B2" s="496"/>
      <c r="C2" s="496"/>
      <c r="D2" s="496"/>
      <c r="E2" s="496"/>
      <c r="F2" s="496"/>
      <c r="G2" s="496"/>
      <c r="H2" s="496"/>
      <c r="I2" s="496"/>
      <c r="J2" s="496"/>
      <c r="K2" s="496"/>
      <c r="L2" s="496"/>
    </row>
    <row r="3" spans="1:12">
      <c r="A3" s="104"/>
      <c r="B3" s="95"/>
      <c r="C3" s="95"/>
      <c r="D3" s="95"/>
      <c r="E3" s="96"/>
      <c r="F3" s="97"/>
      <c r="G3" s="95"/>
      <c r="H3" s="95"/>
      <c r="I3" s="95"/>
      <c r="J3" s="95"/>
      <c r="K3" s="96"/>
      <c r="L3" s="97"/>
    </row>
    <row r="4" spans="1:12">
      <c r="A4" s="105">
        <v>43447.644321527776</v>
      </c>
      <c r="B4" s="95"/>
      <c r="C4" s="95"/>
      <c r="D4" s="95"/>
      <c r="E4" s="96"/>
      <c r="F4" s="106" t="s">
        <v>14037</v>
      </c>
      <c r="G4" s="95"/>
      <c r="H4" s="95"/>
      <c r="I4" s="107" t="s">
        <v>13587</v>
      </c>
      <c r="J4" s="108">
        <v>189.273</v>
      </c>
      <c r="K4" s="96"/>
      <c r="L4" s="97"/>
    </row>
    <row r="5" spans="1:12">
      <c r="A5" s="109" t="s">
        <v>13588</v>
      </c>
      <c r="B5" s="110" t="s">
        <v>13589</v>
      </c>
      <c r="C5" s="110" t="s">
        <v>13590</v>
      </c>
      <c r="D5" s="110" t="s">
        <v>13591</v>
      </c>
      <c r="E5" s="111" t="s">
        <v>13592</v>
      </c>
      <c r="F5" s="112" t="s">
        <v>13593</v>
      </c>
      <c r="G5" s="109" t="s">
        <v>13588</v>
      </c>
      <c r="H5" s="110" t="s">
        <v>13589</v>
      </c>
      <c r="I5" s="110" t="s">
        <v>13590</v>
      </c>
      <c r="J5" s="110" t="s">
        <v>13591</v>
      </c>
      <c r="K5" s="111" t="s">
        <v>13592</v>
      </c>
      <c r="L5" s="113" t="s">
        <v>13593</v>
      </c>
    </row>
    <row r="6" spans="1:12">
      <c r="A6" s="95">
        <v>191.69999999999976</v>
      </c>
      <c r="B6" s="98">
        <v>191.15074218004841</v>
      </c>
      <c r="C6" s="98">
        <v>174.40726410564966</v>
      </c>
      <c r="D6" s="98">
        <v>174.40583299972974</v>
      </c>
      <c r="E6" s="115">
        <v>63.511679475915294</v>
      </c>
      <c r="F6" s="116">
        <v>5</v>
      </c>
      <c r="G6" s="95"/>
      <c r="H6" s="98"/>
      <c r="I6" s="98"/>
      <c r="J6" s="98"/>
      <c r="K6" s="96"/>
      <c r="L6" s="97"/>
    </row>
    <row r="7" spans="1:12">
      <c r="A7" s="95">
        <v>191.64999999999975</v>
      </c>
      <c r="B7" s="98">
        <v>191.10002964112809</v>
      </c>
      <c r="C7" s="98">
        <v>174.38030413935516</v>
      </c>
      <c r="D7" s="98">
        <v>174.37887638395452</v>
      </c>
      <c r="E7" s="117">
        <v>63.488612727053912</v>
      </c>
      <c r="F7" s="118">
        <v>5</v>
      </c>
      <c r="G7" s="95"/>
      <c r="H7" s="98"/>
      <c r="I7" s="98"/>
      <c r="J7" s="98"/>
      <c r="K7" s="96"/>
      <c r="L7" s="97"/>
    </row>
    <row r="8" spans="1:12">
      <c r="A8" s="95">
        <v>191.59999999999974</v>
      </c>
      <c r="B8" s="98">
        <v>191.04942891859278</v>
      </c>
      <c r="C8" s="98">
        <v>174.35344121894781</v>
      </c>
      <c r="D8" s="98">
        <v>174.3520168113952</v>
      </c>
      <c r="E8" s="117">
        <v>63.465516883557164</v>
      </c>
      <c r="F8" s="118">
        <v>5</v>
      </c>
      <c r="G8" s="95"/>
      <c r="H8" s="98"/>
      <c r="I8" s="98"/>
      <c r="J8" s="98"/>
      <c r="K8" s="96"/>
      <c r="L8" s="97"/>
    </row>
    <row r="9" spans="1:12">
      <c r="A9" s="95">
        <v>191.54999999999973</v>
      </c>
      <c r="B9" s="98">
        <v>190.99893956407126</v>
      </c>
      <c r="C9" s="98">
        <v>174.3266749733238</v>
      </c>
      <c r="D9" s="98">
        <v>174.32525391095967</v>
      </c>
      <c r="E9" s="117">
        <v>63.442392011749348</v>
      </c>
      <c r="F9" s="118">
        <v>5</v>
      </c>
      <c r="G9" s="95"/>
      <c r="H9" s="98"/>
      <c r="I9" s="98"/>
      <c r="J9" s="98"/>
      <c r="K9" s="96"/>
      <c r="L9" s="97"/>
    </row>
    <row r="10" spans="1:12">
      <c r="A10" s="95">
        <v>191.49999999999972</v>
      </c>
      <c r="B10" s="98">
        <v>190.94856113261542</v>
      </c>
      <c r="C10" s="98">
        <v>174.30000503415872</v>
      </c>
      <c r="D10" s="98">
        <v>174.29858731433518</v>
      </c>
      <c r="E10" s="117">
        <v>63.419238177664724</v>
      </c>
      <c r="F10" s="118">
        <v>5</v>
      </c>
      <c r="G10" s="95"/>
      <c r="H10" s="98"/>
      <c r="I10" s="98"/>
      <c r="J10" s="98"/>
      <c r="K10" s="96"/>
      <c r="L10" s="97"/>
    </row>
    <row r="11" spans="1:12">
      <c r="A11" s="95">
        <v>191.4499999999997</v>
      </c>
      <c r="B11" s="98">
        <v>190.89829318266447</v>
      </c>
      <c r="C11" s="98">
        <v>174.27343103587836</v>
      </c>
      <c r="D11" s="98">
        <v>174.27201665595891</v>
      </c>
      <c r="E11" s="117">
        <v>63.396055447049775</v>
      </c>
      <c r="F11" s="118">
        <v>5</v>
      </c>
      <c r="G11" s="95"/>
      <c r="H11" s="98"/>
      <c r="I11" s="98"/>
      <c r="J11" s="98"/>
      <c r="K11" s="96"/>
      <c r="L11" s="97"/>
    </row>
    <row r="12" spans="1:12">
      <c r="A12" s="95">
        <v>191.39999999999969</v>
      </c>
      <c r="B12" s="98">
        <v>190.8481352760092</v>
      </c>
      <c r="C12" s="98">
        <v>174.24695261562974</v>
      </c>
      <c r="D12" s="98">
        <v>174.2455415729894</v>
      </c>
      <c r="E12" s="117">
        <v>63.372843885365199</v>
      </c>
      <c r="F12" s="118">
        <v>5</v>
      </c>
      <c r="G12" s="95"/>
      <c r="H12" s="98"/>
      <c r="I12" s="98"/>
      <c r="J12" s="98"/>
      <c r="K12" s="96"/>
      <c r="L12" s="97"/>
    </row>
    <row r="13" spans="1:12">
      <c r="A13" s="95">
        <v>191.34999999999968</v>
      </c>
      <c r="B13" s="98">
        <v>190.79808697775698</v>
      </c>
      <c r="C13" s="98">
        <v>174.22056941325278</v>
      </c>
      <c r="D13" s="98">
        <v>174.2191617052778</v>
      </c>
      <c r="E13" s="117">
        <v>63.349603557787852</v>
      </c>
      <c r="F13" s="118">
        <v>5</v>
      </c>
      <c r="G13" s="95"/>
      <c r="H13" s="98"/>
      <c r="I13" s="98"/>
      <c r="J13" s="98"/>
      <c r="K13" s="96"/>
      <c r="L13" s="97"/>
    </row>
    <row r="14" spans="1:12">
      <c r="A14" s="95">
        <v>191.29999999999967</v>
      </c>
      <c r="B14" s="98">
        <v>190.74814785629727</v>
      </c>
      <c r="C14" s="98">
        <v>174.19428107125219</v>
      </c>
      <c r="D14" s="98">
        <v>174.19287669534006</v>
      </c>
      <c r="E14" s="117">
        <v>63.32633452921295</v>
      </c>
      <c r="F14" s="118">
        <v>5</v>
      </c>
      <c r="G14" s="95"/>
      <c r="H14" s="98"/>
      <c r="I14" s="98"/>
      <c r="J14" s="98"/>
      <c r="K14" s="96"/>
      <c r="L14" s="97"/>
    </row>
    <row r="15" spans="1:12">
      <c r="A15" s="95">
        <v>191.24999999999966</v>
      </c>
      <c r="B15" s="98">
        <v>190.69831748326723</v>
      </c>
      <c r="C15" s="98">
        <v>174.16808723476973</v>
      </c>
      <c r="D15" s="98">
        <v>174.16668618832912</v>
      </c>
      <c r="E15" s="117">
        <v>63.303036864255901</v>
      </c>
      <c r="F15" s="118">
        <v>5</v>
      </c>
      <c r="G15" s="95"/>
      <c r="H15" s="98"/>
      <c r="I15" s="98"/>
      <c r="J15" s="98"/>
      <c r="K15" s="96"/>
      <c r="L15" s="97"/>
    </row>
    <row r="16" spans="1:12">
      <c r="A16" s="95">
        <v>191.19999999999965</v>
      </c>
      <c r="B16" s="98">
        <v>190.64859543351835</v>
      </c>
      <c r="C16" s="98">
        <v>174.14198755155704</v>
      </c>
      <c r="D16" s="98">
        <v>174.14058983200761</v>
      </c>
      <c r="E16" s="117">
        <v>63.27971062725441</v>
      </c>
      <c r="F16" s="118">
        <v>5</v>
      </c>
      <c r="G16" s="95"/>
      <c r="H16" s="98"/>
      <c r="I16" s="98"/>
      <c r="J16" s="98"/>
      <c r="K16" s="96"/>
      <c r="L16" s="97"/>
    </row>
    <row r="17" spans="1:12">
      <c r="A17" s="95">
        <v>191.14999999999964</v>
      </c>
      <c r="B17" s="98">
        <v>190.59898128508297</v>
      </c>
      <c r="C17" s="98">
        <v>174.11598167194845</v>
      </c>
      <c r="D17" s="98">
        <v>174.11458727672081</v>
      </c>
      <c r="E17" s="117">
        <v>63.256355882270356</v>
      </c>
      <c r="F17" s="118">
        <v>5</v>
      </c>
      <c r="G17" s="95"/>
      <c r="H17" s="98"/>
      <c r="I17" s="98"/>
      <c r="J17" s="98"/>
      <c r="K17" s="96"/>
      <c r="L17" s="97"/>
    </row>
    <row r="18" spans="1:12">
      <c r="A18" s="95">
        <v>191.09999999999962</v>
      </c>
      <c r="B18" s="98">
        <v>190.54947461914153</v>
      </c>
      <c r="C18" s="98">
        <v>174.09006924883454</v>
      </c>
      <c r="D18" s="98">
        <v>174.08867817537021</v>
      </c>
      <c r="E18" s="117">
        <v>63.232972693091803</v>
      </c>
      <c r="F18" s="118">
        <v>5</v>
      </c>
      <c r="G18" s="95"/>
      <c r="H18" s="98"/>
      <c r="I18" s="98"/>
      <c r="J18" s="98"/>
      <c r="K18" s="96"/>
      <c r="L18" s="97"/>
    </row>
    <row r="19" spans="1:12">
      <c r="A19" s="95">
        <v>191.04999999999961</v>
      </c>
      <c r="B19" s="98">
        <v>190.50007501999028</v>
      </c>
      <c r="C19" s="98">
        <v>174.06424993763582</v>
      </c>
      <c r="D19" s="98">
        <v>174.06286218338704</v>
      </c>
      <c r="E19" s="117">
        <v>63.209561123234828</v>
      </c>
      <c r="F19" s="118">
        <v>5</v>
      </c>
      <c r="G19" s="95"/>
      <c r="H19" s="98"/>
      <c r="I19" s="98"/>
      <c r="J19" s="98"/>
      <c r="K19" s="96"/>
      <c r="L19" s="97"/>
    </row>
    <row r="20" spans="1:12">
      <c r="A20" s="95">
        <v>190.9999999999996</v>
      </c>
      <c r="B20" s="98">
        <v>190.45078207500927</v>
      </c>
      <c r="C20" s="98">
        <v>174.0385233962769</v>
      </c>
      <c r="D20" s="98">
        <v>174.03713895870658</v>
      </c>
      <c r="E20" s="117">
        <v>63.1861212359455</v>
      </c>
      <c r="F20" s="118">
        <v>5</v>
      </c>
      <c r="G20" s="95"/>
      <c r="H20" s="98"/>
      <c r="I20" s="98"/>
      <c r="J20" s="98"/>
      <c r="K20" s="96"/>
      <c r="L20" s="97"/>
    </row>
    <row r="21" spans="1:12">
      <c r="A21" s="95">
        <v>190.94999999999959</v>
      </c>
      <c r="B21" s="98">
        <v>190.40159537463089</v>
      </c>
      <c r="C21" s="98">
        <v>174.01288928516075</v>
      </c>
      <c r="D21" s="98">
        <v>174.01150816174243</v>
      </c>
      <c r="E21" s="117">
        <v>63.162653094201751</v>
      </c>
      <c r="F21" s="118">
        <v>5</v>
      </c>
      <c r="G21" s="95"/>
      <c r="H21" s="98"/>
      <c r="I21" s="98"/>
      <c r="J21" s="98"/>
      <c r="K21" s="96"/>
      <c r="L21" s="97"/>
    </row>
    <row r="22" spans="1:12">
      <c r="A22" s="95">
        <v>190.89999999999958</v>
      </c>
      <c r="B22" s="98">
        <v>190.35251451230874</v>
      </c>
      <c r="C22" s="98">
        <v>173.9873472671436</v>
      </c>
      <c r="D22" s="98">
        <v>173.98596945536133</v>
      </c>
      <c r="E22" s="117">
        <v>63.139156760715231</v>
      </c>
      <c r="F22" s="118">
        <v>5</v>
      </c>
      <c r="G22" s="95"/>
      <c r="H22" s="98"/>
      <c r="I22" s="98"/>
      <c r="J22" s="98"/>
      <c r="K22" s="96"/>
      <c r="L22" s="97"/>
    </row>
    <row r="23" spans="1:12">
      <c r="A23" s="95">
        <v>190.84999999999957</v>
      </c>
      <c r="B23" s="98">
        <v>190.3035390844868</v>
      </c>
      <c r="C23" s="98">
        <v>173.96189700750998</v>
      </c>
      <c r="D23" s="98">
        <v>173.96052250485823</v>
      </c>
      <c r="E23" s="117">
        <v>63.115632297933175</v>
      </c>
      <c r="F23" s="118">
        <v>5</v>
      </c>
      <c r="G23" s="95"/>
      <c r="H23" s="98"/>
      <c r="I23" s="98"/>
      <c r="J23" s="98"/>
      <c r="K23" s="96"/>
      <c r="L23" s="97"/>
    </row>
    <row r="24" spans="1:12">
      <c r="A24" s="95">
        <v>190.79999999999956</v>
      </c>
      <c r="B24" s="98">
        <v>190.25466869056928</v>
      </c>
      <c r="C24" s="98">
        <v>173.93653817394812</v>
      </c>
      <c r="D24" s="98">
        <v>173.93516697793171</v>
      </c>
      <c r="E24" s="117">
        <v>63.092079768040115</v>
      </c>
      <c r="F24" s="118">
        <v>5</v>
      </c>
      <c r="G24" s="95"/>
      <c r="H24" s="98"/>
      <c r="I24" s="98"/>
      <c r="J24" s="98"/>
      <c r="K24" s="96"/>
      <c r="L24" s="97"/>
    </row>
    <row r="25" spans="1:12">
      <c r="A25" s="95">
        <v>190.74999999999955</v>
      </c>
      <c r="B25" s="98">
        <v>190.20590293289069</v>
      </c>
      <c r="C25" s="98">
        <v>173.91127043652574</v>
      </c>
      <c r="D25" s="98">
        <v>173.90990254465976</v>
      </c>
      <c r="E25" s="117">
        <v>63.068499232959887</v>
      </c>
      <c r="F25" s="118">
        <v>5</v>
      </c>
      <c r="G25" s="95"/>
      <c r="H25" s="98"/>
      <c r="I25" s="98"/>
      <c r="J25" s="98"/>
      <c r="K25" s="96"/>
      <c r="L25" s="97"/>
    </row>
    <row r="26" spans="1:12">
      <c r="A26" s="95">
        <v>190.69999999999953</v>
      </c>
      <c r="B26" s="98">
        <v>190.15724141668619</v>
      </c>
      <c r="C26" s="98">
        <v>173.88609346766597</v>
      </c>
      <c r="D26" s="98">
        <v>173.88472887747565</v>
      </c>
      <c r="E26" s="117">
        <v>63.04489075435724</v>
      </c>
      <c r="F26" s="118">
        <v>5</v>
      </c>
      <c r="G26" s="95"/>
      <c r="H26" s="98"/>
      <c r="I26" s="98"/>
      <c r="J26" s="98"/>
      <c r="K26" s="96"/>
      <c r="L26" s="97"/>
    </row>
    <row r="27" spans="1:12">
      <c r="A27" s="95">
        <v>190.64999999999952</v>
      </c>
      <c r="B27" s="98">
        <v>190.1086837500626</v>
      </c>
      <c r="C27" s="98">
        <v>173.86100694212385</v>
      </c>
      <c r="D27" s="98">
        <v>173.85964565114455</v>
      </c>
      <c r="E27" s="117">
        <v>63.021254393639737</v>
      </c>
      <c r="F27" s="118">
        <v>5</v>
      </c>
      <c r="G27" s="95"/>
      <c r="H27" s="98"/>
      <c r="I27" s="98"/>
      <c r="J27" s="98"/>
      <c r="K27" s="96"/>
      <c r="L27" s="97"/>
    </row>
    <row r="28" spans="1:12">
      <c r="A28" s="95">
        <v>190.59999999999951</v>
      </c>
      <c r="B28" s="98">
        <v>190.06022954396943</v>
      </c>
      <c r="C28" s="98">
        <v>173.83601053696282</v>
      </c>
      <c r="D28" s="98">
        <v>173.83465254273992</v>
      </c>
      <c r="E28" s="117">
        <v>62.997590211959441</v>
      </c>
      <c r="F28" s="118">
        <v>5</v>
      </c>
      <c r="G28" s="95"/>
      <c r="H28" s="98"/>
      <c r="I28" s="98"/>
      <c r="J28" s="98"/>
      <c r="K28" s="96"/>
      <c r="L28" s="97"/>
    </row>
    <row r="29" spans="1:12">
      <c r="A29" s="95">
        <v>190.5499999999995</v>
      </c>
      <c r="B29" s="98">
        <v>190.01187841217072</v>
      </c>
      <c r="C29" s="98">
        <v>173.81110393153187</v>
      </c>
      <c r="D29" s="98">
        <v>173.80974923162066</v>
      </c>
      <c r="E29" s="117">
        <v>62.973898270214676</v>
      </c>
      <c r="F29" s="118">
        <v>5</v>
      </c>
      <c r="G29" s="95"/>
      <c r="H29" s="98"/>
      <c r="I29" s="98"/>
      <c r="J29" s="98"/>
      <c r="K29" s="96"/>
      <c r="L29" s="97"/>
    </row>
    <row r="30" spans="1:12">
      <c r="A30" s="95">
        <v>190.49999999999949</v>
      </c>
      <c r="B30" s="98">
        <v>189.96362997121679</v>
      </c>
      <c r="C30" s="98">
        <v>173.78628680744259</v>
      </c>
      <c r="D30" s="98">
        <v>173.78493539940825</v>
      </c>
      <c r="E30" s="117">
        <v>62.950178629051784</v>
      </c>
      <c r="F30" s="118">
        <v>5</v>
      </c>
      <c r="G30" s="95"/>
      <c r="H30" s="98"/>
      <c r="I30" s="98"/>
      <c r="J30" s="98"/>
      <c r="K30" s="96"/>
      <c r="L30" s="97"/>
    </row>
    <row r="31" spans="1:12">
      <c r="A31" s="95">
        <v>190.44999999999948</v>
      </c>
      <c r="B31" s="98">
        <v>189.9154838404167</v>
      </c>
      <c r="C31" s="98">
        <v>173.76155884854688</v>
      </c>
      <c r="D31" s="98">
        <v>173.76021072996434</v>
      </c>
      <c r="E31" s="117">
        <v>62.926431348866757</v>
      </c>
      <c r="F31" s="118">
        <v>5</v>
      </c>
      <c r="G31" s="95"/>
      <c r="H31" s="98"/>
      <c r="I31" s="98"/>
      <c r="J31" s="98"/>
      <c r="K31" s="96"/>
      <c r="L31" s="97"/>
    </row>
    <row r="32" spans="1:12">
      <c r="A32" s="95">
        <v>190.39999999999947</v>
      </c>
      <c r="B32" s="98">
        <v>189.86743964181076</v>
      </c>
      <c r="C32" s="98">
        <v>173.73691974091457</v>
      </c>
      <c r="D32" s="98">
        <v>173.73557490936849</v>
      </c>
      <c r="E32" s="117">
        <v>62.902656489806951</v>
      </c>
      <c r="F32" s="118">
        <v>5</v>
      </c>
      <c r="G32" s="95"/>
      <c r="H32" s="98"/>
      <c r="I32" s="98"/>
      <c r="J32" s="98"/>
      <c r="K32" s="96"/>
      <c r="L32" s="97"/>
    </row>
    <row r="33" spans="1:12">
      <c r="A33" s="95">
        <v>190.34999999999945</v>
      </c>
      <c r="B33" s="98">
        <v>189.8194970001436</v>
      </c>
      <c r="C33" s="98">
        <v>173.71236917281166</v>
      </c>
      <c r="D33" s="98">
        <v>173.71102762589635</v>
      </c>
      <c r="E33" s="117">
        <v>62.878854111772853</v>
      </c>
      <c r="F33" s="118">
        <v>5</v>
      </c>
      <c r="G33" s="95"/>
      <c r="H33" s="98"/>
      <c r="I33" s="98"/>
      <c r="J33" s="98"/>
      <c r="K33" s="96"/>
      <c r="L33" s="97"/>
    </row>
    <row r="34" spans="1:12">
      <c r="A34" s="95">
        <v>190.29999999999944</v>
      </c>
      <c r="B34" s="98">
        <v>189.77165554283764</v>
      </c>
      <c r="C34" s="98">
        <v>173.68790683467878</v>
      </c>
      <c r="D34" s="98">
        <v>173.68656856999806</v>
      </c>
      <c r="E34" s="117">
        <v>62.855024274419542</v>
      </c>
      <c r="F34" s="118">
        <v>5</v>
      </c>
      <c r="G34" s="95"/>
      <c r="H34" s="98"/>
      <c r="I34" s="98"/>
      <c r="J34" s="98"/>
      <c r="K34" s="96"/>
      <c r="L34" s="97"/>
    </row>
    <row r="35" spans="1:12">
      <c r="A35" s="95">
        <v>190.24999999999943</v>
      </c>
      <c r="B35" s="98">
        <v>189.72391489996667</v>
      </c>
      <c r="C35" s="98">
        <v>173.6635324191096</v>
      </c>
      <c r="D35" s="98">
        <v>173.66219743427675</v>
      </c>
      <c r="E35" s="117">
        <v>62.831167037158622</v>
      </c>
      <c r="F35" s="118">
        <v>5</v>
      </c>
      <c r="G35" s="95"/>
      <c r="H35" s="98"/>
      <c r="I35" s="98"/>
      <c r="J35" s="98"/>
      <c r="K35" s="96"/>
      <c r="L35" s="97"/>
    </row>
    <row r="36" spans="1:12">
      <c r="A36" s="95">
        <v>190.19999999999942</v>
      </c>
      <c r="B36" s="98">
        <v>189.67627470422974</v>
      </c>
      <c r="C36" s="98">
        <v>173.63924562082991</v>
      </c>
      <c r="D36" s="98">
        <v>173.63791391346768</v>
      </c>
      <c r="E36" s="117">
        <v>62.807282459159488</v>
      </c>
      <c r="F36" s="118">
        <v>5</v>
      </c>
      <c r="G36" s="95"/>
      <c r="H36" s="98"/>
      <c r="I36" s="98"/>
      <c r="J36" s="98"/>
      <c r="K36" s="96"/>
      <c r="L36" s="97"/>
    </row>
    <row r="37" spans="1:12">
      <c r="A37" s="95">
        <v>190.14999999999941</v>
      </c>
      <c r="B37" s="98">
        <v>189.62873459092586</v>
      </c>
      <c r="C37" s="98">
        <v>173.61504613667685</v>
      </c>
      <c r="D37" s="98">
        <v>173.61371770441721</v>
      </c>
      <c r="E37" s="117">
        <v>62.783370599351301</v>
      </c>
      <c r="F37" s="118">
        <v>5</v>
      </c>
      <c r="G37" s="95"/>
      <c r="H37" s="98"/>
      <c r="I37" s="98"/>
      <c r="J37" s="98"/>
      <c r="K37" s="96"/>
      <c r="L37" s="97"/>
    </row>
    <row r="38" spans="1:12">
      <c r="A38" s="95">
        <v>190.0999999999994</v>
      </c>
      <c r="B38" s="98">
        <v>189.5812941979282</v>
      </c>
      <c r="C38" s="98">
        <v>173.59093366557809</v>
      </c>
      <c r="D38" s="98">
        <v>173.5896085060624</v>
      </c>
      <c r="E38" s="117">
        <v>62.759431516424222</v>
      </c>
      <c r="F38" s="118">
        <v>5</v>
      </c>
      <c r="G38" s="95"/>
      <c r="H38" s="98"/>
      <c r="I38" s="98"/>
      <c r="J38" s="98"/>
      <c r="K38" s="96"/>
      <c r="L38" s="97"/>
    </row>
    <row r="39" spans="1:12">
      <c r="A39" s="95">
        <v>190.04999999999939</v>
      </c>
      <c r="B39" s="98">
        <v>189.53395316565948</v>
      </c>
      <c r="C39" s="98">
        <v>173.56690790853185</v>
      </c>
      <c r="D39" s="98">
        <v>173.56558601941055</v>
      </c>
      <c r="E39" s="117">
        <v>62.735465268831376</v>
      </c>
      <c r="F39" s="118">
        <v>5</v>
      </c>
      <c r="G39" s="95"/>
      <c r="H39" s="98"/>
      <c r="I39" s="98"/>
      <c r="J39" s="98"/>
      <c r="K39" s="96"/>
      <c r="L39" s="97"/>
    </row>
    <row r="40" spans="1:12">
      <c r="A40" s="95">
        <v>189.99999999999937</v>
      </c>
      <c r="B40" s="98">
        <v>189.48671113706706</v>
      </c>
      <c r="C40" s="98">
        <v>173.54296856858662</v>
      </c>
      <c r="D40" s="98">
        <v>173.54164994751935</v>
      </c>
      <c r="E40" s="117">
        <v>62.711471914790089</v>
      </c>
      <c r="F40" s="118">
        <v>5</v>
      </c>
      <c r="G40" s="95"/>
      <c r="H40" s="98"/>
      <c r="I40" s="98"/>
      <c r="J40" s="98"/>
      <c r="K40" s="96"/>
      <c r="L40" s="97"/>
    </row>
    <row r="41" spans="1:12">
      <c r="A41" s="95">
        <v>189.94999999999936</v>
      </c>
      <c r="B41" s="98">
        <v>189.43956775759844</v>
      </c>
      <c r="C41" s="98">
        <v>173.51911535082149</v>
      </c>
      <c r="D41" s="98">
        <v>173.51779999547685</v>
      </c>
      <c r="E41" s="117">
        <v>62.68745151228358</v>
      </c>
      <c r="F41" s="118">
        <v>5</v>
      </c>
      <c r="G41" s="95"/>
      <c r="H41" s="98"/>
      <c r="I41" s="98"/>
      <c r="J41" s="98"/>
      <c r="K41" s="96"/>
      <c r="L41" s="97"/>
    </row>
    <row r="42" spans="1:12">
      <c r="A42" s="95">
        <v>189.89999999999935</v>
      </c>
      <c r="B42" s="98">
        <v>189.39252267517742</v>
      </c>
      <c r="C42" s="98">
        <v>173.49534796232646</v>
      </c>
      <c r="D42" s="98">
        <v>173.49403587038208</v>
      </c>
      <c r="E42" s="117">
        <v>62.663404119062562</v>
      </c>
      <c r="F42" s="118">
        <v>5</v>
      </c>
      <c r="G42" s="95"/>
      <c r="H42" s="98"/>
      <c r="I42" s="98"/>
      <c r="J42" s="98"/>
      <c r="K42" s="96"/>
      <c r="L42" s="97"/>
    </row>
    <row r="43" spans="1:12">
      <c r="A43" s="95">
        <v>189.84999999999934</v>
      </c>
      <c r="B43" s="98">
        <v>189.34557554018008</v>
      </c>
      <c r="C43" s="98">
        <v>173.47166611218327</v>
      </c>
      <c r="D43" s="98">
        <v>173.47035728132562</v>
      </c>
      <c r="E43" s="117">
        <v>62.639329792646592</v>
      </c>
      <c r="F43" s="118">
        <v>5</v>
      </c>
      <c r="G43" s="95"/>
      <c r="H43" s="98"/>
      <c r="I43" s="98"/>
      <c r="J43" s="98"/>
      <c r="K43" s="96"/>
      <c r="L43" s="97"/>
    </row>
    <row r="44" spans="1:12">
      <c r="A44" s="95">
        <v>189.79999999999933</v>
      </c>
      <c r="B44" s="98">
        <v>189.29872600541131</v>
      </c>
      <c r="C44" s="98">
        <v>173.44806951144614</v>
      </c>
      <c r="D44" s="98">
        <v>173.44676393937061</v>
      </c>
      <c r="E44" s="117">
        <v>62.615228590325735</v>
      </c>
      <c r="F44" s="118">
        <v>5</v>
      </c>
      <c r="G44" s="95"/>
      <c r="H44" s="98"/>
      <c r="I44" s="98"/>
      <c r="J44" s="98"/>
      <c r="K44" s="96"/>
      <c r="L44" s="97"/>
    </row>
    <row r="45" spans="1:12">
      <c r="A45" s="95">
        <v>189.74999999999932</v>
      </c>
      <c r="B45" s="98">
        <v>189.25197372608164</v>
      </c>
      <c r="C45" s="98">
        <v>173.42455787312306</v>
      </c>
      <c r="D45" s="98">
        <v>173.42325555753379</v>
      </c>
      <c r="E45" s="117">
        <v>62.591100569162002</v>
      </c>
      <c r="F45" s="118">
        <v>5</v>
      </c>
      <c r="G45" s="95"/>
      <c r="H45" s="98"/>
      <c r="I45" s="98"/>
      <c r="J45" s="98"/>
      <c r="K45" s="96"/>
      <c r="L45" s="97"/>
    </row>
    <row r="46" spans="1:12">
      <c r="A46" s="95">
        <v>189.69999999999931</v>
      </c>
      <c r="B46" s="98">
        <v>189.20531835978426</v>
      </c>
      <c r="C46" s="98">
        <v>173.40113091215721</v>
      </c>
      <c r="D46" s="98">
        <v>173.39983185076699</v>
      </c>
      <c r="E46" s="117">
        <v>62.566945785990832</v>
      </c>
      <c r="F46" s="118">
        <v>5</v>
      </c>
      <c r="G46" s="95"/>
      <c r="H46" s="98"/>
      <c r="I46" s="98"/>
      <c r="J46" s="98"/>
      <c r="K46" s="96"/>
      <c r="L46" s="97"/>
    </row>
    <row r="47" spans="1:12">
      <c r="A47" s="95">
        <v>189.6499999999993</v>
      </c>
      <c r="B47" s="98">
        <v>189.15875956647227</v>
      </c>
      <c r="C47" s="98">
        <v>173.37778834540839</v>
      </c>
      <c r="D47" s="98">
        <v>173.37649253593861</v>
      </c>
      <c r="E47" s="117">
        <v>62.542764297422494</v>
      </c>
      <c r="F47" s="118">
        <v>5</v>
      </c>
      <c r="G47" s="95"/>
      <c r="H47" s="98"/>
      <c r="I47" s="98"/>
      <c r="J47" s="98"/>
      <c r="K47" s="96"/>
      <c r="L47" s="97"/>
    </row>
    <row r="48" spans="1:12">
      <c r="A48" s="95">
        <v>189.59999999999928</v>
      </c>
      <c r="B48" s="98">
        <v>189.11229700843654</v>
      </c>
      <c r="C48" s="98">
        <v>173.35452989163494</v>
      </c>
      <c r="D48" s="98">
        <v>173.35323733181565</v>
      </c>
      <c r="E48" s="117">
        <v>62.518556159843648</v>
      </c>
      <c r="F48" s="118">
        <v>5</v>
      </c>
      <c r="G48" s="95"/>
      <c r="H48" s="98"/>
      <c r="I48" s="98"/>
      <c r="J48" s="98"/>
      <c r="K48" s="96"/>
      <c r="L48" s="97"/>
    </row>
    <row r="49" spans="1:12">
      <c r="A49" s="95">
        <v>189.54999999999927</v>
      </c>
      <c r="B49" s="98">
        <v>189.0659303502832</v>
      </c>
      <c r="C49" s="98">
        <v>173.33135527147579</v>
      </c>
      <c r="D49" s="98">
        <v>173.33006595904556</v>
      </c>
      <c r="E49" s="117">
        <v>62.494321429418726</v>
      </c>
      <c r="F49" s="118">
        <v>5</v>
      </c>
      <c r="G49" s="95"/>
      <c r="H49" s="98"/>
      <c r="I49" s="98"/>
      <c r="J49" s="98"/>
      <c r="K49" s="96"/>
      <c r="L49" s="97"/>
    </row>
    <row r="50" spans="1:12">
      <c r="A50" s="95">
        <v>189.49999999999926</v>
      </c>
      <c r="B50" s="98">
        <v>189.01965925891221</v>
      </c>
      <c r="C50" s="98">
        <v>173.30826420743281</v>
      </c>
      <c r="D50" s="98">
        <v>173.30697814013854</v>
      </c>
      <c r="E50" s="117">
        <v>62.470060162091357</v>
      </c>
      <c r="F50" s="118">
        <v>5</v>
      </c>
      <c r="G50" s="95"/>
      <c r="H50" s="98"/>
      <c r="I50" s="98"/>
      <c r="J50" s="98"/>
      <c r="K50" s="96"/>
      <c r="L50" s="97"/>
    </row>
    <row r="51" spans="1:12">
      <c r="A51" s="95">
        <v>189.44999999999925</v>
      </c>
      <c r="B51" s="98">
        <v>188.97348340349544</v>
      </c>
      <c r="C51" s="98">
        <v>173.28525642385316</v>
      </c>
      <c r="D51" s="98">
        <v>173.28397359945018</v>
      </c>
      <c r="E51" s="117">
        <v>62.445772413585786</v>
      </c>
      <c r="F51" s="118">
        <v>5</v>
      </c>
      <c r="G51" s="95"/>
      <c r="H51" s="98"/>
      <c r="I51" s="98"/>
      <c r="J51" s="98"/>
      <c r="K51" s="96"/>
      <c r="L51" s="97"/>
    </row>
    <row r="52" spans="1:12">
      <c r="A52" s="95">
        <v>189.39999999999924</v>
      </c>
      <c r="B52" s="98">
        <v>188.92740245545562</v>
      </c>
      <c r="C52" s="98">
        <v>173.262331646912</v>
      </c>
      <c r="D52" s="98">
        <v>173.26105206316399</v>
      </c>
      <c r="E52" s="117">
        <v>62.421458239408338</v>
      </c>
      <c r="F52" s="118">
        <v>5</v>
      </c>
      <c r="G52" s="95"/>
      <c r="H52" s="98"/>
      <c r="I52" s="98"/>
      <c r="J52" s="98"/>
      <c r="K52" s="96"/>
      <c r="L52" s="97"/>
    </row>
    <row r="53" spans="1:12">
      <c r="A53" s="95">
        <v>189.34999999999923</v>
      </c>
      <c r="B53" s="98">
        <v>188.88141608844495</v>
      </c>
      <c r="C53" s="98">
        <v>173.23948960459549</v>
      </c>
      <c r="D53" s="98">
        <v>173.23821325927432</v>
      </c>
      <c r="E53" s="117">
        <v>62.397117694848689</v>
      </c>
      <c r="F53" s="118">
        <v>5</v>
      </c>
      <c r="G53" s="95"/>
      <c r="H53" s="98"/>
      <c r="I53" s="98"/>
      <c r="J53" s="98"/>
      <c r="K53" s="96"/>
      <c r="L53" s="97"/>
    </row>
    <row r="54" spans="1:12">
      <c r="A54" s="95">
        <v>189.29999999999922</v>
      </c>
      <c r="B54" s="98">
        <v>188.8355239783246</v>
      </c>
      <c r="C54" s="98">
        <v>173.21673002668379</v>
      </c>
      <c r="D54" s="98">
        <v>173.2154569175695</v>
      </c>
      <c r="E54" s="117">
        <v>62.372750834981275</v>
      </c>
      <c r="F54" s="118">
        <v>5</v>
      </c>
      <c r="G54" s="95"/>
      <c r="H54" s="98"/>
      <c r="I54" s="98"/>
      <c r="J54" s="98"/>
      <c r="K54" s="96"/>
      <c r="L54" s="97"/>
    </row>
    <row r="55" spans="1:12">
      <c r="A55" s="95">
        <v>189.2499999999992</v>
      </c>
      <c r="B55" s="98">
        <v>188.78972580314388</v>
      </c>
      <c r="C55" s="98">
        <v>173.19405264473431</v>
      </c>
      <c r="D55" s="98">
        <v>173.19278276961515</v>
      </c>
      <c r="E55" s="117">
        <v>62.348357714666747</v>
      </c>
      <c r="F55" s="118">
        <v>5</v>
      </c>
      <c r="G55" s="95"/>
      <c r="H55" s="98"/>
      <c r="I55" s="98"/>
      <c r="J55" s="98"/>
      <c r="K55" s="96"/>
      <c r="L55" s="97"/>
    </row>
    <row r="56" spans="1:12">
      <c r="A56" s="119">
        <v>189.19999999999919</v>
      </c>
      <c r="B56" s="120">
        <v>188.74402124312013</v>
      </c>
      <c r="C56" s="120">
        <v>173.17145719206547</v>
      </c>
      <c r="D56" s="98">
        <v>173.17019054873768</v>
      </c>
      <c r="E56" s="121">
        <v>62.323938388553195</v>
      </c>
      <c r="F56" s="112">
        <v>5</v>
      </c>
      <c r="G56" s="119"/>
      <c r="H56" s="122"/>
      <c r="I56" s="122"/>
      <c r="J56" s="98"/>
      <c r="K56" s="96"/>
      <c r="L56" s="97"/>
    </row>
    <row r="57" spans="1:12">
      <c r="A57" s="95">
        <v>189.14999999999918</v>
      </c>
      <c r="B57" s="98">
        <v>188.69840998061838</v>
      </c>
      <c r="C57" s="98">
        <v>173.14894340374008</v>
      </c>
      <c r="D57" s="98">
        <v>173.14767999000787</v>
      </c>
      <c r="E57" s="117">
        <v>62.299492911077579</v>
      </c>
      <c r="F57" s="118">
        <v>5</v>
      </c>
      <c r="G57" s="95"/>
      <c r="H57" s="98"/>
      <c r="I57" s="98"/>
      <c r="J57" s="98"/>
      <c r="K57" s="96"/>
      <c r="L57" s="97"/>
    </row>
    <row r="58" spans="1:12">
      <c r="A58" s="95">
        <v>189.09999999999917</v>
      </c>
      <c r="B58" s="98">
        <v>188.65289170013173</v>
      </c>
      <c r="C58" s="98">
        <v>173.12651101654936</v>
      </c>
      <c r="D58" s="98">
        <v>173.12525083022499</v>
      </c>
      <c r="E58" s="117">
        <v>62.275021336466978</v>
      </c>
      <c r="F58" s="118">
        <v>5</v>
      </c>
      <c r="G58" s="95"/>
      <c r="H58" s="98"/>
      <c r="I58" s="98"/>
      <c r="J58" s="98"/>
      <c r="K58" s="96"/>
      <c r="L58" s="97"/>
    </row>
    <row r="59" spans="1:12">
      <c r="A59" s="95">
        <v>189.04999999999916</v>
      </c>
      <c r="B59" s="98">
        <v>188.60746608826173</v>
      </c>
      <c r="C59" s="98">
        <v>173.10415976899716</v>
      </c>
      <c r="D59" s="98">
        <v>173.1029028079007</v>
      </c>
      <c r="E59" s="117">
        <v>62.250523718740027</v>
      </c>
      <c r="F59" s="118">
        <v>5</v>
      </c>
      <c r="G59" s="95"/>
      <c r="H59" s="95"/>
      <c r="I59" s="95"/>
      <c r="J59" s="95"/>
      <c r="K59" s="96"/>
      <c r="L59" s="97"/>
    </row>
    <row r="60" spans="1:12">
      <c r="A60" s="95">
        <v>188.99999999999915</v>
      </c>
      <c r="B60" s="98">
        <v>188.56213283369874</v>
      </c>
      <c r="C60" s="98">
        <v>173.081889401284</v>
      </c>
      <c r="D60" s="98">
        <v>173.08063566324336</v>
      </c>
      <c r="E60" s="117">
        <v>48.619511287031415</v>
      </c>
      <c r="F60" s="118">
        <v>4</v>
      </c>
      <c r="G60" s="95"/>
      <c r="H60" s="95"/>
      <c r="I60" s="95"/>
      <c r="J60" s="95"/>
      <c r="K60" s="96"/>
      <c r="L60" s="97"/>
    </row>
    <row r="61" spans="1:12">
      <c r="A61" s="95"/>
      <c r="B61" s="98"/>
      <c r="C61" s="98"/>
      <c r="D61" s="98"/>
      <c r="E61" s="117"/>
      <c r="F61" s="118"/>
      <c r="G61" s="95"/>
      <c r="H61" s="95"/>
      <c r="I61" s="95"/>
      <c r="J61" s="95"/>
      <c r="K61" s="96"/>
      <c r="L61" s="97"/>
    </row>
    <row r="62" spans="1:12">
      <c r="A62" s="95"/>
      <c r="B62" s="98"/>
      <c r="C62" s="98"/>
      <c r="D62" s="98"/>
      <c r="E62" s="117"/>
      <c r="F62" s="118"/>
      <c r="G62" s="95"/>
      <c r="H62" s="95"/>
      <c r="I62" s="95"/>
      <c r="J62" s="95"/>
      <c r="K62" s="96"/>
      <c r="L62" s="97"/>
    </row>
    <row r="63" spans="1:12">
      <c r="A63" s="95"/>
      <c r="B63" s="98"/>
      <c r="C63" s="98"/>
      <c r="D63" s="98"/>
      <c r="E63" s="117"/>
      <c r="F63" s="118"/>
      <c r="G63" s="95"/>
      <c r="H63" s="95"/>
      <c r="I63" s="95"/>
      <c r="J63" s="95"/>
      <c r="K63" s="96"/>
      <c r="L63" s="97"/>
    </row>
    <row r="64" spans="1:12">
      <c r="A64" s="95"/>
      <c r="B64" s="98"/>
      <c r="C64" s="98"/>
      <c r="D64" s="98"/>
      <c r="E64" s="117"/>
      <c r="F64" s="118"/>
      <c r="G64" s="95"/>
      <c r="H64" s="95"/>
      <c r="I64" s="95"/>
      <c r="J64" s="95"/>
      <c r="K64" s="96"/>
      <c r="L64" s="97"/>
    </row>
    <row r="65" spans="1:12">
      <c r="A65" s="95"/>
      <c r="B65" s="98"/>
      <c r="C65" s="98"/>
      <c r="D65" s="98"/>
      <c r="E65" s="117"/>
      <c r="F65" s="118"/>
      <c r="G65" s="95"/>
      <c r="H65" s="95"/>
      <c r="I65" s="95"/>
      <c r="J65" s="95"/>
      <c r="K65" s="96"/>
      <c r="L65" s="97"/>
    </row>
    <row r="66" spans="1:12">
      <c r="A66" s="95"/>
      <c r="B66" s="98"/>
      <c r="C66" s="98"/>
      <c r="D66" s="98"/>
      <c r="E66" s="117"/>
      <c r="F66" s="118"/>
      <c r="G66" s="95"/>
      <c r="H66" s="95"/>
      <c r="I66" s="95"/>
      <c r="J66" s="95"/>
      <c r="K66" s="96"/>
      <c r="L66" s="97"/>
    </row>
    <row r="67" spans="1:12">
      <c r="A67" s="95"/>
      <c r="B67" s="98"/>
      <c r="C67" s="98"/>
      <c r="D67" s="98"/>
      <c r="E67" s="117"/>
      <c r="F67" s="118"/>
      <c r="G67" s="95"/>
      <c r="H67" s="95"/>
      <c r="I67" s="95"/>
      <c r="J67" s="95"/>
      <c r="K67" s="96"/>
      <c r="L67" s="97"/>
    </row>
    <row r="68" spans="1:12">
      <c r="A68" s="95"/>
      <c r="B68" s="98"/>
      <c r="C68" s="98"/>
      <c r="D68" s="98"/>
      <c r="E68" s="117"/>
      <c r="F68" s="118"/>
      <c r="G68" s="95"/>
      <c r="H68" s="95"/>
      <c r="I68" s="95"/>
      <c r="J68" s="95"/>
      <c r="K68" s="96"/>
      <c r="L68" s="97"/>
    </row>
    <row r="69" spans="1:12">
      <c r="A69" s="95"/>
      <c r="B69" s="98"/>
      <c r="C69" s="98"/>
      <c r="D69" s="98"/>
      <c r="E69" s="117"/>
      <c r="F69" s="118"/>
      <c r="G69" s="95"/>
      <c r="H69" s="95"/>
      <c r="I69" s="95"/>
      <c r="J69" s="95"/>
      <c r="K69" s="96"/>
      <c r="L69" s="97"/>
    </row>
    <row r="70" spans="1:12">
      <c r="A70" s="95"/>
      <c r="B70" s="98"/>
      <c r="C70" s="98"/>
      <c r="D70" s="98"/>
      <c r="E70" s="117"/>
      <c r="F70" s="118"/>
      <c r="G70" s="95"/>
      <c r="H70" s="95"/>
      <c r="I70" s="95"/>
      <c r="J70" s="95"/>
      <c r="K70" s="96"/>
      <c r="L70" s="97"/>
    </row>
    <row r="71" spans="1:12">
      <c r="A71" s="95"/>
      <c r="B71" s="98"/>
      <c r="C71" s="98"/>
      <c r="D71" s="98"/>
      <c r="E71" s="117"/>
      <c r="F71" s="118"/>
      <c r="G71" s="95"/>
      <c r="H71" s="95"/>
      <c r="I71" s="95"/>
      <c r="J71" s="95"/>
      <c r="K71" s="96"/>
      <c r="L71" s="97"/>
    </row>
    <row r="72" spans="1:12">
      <c r="A72" s="95"/>
      <c r="B72" s="98"/>
      <c r="C72" s="98"/>
      <c r="D72" s="98"/>
      <c r="E72" s="117"/>
      <c r="F72" s="118"/>
      <c r="G72" s="95"/>
      <c r="H72" s="95"/>
      <c r="I72" s="95"/>
      <c r="J72" s="95"/>
      <c r="K72" s="96"/>
      <c r="L72" s="97"/>
    </row>
    <row r="73" spans="1:12">
      <c r="A73" s="95"/>
      <c r="B73" s="98"/>
      <c r="C73" s="98"/>
      <c r="D73" s="98"/>
      <c r="E73" s="117"/>
      <c r="F73" s="118"/>
      <c r="G73" s="95"/>
      <c r="H73" s="95"/>
      <c r="I73" s="95"/>
      <c r="J73" s="95"/>
      <c r="K73" s="96"/>
      <c r="L73" s="97"/>
    </row>
    <row r="74" spans="1:12">
      <c r="A74" s="95"/>
      <c r="B74" s="98"/>
      <c r="C74" s="98"/>
      <c r="D74" s="98"/>
      <c r="E74" s="117"/>
      <c r="F74" s="118"/>
      <c r="G74" s="95"/>
      <c r="H74" s="95"/>
      <c r="I74" s="95"/>
      <c r="J74" s="95"/>
      <c r="K74" s="96"/>
      <c r="L74" s="97"/>
    </row>
    <row r="75" spans="1:12">
      <c r="A75" s="95"/>
      <c r="B75" s="98"/>
      <c r="C75" s="98"/>
      <c r="D75" s="98"/>
      <c r="E75" s="117"/>
      <c r="F75" s="118"/>
      <c r="G75" s="95"/>
      <c r="H75" s="95"/>
      <c r="I75" s="95"/>
      <c r="J75" s="95"/>
      <c r="K75" s="96"/>
      <c r="L75" s="97"/>
    </row>
    <row r="76" spans="1:12">
      <c r="A76" s="95"/>
      <c r="B76" s="98"/>
      <c r="C76" s="98"/>
      <c r="D76" s="98"/>
      <c r="E76" s="117"/>
      <c r="F76" s="118"/>
      <c r="G76" s="95"/>
      <c r="H76" s="95"/>
      <c r="I76" s="95"/>
      <c r="J76" s="95"/>
      <c r="K76" s="96"/>
      <c r="L76" s="97"/>
    </row>
    <row r="77" spans="1:12">
      <c r="A77" s="95"/>
      <c r="B77" s="98"/>
      <c r="C77" s="98"/>
      <c r="D77" s="98"/>
      <c r="E77" s="117"/>
      <c r="F77" s="118"/>
      <c r="G77" s="95"/>
      <c r="H77" s="95"/>
      <c r="I77" s="95"/>
      <c r="J77" s="95"/>
      <c r="K77" s="96"/>
      <c r="L77" s="97"/>
    </row>
    <row r="78" spans="1:12">
      <c r="A78" s="95"/>
      <c r="B78" s="98"/>
      <c r="C78" s="98"/>
      <c r="D78" s="98"/>
      <c r="E78" s="117"/>
      <c r="F78" s="118"/>
      <c r="G78" s="95"/>
      <c r="H78" s="95"/>
      <c r="I78" s="95"/>
      <c r="J78" s="95"/>
      <c r="K78" s="96"/>
      <c r="L78" s="97"/>
    </row>
    <row r="79" spans="1:12">
      <c r="A79" s="95"/>
      <c r="B79" s="98"/>
      <c r="C79" s="98"/>
      <c r="D79" s="98"/>
      <c r="E79" s="117"/>
      <c r="F79" s="118"/>
      <c r="G79" s="95"/>
      <c r="H79" s="95"/>
      <c r="I79" s="95"/>
      <c r="J79" s="95"/>
      <c r="K79" s="96"/>
      <c r="L79" s="97"/>
    </row>
    <row r="80" spans="1:12">
      <c r="A80" s="95"/>
      <c r="B80" s="98"/>
      <c r="C80" s="98"/>
      <c r="D80" s="98"/>
      <c r="E80" s="117"/>
      <c r="F80" s="118"/>
      <c r="G80" s="95"/>
      <c r="H80" s="95"/>
      <c r="I80" s="95"/>
      <c r="J80" s="95"/>
      <c r="K80" s="96"/>
      <c r="L80" s="97"/>
    </row>
    <row r="81" spans="1:12">
      <c r="A81" s="95"/>
      <c r="B81" s="98"/>
      <c r="C81" s="98"/>
      <c r="D81" s="98"/>
      <c r="E81" s="117"/>
      <c r="F81" s="118"/>
      <c r="G81" s="95"/>
      <c r="H81" s="95"/>
      <c r="I81" s="95"/>
      <c r="J81" s="95"/>
      <c r="K81" s="96"/>
      <c r="L81" s="97"/>
    </row>
    <row r="82" spans="1:12">
      <c r="A82" s="95"/>
      <c r="B82" s="98"/>
      <c r="C82" s="98"/>
      <c r="D82" s="98"/>
      <c r="E82" s="117"/>
      <c r="F82" s="118"/>
      <c r="G82" s="95"/>
      <c r="H82" s="95"/>
      <c r="I82" s="95"/>
      <c r="J82" s="95"/>
      <c r="K82" s="96"/>
      <c r="L82" s="97"/>
    </row>
    <row r="83" spans="1:12">
      <c r="A83" s="95"/>
      <c r="B83" s="98"/>
      <c r="C83" s="98"/>
      <c r="D83" s="98"/>
      <c r="E83" s="117"/>
      <c r="F83" s="118"/>
      <c r="G83" s="95"/>
      <c r="H83" s="95"/>
      <c r="I83" s="95"/>
      <c r="J83" s="95"/>
      <c r="K83" s="96"/>
      <c r="L83" s="97"/>
    </row>
    <row r="84" spans="1:12">
      <c r="A84" s="95"/>
      <c r="B84" s="98"/>
      <c r="C84" s="98"/>
      <c r="D84" s="98"/>
      <c r="E84" s="117"/>
      <c r="F84" s="118"/>
      <c r="G84" s="95"/>
      <c r="H84" s="95"/>
      <c r="I84" s="95"/>
      <c r="J84" s="95"/>
      <c r="K84" s="96"/>
      <c r="L84" s="97"/>
    </row>
    <row r="85" spans="1:12">
      <c r="A85" s="95"/>
      <c r="B85" s="98"/>
      <c r="C85" s="98"/>
      <c r="D85" s="98"/>
      <c r="E85" s="117"/>
      <c r="F85" s="118"/>
      <c r="G85" s="95"/>
      <c r="H85" s="95"/>
      <c r="I85" s="95"/>
      <c r="J85" s="95"/>
      <c r="K85" s="96"/>
      <c r="L85" s="97"/>
    </row>
    <row r="86" spans="1:12">
      <c r="A86" s="95"/>
      <c r="B86" s="98"/>
      <c r="C86" s="98"/>
      <c r="D86" s="98"/>
      <c r="E86" s="117"/>
      <c r="F86" s="118"/>
      <c r="G86" s="95"/>
      <c r="H86" s="95"/>
      <c r="I86" s="95"/>
      <c r="J86" s="95"/>
      <c r="K86" s="96"/>
      <c r="L86" s="97"/>
    </row>
    <row r="87" spans="1:12">
      <c r="A87" s="95"/>
      <c r="B87" s="98"/>
      <c r="C87" s="98"/>
      <c r="D87" s="98"/>
      <c r="E87" s="117"/>
      <c r="F87" s="118"/>
      <c r="G87" s="95"/>
      <c r="H87" s="95"/>
      <c r="I87" s="95"/>
      <c r="J87" s="95"/>
      <c r="K87" s="96"/>
      <c r="L87" s="97"/>
    </row>
    <row r="88" spans="1:12">
      <c r="A88" s="95"/>
      <c r="B88" s="98"/>
      <c r="C88" s="98"/>
      <c r="D88" s="98"/>
      <c r="E88" s="117"/>
      <c r="F88" s="118"/>
      <c r="G88" s="95"/>
      <c r="H88" s="95"/>
      <c r="I88" s="95"/>
      <c r="J88" s="95"/>
      <c r="K88" s="96"/>
      <c r="L88" s="97"/>
    </row>
    <row r="89" spans="1:12">
      <c r="A89" s="95"/>
      <c r="B89" s="98"/>
      <c r="C89" s="98"/>
      <c r="D89" s="98"/>
      <c r="E89" s="117"/>
      <c r="F89" s="118"/>
      <c r="G89" s="95"/>
      <c r="H89" s="95"/>
      <c r="I89" s="95"/>
      <c r="J89" s="95"/>
      <c r="K89" s="96"/>
      <c r="L89" s="97"/>
    </row>
    <row r="90" spans="1:12">
      <c r="A90" s="95"/>
      <c r="B90" s="98"/>
      <c r="C90" s="98"/>
      <c r="D90" s="98"/>
      <c r="E90" s="117"/>
      <c r="F90" s="118"/>
      <c r="G90" s="95"/>
      <c r="H90" s="95"/>
      <c r="I90" s="95"/>
      <c r="J90" s="95"/>
      <c r="K90" s="96"/>
      <c r="L90" s="97"/>
    </row>
    <row r="91" spans="1:12">
      <c r="A91" s="95"/>
      <c r="B91" s="98"/>
      <c r="C91" s="98"/>
      <c r="D91" s="98"/>
      <c r="E91" s="117"/>
      <c r="F91" s="118"/>
      <c r="G91" s="95"/>
      <c r="H91" s="95"/>
      <c r="I91" s="95"/>
      <c r="J91" s="95"/>
      <c r="K91" s="96"/>
      <c r="L91" s="97"/>
    </row>
    <row r="92" spans="1:12">
      <c r="A92" s="95"/>
      <c r="B92" s="98"/>
      <c r="C92" s="98"/>
      <c r="D92" s="98"/>
      <c r="E92" s="117"/>
      <c r="F92" s="118"/>
      <c r="G92" s="95"/>
      <c r="H92" s="95"/>
      <c r="I92" s="95"/>
      <c r="J92" s="95"/>
      <c r="K92" s="96"/>
      <c r="L92" s="97"/>
    </row>
    <row r="93" spans="1:12">
      <c r="A93" s="95"/>
      <c r="B93" s="98"/>
      <c r="C93" s="98"/>
      <c r="D93" s="98"/>
      <c r="E93" s="117"/>
      <c r="F93" s="118"/>
      <c r="G93" s="95"/>
      <c r="H93" s="95"/>
      <c r="I93" s="95"/>
      <c r="J93" s="95"/>
      <c r="K93" s="96"/>
      <c r="L93" s="97"/>
    </row>
    <row r="94" spans="1:12">
      <c r="A94" s="95"/>
      <c r="B94" s="98"/>
      <c r="C94" s="98"/>
      <c r="D94" s="98"/>
      <c r="E94" s="117"/>
      <c r="F94" s="118"/>
      <c r="G94" s="95"/>
      <c r="H94" s="95"/>
      <c r="I94" s="95"/>
      <c r="J94" s="95"/>
      <c r="K94" s="96"/>
      <c r="L94" s="97"/>
    </row>
    <row r="95" spans="1:12">
      <c r="A95" s="95"/>
      <c r="B95" s="98"/>
      <c r="C95" s="98"/>
      <c r="D95" s="98"/>
      <c r="E95" s="117"/>
      <c r="F95" s="118"/>
      <c r="G95" s="95"/>
      <c r="H95" s="95"/>
      <c r="I95" s="95"/>
      <c r="J95" s="95"/>
      <c r="K95" s="96"/>
      <c r="L95" s="97"/>
    </row>
    <row r="96" spans="1:12">
      <c r="A96" s="95"/>
      <c r="B96" s="98"/>
      <c r="C96" s="98"/>
      <c r="D96" s="98"/>
      <c r="E96" s="117"/>
      <c r="F96" s="118"/>
      <c r="G96" s="95"/>
      <c r="H96" s="95"/>
      <c r="I96" s="95"/>
      <c r="J96" s="95"/>
      <c r="K96" s="96"/>
      <c r="L96" s="97"/>
    </row>
    <row r="97" spans="1:12">
      <c r="A97" s="95"/>
      <c r="B97" s="98"/>
      <c r="C97" s="98"/>
      <c r="D97" s="98"/>
      <c r="E97" s="117"/>
      <c r="F97" s="118"/>
      <c r="G97" s="95"/>
      <c r="H97" s="95"/>
      <c r="I97" s="95"/>
      <c r="J97" s="95"/>
      <c r="K97" s="96"/>
      <c r="L97" s="97"/>
    </row>
    <row r="98" spans="1:12">
      <c r="A98" s="95"/>
      <c r="B98" s="98"/>
      <c r="C98" s="98"/>
      <c r="D98" s="98"/>
      <c r="E98" s="117"/>
      <c r="F98" s="118"/>
      <c r="G98" s="95"/>
      <c r="H98" s="95"/>
      <c r="I98" s="95"/>
      <c r="J98" s="95"/>
      <c r="K98" s="96"/>
      <c r="L98" s="97"/>
    </row>
    <row r="99" spans="1:12">
      <c r="A99" s="95"/>
      <c r="B99" s="98"/>
      <c r="C99" s="98"/>
      <c r="D99" s="98"/>
      <c r="E99" s="117"/>
      <c r="F99" s="118"/>
      <c r="G99" s="95"/>
      <c r="H99" s="95"/>
      <c r="I99" s="95"/>
      <c r="J99" s="95"/>
      <c r="K99" s="96"/>
      <c r="L99" s="97"/>
    </row>
    <row r="100" spans="1:12">
      <c r="A100" s="95"/>
      <c r="B100" s="98"/>
      <c r="C100" s="98"/>
      <c r="D100" s="98"/>
      <c r="E100" s="117"/>
      <c r="F100" s="118"/>
      <c r="G100" s="95"/>
      <c r="H100" s="95"/>
      <c r="I100" s="95"/>
      <c r="J100" s="95"/>
      <c r="K100" s="96"/>
      <c r="L100" s="97"/>
    </row>
    <row r="101" spans="1:12">
      <c r="A101" s="95"/>
      <c r="B101" s="98"/>
      <c r="C101" s="98"/>
      <c r="D101" s="98"/>
      <c r="E101" s="117"/>
      <c r="F101" s="118"/>
      <c r="G101" s="95"/>
      <c r="H101" s="95"/>
      <c r="I101" s="95"/>
      <c r="J101" s="95"/>
      <c r="K101" s="96"/>
      <c r="L101" s="97"/>
    </row>
    <row r="102" spans="1:12">
      <c r="A102" s="95"/>
      <c r="B102" s="98"/>
      <c r="C102" s="98"/>
      <c r="D102" s="98"/>
      <c r="E102" s="117"/>
      <c r="F102" s="118"/>
      <c r="G102" s="95"/>
      <c r="H102" s="95"/>
      <c r="I102" s="95"/>
      <c r="J102" s="95"/>
      <c r="K102" s="96"/>
      <c r="L102" s="97"/>
    </row>
    <row r="103" spans="1:12">
      <c r="A103" s="95"/>
      <c r="B103" s="98"/>
      <c r="C103" s="98"/>
      <c r="D103" s="98"/>
      <c r="E103" s="117"/>
      <c r="F103" s="118"/>
      <c r="G103" s="95"/>
      <c r="H103" s="95"/>
      <c r="I103" s="95"/>
      <c r="J103" s="95"/>
      <c r="K103" s="96"/>
      <c r="L103" s="97"/>
    </row>
    <row r="104" spans="1:12">
      <c r="A104" s="95"/>
      <c r="B104" s="98"/>
      <c r="C104" s="98"/>
      <c r="D104" s="98"/>
      <c r="E104" s="117"/>
      <c r="F104" s="118"/>
      <c r="G104" s="95"/>
      <c r="H104" s="95"/>
      <c r="I104" s="95"/>
      <c r="J104" s="95"/>
      <c r="K104" s="96"/>
      <c r="L104" s="97"/>
    </row>
    <row r="105" spans="1:12">
      <c r="A105" s="95"/>
      <c r="B105" s="98"/>
      <c r="C105" s="98"/>
      <c r="D105" s="98"/>
      <c r="E105" s="117"/>
      <c r="F105" s="118"/>
      <c r="G105" s="95"/>
      <c r="H105" s="95"/>
      <c r="I105" s="95"/>
      <c r="J105" s="95"/>
      <c r="K105" s="96"/>
      <c r="L105" s="97"/>
    </row>
    <row r="106" spans="1:12">
      <c r="A106" s="95"/>
      <c r="B106" s="98"/>
      <c r="C106" s="98"/>
      <c r="D106" s="98"/>
      <c r="E106" s="117"/>
      <c r="F106" s="118"/>
      <c r="G106" s="95"/>
      <c r="H106" s="95"/>
      <c r="I106" s="95"/>
      <c r="J106" s="95"/>
      <c r="K106" s="96"/>
      <c r="L106" s="97"/>
    </row>
    <row r="107" spans="1:12">
      <c r="A107" s="95"/>
      <c r="B107" s="98"/>
      <c r="C107" s="98"/>
      <c r="D107" s="98"/>
      <c r="E107" s="117"/>
      <c r="F107" s="118"/>
      <c r="G107" s="95"/>
      <c r="H107" s="95"/>
      <c r="I107" s="95"/>
      <c r="J107" s="95"/>
      <c r="K107" s="96"/>
      <c r="L107" s="97"/>
    </row>
    <row r="108" spans="1:12">
      <c r="A108" s="95"/>
      <c r="B108" s="98"/>
      <c r="C108" s="98"/>
      <c r="D108" s="98"/>
      <c r="E108" s="117"/>
      <c r="F108" s="118"/>
      <c r="G108" s="95"/>
      <c r="H108" s="95"/>
      <c r="I108" s="95"/>
      <c r="J108" s="95"/>
      <c r="K108" s="96"/>
      <c r="L108" s="97"/>
    </row>
    <row r="109" spans="1:12">
      <c r="A109" s="95"/>
      <c r="B109" s="98"/>
      <c r="C109" s="98"/>
      <c r="D109" s="98"/>
      <c r="E109" s="117"/>
      <c r="F109" s="118"/>
      <c r="G109" s="95"/>
      <c r="H109" s="95"/>
      <c r="I109" s="95"/>
      <c r="J109" s="95"/>
      <c r="K109" s="96"/>
      <c r="L109" s="97"/>
    </row>
    <row r="110" spans="1:12">
      <c r="A110" s="95"/>
      <c r="B110" s="98"/>
      <c r="C110" s="98"/>
      <c r="D110" s="98"/>
      <c r="E110" s="117"/>
      <c r="F110" s="118"/>
      <c r="G110" s="95"/>
      <c r="H110" s="95"/>
      <c r="I110" s="95"/>
      <c r="J110" s="95"/>
      <c r="K110" s="96"/>
      <c r="L110" s="97"/>
    </row>
    <row r="111" spans="1:12">
      <c r="A111" s="95"/>
      <c r="B111" s="98"/>
      <c r="C111" s="98"/>
      <c r="D111" s="98"/>
      <c r="E111" s="117"/>
      <c r="F111" s="118"/>
      <c r="G111" s="95"/>
      <c r="H111" s="95"/>
      <c r="I111" s="95"/>
      <c r="J111" s="95"/>
      <c r="K111" s="96"/>
      <c r="L111" s="97"/>
    </row>
  </sheetData>
  <mergeCells count="1">
    <mergeCell ref="A2:L2"/>
  </mergeCells>
  <pageMargins left="0.7" right="0.7" top="0.75" bottom="0.75" header="0.3" footer="0.3"/>
  <pageSetup paperSize="9" scale="8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4">
    <pageSetUpPr fitToPage="1"/>
  </sheetPr>
  <dimension ref="B1:V59"/>
  <sheetViews>
    <sheetView workbookViewId="0">
      <selection activeCell="O22" sqref="O22"/>
    </sheetView>
  </sheetViews>
  <sheetFormatPr defaultRowHeight="12.75"/>
  <cols>
    <col min="1" max="1" width="0.85546875" style="88" customWidth="1"/>
    <col min="2" max="2" width="9.7109375" style="88" customWidth="1"/>
    <col min="3" max="3" width="11.7109375" style="88" customWidth="1"/>
    <col min="4" max="4" width="0.28515625" style="88" customWidth="1"/>
    <col min="5" max="5" width="11.28515625" style="88" customWidth="1"/>
    <col min="6" max="6" width="0.28515625" style="88" customWidth="1"/>
    <col min="7" max="7" width="11.28515625" style="88" customWidth="1"/>
    <col min="8" max="8" width="0.28515625" style="88" customWidth="1"/>
    <col min="9" max="11" width="8.85546875" style="88"/>
    <col min="12" max="12" width="7.140625" style="88" customWidth="1"/>
    <col min="13" max="13" width="12.140625" style="88" customWidth="1"/>
    <col min="14" max="14" width="2.140625" style="88" customWidth="1"/>
    <col min="15" max="256" width="8.85546875" style="88"/>
    <col min="257" max="257" width="0.85546875" style="88" customWidth="1"/>
    <col min="258" max="258" width="9.7109375" style="88" customWidth="1"/>
    <col min="259" max="259" width="11.7109375" style="88" customWidth="1"/>
    <col min="260" max="260" width="0.28515625" style="88" customWidth="1"/>
    <col min="261" max="261" width="11.28515625" style="88" customWidth="1"/>
    <col min="262" max="262" width="0.28515625" style="88" customWidth="1"/>
    <col min="263" max="263" width="11.28515625" style="88" customWidth="1"/>
    <col min="264" max="264" width="0.28515625" style="88" customWidth="1"/>
    <col min="265" max="267" width="8.85546875" style="88"/>
    <col min="268" max="268" width="7.140625" style="88" customWidth="1"/>
    <col min="269" max="269" width="12.140625" style="88" customWidth="1"/>
    <col min="270" max="270" width="2.140625" style="88" customWidth="1"/>
    <col min="271" max="512" width="8.85546875" style="88"/>
    <col min="513" max="513" width="0.85546875" style="88" customWidth="1"/>
    <col min="514" max="514" width="9.7109375" style="88" customWidth="1"/>
    <col min="515" max="515" width="11.7109375" style="88" customWidth="1"/>
    <col min="516" max="516" width="0.28515625" style="88" customWidth="1"/>
    <col min="517" max="517" width="11.28515625" style="88" customWidth="1"/>
    <col min="518" max="518" width="0.28515625" style="88" customWidth="1"/>
    <col min="519" max="519" width="11.28515625" style="88" customWidth="1"/>
    <col min="520" max="520" width="0.28515625" style="88" customWidth="1"/>
    <col min="521" max="523" width="8.85546875" style="88"/>
    <col min="524" max="524" width="7.140625" style="88" customWidth="1"/>
    <col min="525" max="525" width="12.140625" style="88" customWidth="1"/>
    <col min="526" max="526" width="2.140625" style="88" customWidth="1"/>
    <col min="527" max="768" width="8.85546875" style="88"/>
    <col min="769" max="769" width="0.85546875" style="88" customWidth="1"/>
    <col min="770" max="770" width="9.7109375" style="88" customWidth="1"/>
    <col min="771" max="771" width="11.7109375" style="88" customWidth="1"/>
    <col min="772" max="772" width="0.28515625" style="88" customWidth="1"/>
    <col min="773" max="773" width="11.28515625" style="88" customWidth="1"/>
    <col min="774" max="774" width="0.28515625" style="88" customWidth="1"/>
    <col min="775" max="775" width="11.28515625" style="88" customWidth="1"/>
    <col min="776" max="776" width="0.28515625" style="88" customWidth="1"/>
    <col min="777" max="779" width="8.85546875" style="88"/>
    <col min="780" max="780" width="7.140625" style="88" customWidth="1"/>
    <col min="781" max="781" width="12.140625" style="88" customWidth="1"/>
    <col min="782" max="782" width="2.140625" style="88" customWidth="1"/>
    <col min="783" max="1024" width="8.85546875" style="88"/>
    <col min="1025" max="1025" width="0.85546875" style="88" customWidth="1"/>
    <col min="1026" max="1026" width="9.7109375" style="88" customWidth="1"/>
    <col min="1027" max="1027" width="11.7109375" style="88" customWidth="1"/>
    <col min="1028" max="1028" width="0.28515625" style="88" customWidth="1"/>
    <col min="1029" max="1029" width="11.28515625" style="88" customWidth="1"/>
    <col min="1030" max="1030" width="0.28515625" style="88" customWidth="1"/>
    <col min="1031" max="1031" width="11.28515625" style="88" customWidth="1"/>
    <col min="1032" max="1032" width="0.28515625" style="88" customWidth="1"/>
    <col min="1033" max="1035" width="8.85546875" style="88"/>
    <col min="1036" max="1036" width="7.140625" style="88" customWidth="1"/>
    <col min="1037" max="1037" width="12.140625" style="88" customWidth="1"/>
    <col min="1038" max="1038" width="2.140625" style="88" customWidth="1"/>
    <col min="1039" max="1280" width="8.85546875" style="88"/>
    <col min="1281" max="1281" width="0.85546875" style="88" customWidth="1"/>
    <col min="1282" max="1282" width="9.7109375" style="88" customWidth="1"/>
    <col min="1283" max="1283" width="11.7109375" style="88" customWidth="1"/>
    <col min="1284" max="1284" width="0.28515625" style="88" customWidth="1"/>
    <col min="1285" max="1285" width="11.28515625" style="88" customWidth="1"/>
    <col min="1286" max="1286" width="0.28515625" style="88" customWidth="1"/>
    <col min="1287" max="1287" width="11.28515625" style="88" customWidth="1"/>
    <col min="1288" max="1288" width="0.28515625" style="88" customWidth="1"/>
    <col min="1289" max="1291" width="8.85546875" style="88"/>
    <col min="1292" max="1292" width="7.140625" style="88" customWidth="1"/>
    <col min="1293" max="1293" width="12.140625" style="88" customWidth="1"/>
    <col min="1294" max="1294" width="2.140625" style="88" customWidth="1"/>
    <col min="1295" max="1536" width="8.85546875" style="88"/>
    <col min="1537" max="1537" width="0.85546875" style="88" customWidth="1"/>
    <col min="1538" max="1538" width="9.7109375" style="88" customWidth="1"/>
    <col min="1539" max="1539" width="11.7109375" style="88" customWidth="1"/>
    <col min="1540" max="1540" width="0.28515625" style="88" customWidth="1"/>
    <col min="1541" max="1541" width="11.28515625" style="88" customWidth="1"/>
    <col min="1542" max="1542" width="0.28515625" style="88" customWidth="1"/>
    <col min="1543" max="1543" width="11.28515625" style="88" customWidth="1"/>
    <col min="1544" max="1544" width="0.28515625" style="88" customWidth="1"/>
    <col min="1545" max="1547" width="8.85546875" style="88"/>
    <col min="1548" max="1548" width="7.140625" style="88" customWidth="1"/>
    <col min="1549" max="1549" width="12.140625" style="88" customWidth="1"/>
    <col min="1550" max="1550" width="2.140625" style="88" customWidth="1"/>
    <col min="1551" max="1792" width="8.85546875" style="88"/>
    <col min="1793" max="1793" width="0.85546875" style="88" customWidth="1"/>
    <col min="1794" max="1794" width="9.7109375" style="88" customWidth="1"/>
    <col min="1795" max="1795" width="11.7109375" style="88" customWidth="1"/>
    <col min="1796" max="1796" width="0.28515625" style="88" customWidth="1"/>
    <col min="1797" max="1797" width="11.28515625" style="88" customWidth="1"/>
    <col min="1798" max="1798" width="0.28515625" style="88" customWidth="1"/>
    <col min="1799" max="1799" width="11.28515625" style="88" customWidth="1"/>
    <col min="1800" max="1800" width="0.28515625" style="88" customWidth="1"/>
    <col min="1801" max="1803" width="8.85546875" style="88"/>
    <col min="1804" max="1804" width="7.140625" style="88" customWidth="1"/>
    <col min="1805" max="1805" width="12.140625" style="88" customWidth="1"/>
    <col min="1806" max="1806" width="2.140625" style="88" customWidth="1"/>
    <col min="1807" max="2048" width="8.85546875" style="88"/>
    <col min="2049" max="2049" width="0.85546875" style="88" customWidth="1"/>
    <col min="2050" max="2050" width="9.7109375" style="88" customWidth="1"/>
    <col min="2051" max="2051" width="11.7109375" style="88" customWidth="1"/>
    <col min="2052" max="2052" width="0.28515625" style="88" customWidth="1"/>
    <col min="2053" max="2053" width="11.28515625" style="88" customWidth="1"/>
    <col min="2054" max="2054" width="0.28515625" style="88" customWidth="1"/>
    <col min="2055" max="2055" width="11.28515625" style="88" customWidth="1"/>
    <col min="2056" max="2056" width="0.28515625" style="88" customWidth="1"/>
    <col min="2057" max="2059" width="8.85546875" style="88"/>
    <col min="2060" max="2060" width="7.140625" style="88" customWidth="1"/>
    <col min="2061" max="2061" width="12.140625" style="88" customWidth="1"/>
    <col min="2062" max="2062" width="2.140625" style="88" customWidth="1"/>
    <col min="2063" max="2304" width="8.85546875" style="88"/>
    <col min="2305" max="2305" width="0.85546875" style="88" customWidth="1"/>
    <col min="2306" max="2306" width="9.7109375" style="88" customWidth="1"/>
    <col min="2307" max="2307" width="11.7109375" style="88" customWidth="1"/>
    <col min="2308" max="2308" width="0.28515625" style="88" customWidth="1"/>
    <col min="2309" max="2309" width="11.28515625" style="88" customWidth="1"/>
    <col min="2310" max="2310" width="0.28515625" style="88" customWidth="1"/>
    <col min="2311" max="2311" width="11.28515625" style="88" customWidth="1"/>
    <col min="2312" max="2312" width="0.28515625" style="88" customWidth="1"/>
    <col min="2313" max="2315" width="8.85546875" style="88"/>
    <col min="2316" max="2316" width="7.140625" style="88" customWidth="1"/>
    <col min="2317" max="2317" width="12.140625" style="88" customWidth="1"/>
    <col min="2318" max="2318" width="2.140625" style="88" customWidth="1"/>
    <col min="2319" max="2560" width="8.85546875" style="88"/>
    <col min="2561" max="2561" width="0.85546875" style="88" customWidth="1"/>
    <col min="2562" max="2562" width="9.7109375" style="88" customWidth="1"/>
    <col min="2563" max="2563" width="11.7109375" style="88" customWidth="1"/>
    <col min="2564" max="2564" width="0.28515625" style="88" customWidth="1"/>
    <col min="2565" max="2565" width="11.28515625" style="88" customWidth="1"/>
    <col min="2566" max="2566" width="0.28515625" style="88" customWidth="1"/>
    <col min="2567" max="2567" width="11.28515625" style="88" customWidth="1"/>
    <col min="2568" max="2568" width="0.28515625" style="88" customWidth="1"/>
    <col min="2569" max="2571" width="8.85546875" style="88"/>
    <col min="2572" max="2572" width="7.140625" style="88" customWidth="1"/>
    <col min="2573" max="2573" width="12.140625" style="88" customWidth="1"/>
    <col min="2574" max="2574" width="2.140625" style="88" customWidth="1"/>
    <col min="2575" max="2816" width="8.85546875" style="88"/>
    <col min="2817" max="2817" width="0.85546875" style="88" customWidth="1"/>
    <col min="2818" max="2818" width="9.7109375" style="88" customWidth="1"/>
    <col min="2819" max="2819" width="11.7109375" style="88" customWidth="1"/>
    <col min="2820" max="2820" width="0.28515625" style="88" customWidth="1"/>
    <col min="2821" max="2821" width="11.28515625" style="88" customWidth="1"/>
    <col min="2822" max="2822" width="0.28515625" style="88" customWidth="1"/>
    <col min="2823" max="2823" width="11.28515625" style="88" customWidth="1"/>
    <col min="2824" max="2824" width="0.28515625" style="88" customWidth="1"/>
    <col min="2825" max="2827" width="8.85546875" style="88"/>
    <col min="2828" max="2828" width="7.140625" style="88" customWidth="1"/>
    <col min="2829" max="2829" width="12.140625" style="88" customWidth="1"/>
    <col min="2830" max="2830" width="2.140625" style="88" customWidth="1"/>
    <col min="2831" max="3072" width="8.85546875" style="88"/>
    <col min="3073" max="3073" width="0.85546875" style="88" customWidth="1"/>
    <col min="3074" max="3074" width="9.7109375" style="88" customWidth="1"/>
    <col min="3075" max="3075" width="11.7109375" style="88" customWidth="1"/>
    <col min="3076" max="3076" width="0.28515625" style="88" customWidth="1"/>
    <col min="3077" max="3077" width="11.28515625" style="88" customWidth="1"/>
    <col min="3078" max="3078" width="0.28515625" style="88" customWidth="1"/>
    <col min="3079" max="3079" width="11.28515625" style="88" customWidth="1"/>
    <col min="3080" max="3080" width="0.28515625" style="88" customWidth="1"/>
    <col min="3081" max="3083" width="8.85546875" style="88"/>
    <col min="3084" max="3084" width="7.140625" style="88" customWidth="1"/>
    <col min="3085" max="3085" width="12.140625" style="88" customWidth="1"/>
    <col min="3086" max="3086" width="2.140625" style="88" customWidth="1"/>
    <col min="3087" max="3328" width="8.85546875" style="88"/>
    <col min="3329" max="3329" width="0.85546875" style="88" customWidth="1"/>
    <col min="3330" max="3330" width="9.7109375" style="88" customWidth="1"/>
    <col min="3331" max="3331" width="11.7109375" style="88" customWidth="1"/>
    <col min="3332" max="3332" width="0.28515625" style="88" customWidth="1"/>
    <col min="3333" max="3333" width="11.28515625" style="88" customWidth="1"/>
    <col min="3334" max="3334" width="0.28515625" style="88" customWidth="1"/>
    <col min="3335" max="3335" width="11.28515625" style="88" customWidth="1"/>
    <col min="3336" max="3336" width="0.28515625" style="88" customWidth="1"/>
    <col min="3337" max="3339" width="8.85546875" style="88"/>
    <col min="3340" max="3340" width="7.140625" style="88" customWidth="1"/>
    <col min="3341" max="3341" width="12.140625" style="88" customWidth="1"/>
    <col min="3342" max="3342" width="2.140625" style="88" customWidth="1"/>
    <col min="3343" max="3584" width="8.85546875" style="88"/>
    <col min="3585" max="3585" width="0.85546875" style="88" customWidth="1"/>
    <col min="3586" max="3586" width="9.7109375" style="88" customWidth="1"/>
    <col min="3587" max="3587" width="11.7109375" style="88" customWidth="1"/>
    <col min="3588" max="3588" width="0.28515625" style="88" customWidth="1"/>
    <col min="3589" max="3589" width="11.28515625" style="88" customWidth="1"/>
    <col min="3590" max="3590" width="0.28515625" style="88" customWidth="1"/>
    <col min="3591" max="3591" width="11.28515625" style="88" customWidth="1"/>
    <col min="3592" max="3592" width="0.28515625" style="88" customWidth="1"/>
    <col min="3593" max="3595" width="8.85546875" style="88"/>
    <col min="3596" max="3596" width="7.140625" style="88" customWidth="1"/>
    <col min="3597" max="3597" width="12.140625" style="88" customWidth="1"/>
    <col min="3598" max="3598" width="2.140625" style="88" customWidth="1"/>
    <col min="3599" max="3840" width="8.85546875" style="88"/>
    <col min="3841" max="3841" width="0.85546875" style="88" customWidth="1"/>
    <col min="3842" max="3842" width="9.7109375" style="88" customWidth="1"/>
    <col min="3843" max="3843" width="11.7109375" style="88" customWidth="1"/>
    <col min="3844" max="3844" width="0.28515625" style="88" customWidth="1"/>
    <col min="3845" max="3845" width="11.28515625" style="88" customWidth="1"/>
    <col min="3846" max="3846" width="0.28515625" style="88" customWidth="1"/>
    <col min="3847" max="3847" width="11.28515625" style="88" customWidth="1"/>
    <col min="3848" max="3848" width="0.28515625" style="88" customWidth="1"/>
    <col min="3849" max="3851" width="8.85546875" style="88"/>
    <col min="3852" max="3852" width="7.140625" style="88" customWidth="1"/>
    <col min="3853" max="3853" width="12.140625" style="88" customWidth="1"/>
    <col min="3854" max="3854" width="2.140625" style="88" customWidth="1"/>
    <col min="3855" max="4096" width="8.85546875" style="88"/>
    <col min="4097" max="4097" width="0.85546875" style="88" customWidth="1"/>
    <col min="4098" max="4098" width="9.7109375" style="88" customWidth="1"/>
    <col min="4099" max="4099" width="11.7109375" style="88" customWidth="1"/>
    <col min="4100" max="4100" width="0.28515625" style="88" customWidth="1"/>
    <col min="4101" max="4101" width="11.28515625" style="88" customWidth="1"/>
    <col min="4102" max="4102" width="0.28515625" style="88" customWidth="1"/>
    <col min="4103" max="4103" width="11.28515625" style="88" customWidth="1"/>
    <col min="4104" max="4104" width="0.28515625" style="88" customWidth="1"/>
    <col min="4105" max="4107" width="8.85546875" style="88"/>
    <col min="4108" max="4108" width="7.140625" style="88" customWidth="1"/>
    <col min="4109" max="4109" width="12.140625" style="88" customWidth="1"/>
    <col min="4110" max="4110" width="2.140625" style="88" customWidth="1"/>
    <col min="4111" max="4352" width="8.85546875" style="88"/>
    <col min="4353" max="4353" width="0.85546875" style="88" customWidth="1"/>
    <col min="4354" max="4354" width="9.7109375" style="88" customWidth="1"/>
    <col min="4355" max="4355" width="11.7109375" style="88" customWidth="1"/>
    <col min="4356" max="4356" width="0.28515625" style="88" customWidth="1"/>
    <col min="4357" max="4357" width="11.28515625" style="88" customWidth="1"/>
    <col min="4358" max="4358" width="0.28515625" style="88" customWidth="1"/>
    <col min="4359" max="4359" width="11.28515625" style="88" customWidth="1"/>
    <col min="4360" max="4360" width="0.28515625" style="88" customWidth="1"/>
    <col min="4361" max="4363" width="8.85546875" style="88"/>
    <col min="4364" max="4364" width="7.140625" style="88" customWidth="1"/>
    <col min="4365" max="4365" width="12.140625" style="88" customWidth="1"/>
    <col min="4366" max="4366" width="2.140625" style="88" customWidth="1"/>
    <col min="4367" max="4608" width="8.85546875" style="88"/>
    <col min="4609" max="4609" width="0.85546875" style="88" customWidth="1"/>
    <col min="4610" max="4610" width="9.7109375" style="88" customWidth="1"/>
    <col min="4611" max="4611" width="11.7109375" style="88" customWidth="1"/>
    <col min="4612" max="4612" width="0.28515625" style="88" customWidth="1"/>
    <col min="4613" max="4613" width="11.28515625" style="88" customWidth="1"/>
    <col min="4614" max="4614" width="0.28515625" style="88" customWidth="1"/>
    <col min="4615" max="4615" width="11.28515625" style="88" customWidth="1"/>
    <col min="4616" max="4616" width="0.28515625" style="88" customWidth="1"/>
    <col min="4617" max="4619" width="8.85546875" style="88"/>
    <col min="4620" max="4620" width="7.140625" style="88" customWidth="1"/>
    <col min="4621" max="4621" width="12.140625" style="88" customWidth="1"/>
    <col min="4622" max="4622" width="2.140625" style="88" customWidth="1"/>
    <col min="4623" max="4864" width="8.85546875" style="88"/>
    <col min="4865" max="4865" width="0.85546875" style="88" customWidth="1"/>
    <col min="4866" max="4866" width="9.7109375" style="88" customWidth="1"/>
    <col min="4867" max="4867" width="11.7109375" style="88" customWidth="1"/>
    <col min="4868" max="4868" width="0.28515625" style="88" customWidth="1"/>
    <col min="4869" max="4869" width="11.28515625" style="88" customWidth="1"/>
    <col min="4870" max="4870" width="0.28515625" style="88" customWidth="1"/>
    <col min="4871" max="4871" width="11.28515625" style="88" customWidth="1"/>
    <col min="4872" max="4872" width="0.28515625" style="88" customWidth="1"/>
    <col min="4873" max="4875" width="8.85546875" style="88"/>
    <col min="4876" max="4876" width="7.140625" style="88" customWidth="1"/>
    <col min="4877" max="4877" width="12.140625" style="88" customWidth="1"/>
    <col min="4878" max="4878" width="2.140625" style="88" customWidth="1"/>
    <col min="4879" max="5120" width="8.85546875" style="88"/>
    <col min="5121" max="5121" width="0.85546875" style="88" customWidth="1"/>
    <col min="5122" max="5122" width="9.7109375" style="88" customWidth="1"/>
    <col min="5123" max="5123" width="11.7109375" style="88" customWidth="1"/>
    <col min="5124" max="5124" width="0.28515625" style="88" customWidth="1"/>
    <col min="5125" max="5125" width="11.28515625" style="88" customWidth="1"/>
    <col min="5126" max="5126" width="0.28515625" style="88" customWidth="1"/>
    <col min="5127" max="5127" width="11.28515625" style="88" customWidth="1"/>
    <col min="5128" max="5128" width="0.28515625" style="88" customWidth="1"/>
    <col min="5129" max="5131" width="8.85546875" style="88"/>
    <col min="5132" max="5132" width="7.140625" style="88" customWidth="1"/>
    <col min="5133" max="5133" width="12.140625" style="88" customWidth="1"/>
    <col min="5134" max="5134" width="2.140625" style="88" customWidth="1"/>
    <col min="5135" max="5376" width="8.85546875" style="88"/>
    <col min="5377" max="5377" width="0.85546875" style="88" customWidth="1"/>
    <col min="5378" max="5378" width="9.7109375" style="88" customWidth="1"/>
    <col min="5379" max="5379" width="11.7109375" style="88" customWidth="1"/>
    <col min="5380" max="5380" width="0.28515625" style="88" customWidth="1"/>
    <col min="5381" max="5381" width="11.28515625" style="88" customWidth="1"/>
    <col min="5382" max="5382" width="0.28515625" style="88" customWidth="1"/>
    <col min="5383" max="5383" width="11.28515625" style="88" customWidth="1"/>
    <col min="5384" max="5384" width="0.28515625" style="88" customWidth="1"/>
    <col min="5385" max="5387" width="8.85546875" style="88"/>
    <col min="5388" max="5388" width="7.140625" style="88" customWidth="1"/>
    <col min="5389" max="5389" width="12.140625" style="88" customWidth="1"/>
    <col min="5390" max="5390" width="2.140625" style="88" customWidth="1"/>
    <col min="5391" max="5632" width="8.85546875" style="88"/>
    <col min="5633" max="5633" width="0.85546875" style="88" customWidth="1"/>
    <col min="5634" max="5634" width="9.7109375" style="88" customWidth="1"/>
    <col min="5635" max="5635" width="11.7109375" style="88" customWidth="1"/>
    <col min="5636" max="5636" width="0.28515625" style="88" customWidth="1"/>
    <col min="5637" max="5637" width="11.28515625" style="88" customWidth="1"/>
    <col min="5638" max="5638" width="0.28515625" style="88" customWidth="1"/>
    <col min="5639" max="5639" width="11.28515625" style="88" customWidth="1"/>
    <col min="5640" max="5640" width="0.28515625" style="88" customWidth="1"/>
    <col min="5641" max="5643" width="8.85546875" style="88"/>
    <col min="5644" max="5644" width="7.140625" style="88" customWidth="1"/>
    <col min="5645" max="5645" width="12.140625" style="88" customWidth="1"/>
    <col min="5646" max="5646" width="2.140625" style="88" customWidth="1"/>
    <col min="5647" max="5888" width="8.85546875" style="88"/>
    <col min="5889" max="5889" width="0.85546875" style="88" customWidth="1"/>
    <col min="5890" max="5890" width="9.7109375" style="88" customWidth="1"/>
    <col min="5891" max="5891" width="11.7109375" style="88" customWidth="1"/>
    <col min="5892" max="5892" width="0.28515625" style="88" customWidth="1"/>
    <col min="5893" max="5893" width="11.28515625" style="88" customWidth="1"/>
    <col min="5894" max="5894" width="0.28515625" style="88" customWidth="1"/>
    <col min="5895" max="5895" width="11.28515625" style="88" customWidth="1"/>
    <col min="5896" max="5896" width="0.28515625" style="88" customWidth="1"/>
    <col min="5897" max="5899" width="8.85546875" style="88"/>
    <col min="5900" max="5900" width="7.140625" style="88" customWidth="1"/>
    <col min="5901" max="5901" width="12.140625" style="88" customWidth="1"/>
    <col min="5902" max="5902" width="2.140625" style="88" customWidth="1"/>
    <col min="5903" max="6144" width="8.85546875" style="88"/>
    <col min="6145" max="6145" width="0.85546875" style="88" customWidth="1"/>
    <col min="6146" max="6146" width="9.7109375" style="88" customWidth="1"/>
    <col min="6147" max="6147" width="11.7109375" style="88" customWidth="1"/>
    <col min="6148" max="6148" width="0.28515625" style="88" customWidth="1"/>
    <col min="6149" max="6149" width="11.28515625" style="88" customWidth="1"/>
    <col min="6150" max="6150" width="0.28515625" style="88" customWidth="1"/>
    <col min="6151" max="6151" width="11.28515625" style="88" customWidth="1"/>
    <col min="6152" max="6152" width="0.28515625" style="88" customWidth="1"/>
    <col min="6153" max="6155" width="8.85546875" style="88"/>
    <col min="6156" max="6156" width="7.140625" style="88" customWidth="1"/>
    <col min="6157" max="6157" width="12.140625" style="88" customWidth="1"/>
    <col min="6158" max="6158" width="2.140625" style="88" customWidth="1"/>
    <col min="6159" max="6400" width="8.85546875" style="88"/>
    <col min="6401" max="6401" width="0.85546875" style="88" customWidth="1"/>
    <col min="6402" max="6402" width="9.7109375" style="88" customWidth="1"/>
    <col min="6403" max="6403" width="11.7109375" style="88" customWidth="1"/>
    <col min="6404" max="6404" width="0.28515625" style="88" customWidth="1"/>
    <col min="6405" max="6405" width="11.28515625" style="88" customWidth="1"/>
    <col min="6406" max="6406" width="0.28515625" style="88" customWidth="1"/>
    <col min="6407" max="6407" width="11.28515625" style="88" customWidth="1"/>
    <col min="6408" max="6408" width="0.28515625" style="88" customWidth="1"/>
    <col min="6409" max="6411" width="8.85546875" style="88"/>
    <col min="6412" max="6412" width="7.140625" style="88" customWidth="1"/>
    <col min="6413" max="6413" width="12.140625" style="88" customWidth="1"/>
    <col min="6414" max="6414" width="2.140625" style="88" customWidth="1"/>
    <col min="6415" max="6656" width="8.85546875" style="88"/>
    <col min="6657" max="6657" width="0.85546875" style="88" customWidth="1"/>
    <col min="6658" max="6658" width="9.7109375" style="88" customWidth="1"/>
    <col min="6659" max="6659" width="11.7109375" style="88" customWidth="1"/>
    <col min="6660" max="6660" width="0.28515625" style="88" customWidth="1"/>
    <col min="6661" max="6661" width="11.28515625" style="88" customWidth="1"/>
    <col min="6662" max="6662" width="0.28515625" style="88" customWidth="1"/>
    <col min="6663" max="6663" width="11.28515625" style="88" customWidth="1"/>
    <col min="6664" max="6664" width="0.28515625" style="88" customWidth="1"/>
    <col min="6665" max="6667" width="8.85546875" style="88"/>
    <col min="6668" max="6668" width="7.140625" style="88" customWidth="1"/>
    <col min="6669" max="6669" width="12.140625" style="88" customWidth="1"/>
    <col min="6670" max="6670" width="2.140625" style="88" customWidth="1"/>
    <col min="6671" max="6912" width="8.85546875" style="88"/>
    <col min="6913" max="6913" width="0.85546875" style="88" customWidth="1"/>
    <col min="6914" max="6914" width="9.7109375" style="88" customWidth="1"/>
    <col min="6915" max="6915" width="11.7109375" style="88" customWidth="1"/>
    <col min="6916" max="6916" width="0.28515625" style="88" customWidth="1"/>
    <col min="6917" max="6917" width="11.28515625" style="88" customWidth="1"/>
    <col min="6918" max="6918" width="0.28515625" style="88" customWidth="1"/>
    <col min="6919" max="6919" width="11.28515625" style="88" customWidth="1"/>
    <col min="6920" max="6920" width="0.28515625" style="88" customWidth="1"/>
    <col min="6921" max="6923" width="8.85546875" style="88"/>
    <col min="6924" max="6924" width="7.140625" style="88" customWidth="1"/>
    <col min="6925" max="6925" width="12.140625" style="88" customWidth="1"/>
    <col min="6926" max="6926" width="2.140625" style="88" customWidth="1"/>
    <col min="6927" max="7168" width="8.85546875" style="88"/>
    <col min="7169" max="7169" width="0.85546875" style="88" customWidth="1"/>
    <col min="7170" max="7170" width="9.7109375" style="88" customWidth="1"/>
    <col min="7171" max="7171" width="11.7109375" style="88" customWidth="1"/>
    <col min="7172" max="7172" width="0.28515625" style="88" customWidth="1"/>
    <col min="7173" max="7173" width="11.28515625" style="88" customWidth="1"/>
    <col min="7174" max="7174" width="0.28515625" style="88" customWidth="1"/>
    <col min="7175" max="7175" width="11.28515625" style="88" customWidth="1"/>
    <col min="7176" max="7176" width="0.28515625" style="88" customWidth="1"/>
    <col min="7177" max="7179" width="8.85546875" style="88"/>
    <col min="7180" max="7180" width="7.140625" style="88" customWidth="1"/>
    <col min="7181" max="7181" width="12.140625" style="88" customWidth="1"/>
    <col min="7182" max="7182" width="2.140625" style="88" customWidth="1"/>
    <col min="7183" max="7424" width="8.85546875" style="88"/>
    <col min="7425" max="7425" width="0.85546875" style="88" customWidth="1"/>
    <col min="7426" max="7426" width="9.7109375" style="88" customWidth="1"/>
    <col min="7427" max="7427" width="11.7109375" style="88" customWidth="1"/>
    <col min="7428" max="7428" width="0.28515625" style="88" customWidth="1"/>
    <col min="7429" max="7429" width="11.28515625" style="88" customWidth="1"/>
    <col min="7430" max="7430" width="0.28515625" style="88" customWidth="1"/>
    <col min="7431" max="7431" width="11.28515625" style="88" customWidth="1"/>
    <col min="7432" max="7432" width="0.28515625" style="88" customWidth="1"/>
    <col min="7433" max="7435" width="8.85546875" style="88"/>
    <col min="7436" max="7436" width="7.140625" style="88" customWidth="1"/>
    <col min="7437" max="7437" width="12.140625" style="88" customWidth="1"/>
    <col min="7438" max="7438" width="2.140625" style="88" customWidth="1"/>
    <col min="7439" max="7680" width="8.85546875" style="88"/>
    <col min="7681" max="7681" width="0.85546875" style="88" customWidth="1"/>
    <col min="7682" max="7682" width="9.7109375" style="88" customWidth="1"/>
    <col min="7683" max="7683" width="11.7109375" style="88" customWidth="1"/>
    <col min="7684" max="7684" width="0.28515625" style="88" customWidth="1"/>
    <col min="7685" max="7685" width="11.28515625" style="88" customWidth="1"/>
    <col min="7686" max="7686" width="0.28515625" style="88" customWidth="1"/>
    <col min="7687" max="7687" width="11.28515625" style="88" customWidth="1"/>
    <col min="7688" max="7688" width="0.28515625" style="88" customWidth="1"/>
    <col min="7689" max="7691" width="8.85546875" style="88"/>
    <col min="7692" max="7692" width="7.140625" style="88" customWidth="1"/>
    <col min="7693" max="7693" width="12.140625" style="88" customWidth="1"/>
    <col min="7694" max="7694" width="2.140625" style="88" customWidth="1"/>
    <col min="7695" max="7936" width="8.85546875" style="88"/>
    <col min="7937" max="7937" width="0.85546875" style="88" customWidth="1"/>
    <col min="7938" max="7938" width="9.7109375" style="88" customWidth="1"/>
    <col min="7939" max="7939" width="11.7109375" style="88" customWidth="1"/>
    <col min="7940" max="7940" width="0.28515625" style="88" customWidth="1"/>
    <col min="7941" max="7941" width="11.28515625" style="88" customWidth="1"/>
    <col min="7942" max="7942" width="0.28515625" style="88" customWidth="1"/>
    <col min="7943" max="7943" width="11.28515625" style="88" customWidth="1"/>
    <col min="7944" max="7944" width="0.28515625" style="88" customWidth="1"/>
    <col min="7945" max="7947" width="8.85546875" style="88"/>
    <col min="7948" max="7948" width="7.140625" style="88" customWidth="1"/>
    <col min="7949" max="7949" width="12.140625" style="88" customWidth="1"/>
    <col min="7950" max="7950" width="2.140625" style="88" customWidth="1"/>
    <col min="7951" max="8192" width="8.85546875" style="88"/>
    <col min="8193" max="8193" width="0.85546875" style="88" customWidth="1"/>
    <col min="8194" max="8194" width="9.7109375" style="88" customWidth="1"/>
    <col min="8195" max="8195" width="11.7109375" style="88" customWidth="1"/>
    <col min="8196" max="8196" width="0.28515625" style="88" customWidth="1"/>
    <col min="8197" max="8197" width="11.28515625" style="88" customWidth="1"/>
    <col min="8198" max="8198" width="0.28515625" style="88" customWidth="1"/>
    <col min="8199" max="8199" width="11.28515625" style="88" customWidth="1"/>
    <col min="8200" max="8200" width="0.28515625" style="88" customWidth="1"/>
    <col min="8201" max="8203" width="8.85546875" style="88"/>
    <col min="8204" max="8204" width="7.140625" style="88" customWidth="1"/>
    <col min="8205" max="8205" width="12.140625" style="88" customWidth="1"/>
    <col min="8206" max="8206" width="2.140625" style="88" customWidth="1"/>
    <col min="8207" max="8448" width="8.85546875" style="88"/>
    <col min="8449" max="8449" width="0.85546875" style="88" customWidth="1"/>
    <col min="8450" max="8450" width="9.7109375" style="88" customWidth="1"/>
    <col min="8451" max="8451" width="11.7109375" style="88" customWidth="1"/>
    <col min="8452" max="8452" width="0.28515625" style="88" customWidth="1"/>
    <col min="8453" max="8453" width="11.28515625" style="88" customWidth="1"/>
    <col min="8454" max="8454" width="0.28515625" style="88" customWidth="1"/>
    <col min="8455" max="8455" width="11.28515625" style="88" customWidth="1"/>
    <col min="8456" max="8456" width="0.28515625" style="88" customWidth="1"/>
    <col min="8457" max="8459" width="8.85546875" style="88"/>
    <col min="8460" max="8460" width="7.140625" style="88" customWidth="1"/>
    <col min="8461" max="8461" width="12.140625" style="88" customWidth="1"/>
    <col min="8462" max="8462" width="2.140625" style="88" customWidth="1"/>
    <col min="8463" max="8704" width="8.85546875" style="88"/>
    <col min="8705" max="8705" width="0.85546875" style="88" customWidth="1"/>
    <col min="8706" max="8706" width="9.7109375" style="88" customWidth="1"/>
    <col min="8707" max="8707" width="11.7109375" style="88" customWidth="1"/>
    <col min="8708" max="8708" width="0.28515625" style="88" customWidth="1"/>
    <col min="8709" max="8709" width="11.28515625" style="88" customWidth="1"/>
    <col min="8710" max="8710" width="0.28515625" style="88" customWidth="1"/>
    <col min="8711" max="8711" width="11.28515625" style="88" customWidth="1"/>
    <col min="8712" max="8712" width="0.28515625" style="88" customWidth="1"/>
    <col min="8713" max="8715" width="8.85546875" style="88"/>
    <col min="8716" max="8716" width="7.140625" style="88" customWidth="1"/>
    <col min="8717" max="8717" width="12.140625" style="88" customWidth="1"/>
    <col min="8718" max="8718" width="2.140625" style="88" customWidth="1"/>
    <col min="8719" max="8960" width="8.85546875" style="88"/>
    <col min="8961" max="8961" width="0.85546875" style="88" customWidth="1"/>
    <col min="8962" max="8962" width="9.7109375" style="88" customWidth="1"/>
    <col min="8963" max="8963" width="11.7109375" style="88" customWidth="1"/>
    <col min="8964" max="8964" width="0.28515625" style="88" customWidth="1"/>
    <col min="8965" max="8965" width="11.28515625" style="88" customWidth="1"/>
    <col min="8966" max="8966" width="0.28515625" style="88" customWidth="1"/>
    <col min="8967" max="8967" width="11.28515625" style="88" customWidth="1"/>
    <col min="8968" max="8968" width="0.28515625" style="88" customWidth="1"/>
    <col min="8969" max="8971" width="8.85546875" style="88"/>
    <col min="8972" max="8972" width="7.140625" style="88" customWidth="1"/>
    <col min="8973" max="8973" width="12.140625" style="88" customWidth="1"/>
    <col min="8974" max="8974" width="2.140625" style="88" customWidth="1"/>
    <col min="8975" max="9216" width="8.85546875" style="88"/>
    <col min="9217" max="9217" width="0.85546875" style="88" customWidth="1"/>
    <col min="9218" max="9218" width="9.7109375" style="88" customWidth="1"/>
    <col min="9219" max="9219" width="11.7109375" style="88" customWidth="1"/>
    <col min="9220" max="9220" width="0.28515625" style="88" customWidth="1"/>
    <col min="9221" max="9221" width="11.28515625" style="88" customWidth="1"/>
    <col min="9222" max="9222" width="0.28515625" style="88" customWidth="1"/>
    <col min="9223" max="9223" width="11.28515625" style="88" customWidth="1"/>
    <col min="9224" max="9224" width="0.28515625" style="88" customWidth="1"/>
    <col min="9225" max="9227" width="8.85546875" style="88"/>
    <col min="9228" max="9228" width="7.140625" style="88" customWidth="1"/>
    <col min="9229" max="9229" width="12.140625" style="88" customWidth="1"/>
    <col min="9230" max="9230" width="2.140625" style="88" customWidth="1"/>
    <col min="9231" max="9472" width="8.85546875" style="88"/>
    <col min="9473" max="9473" width="0.85546875" style="88" customWidth="1"/>
    <col min="9474" max="9474" width="9.7109375" style="88" customWidth="1"/>
    <col min="9475" max="9475" width="11.7109375" style="88" customWidth="1"/>
    <col min="9476" max="9476" width="0.28515625" style="88" customWidth="1"/>
    <col min="9477" max="9477" width="11.28515625" style="88" customWidth="1"/>
    <col min="9478" max="9478" width="0.28515625" style="88" customWidth="1"/>
    <col min="9479" max="9479" width="11.28515625" style="88" customWidth="1"/>
    <col min="9480" max="9480" width="0.28515625" style="88" customWidth="1"/>
    <col min="9481" max="9483" width="8.85546875" style="88"/>
    <col min="9484" max="9484" width="7.140625" style="88" customWidth="1"/>
    <col min="9485" max="9485" width="12.140625" style="88" customWidth="1"/>
    <col min="9486" max="9486" width="2.140625" style="88" customWidth="1"/>
    <col min="9487" max="9728" width="8.85546875" style="88"/>
    <col min="9729" max="9729" width="0.85546875" style="88" customWidth="1"/>
    <col min="9730" max="9730" width="9.7109375" style="88" customWidth="1"/>
    <col min="9731" max="9731" width="11.7109375" style="88" customWidth="1"/>
    <col min="9732" max="9732" width="0.28515625" style="88" customWidth="1"/>
    <col min="9733" max="9733" width="11.28515625" style="88" customWidth="1"/>
    <col min="9734" max="9734" width="0.28515625" style="88" customWidth="1"/>
    <col min="9735" max="9735" width="11.28515625" style="88" customWidth="1"/>
    <col min="9736" max="9736" width="0.28515625" style="88" customWidth="1"/>
    <col min="9737" max="9739" width="8.85546875" style="88"/>
    <col min="9740" max="9740" width="7.140625" style="88" customWidth="1"/>
    <col min="9741" max="9741" width="12.140625" style="88" customWidth="1"/>
    <col min="9742" max="9742" width="2.140625" style="88" customWidth="1"/>
    <col min="9743" max="9984" width="8.85546875" style="88"/>
    <col min="9985" max="9985" width="0.85546875" style="88" customWidth="1"/>
    <col min="9986" max="9986" width="9.7109375" style="88" customWidth="1"/>
    <col min="9987" max="9987" width="11.7109375" style="88" customWidth="1"/>
    <col min="9988" max="9988" width="0.28515625" style="88" customWidth="1"/>
    <col min="9989" max="9989" width="11.28515625" style="88" customWidth="1"/>
    <col min="9990" max="9990" width="0.28515625" style="88" customWidth="1"/>
    <col min="9991" max="9991" width="11.28515625" style="88" customWidth="1"/>
    <col min="9992" max="9992" width="0.28515625" style="88" customWidth="1"/>
    <col min="9993" max="9995" width="8.85546875" style="88"/>
    <col min="9996" max="9996" width="7.140625" style="88" customWidth="1"/>
    <col min="9997" max="9997" width="12.140625" style="88" customWidth="1"/>
    <col min="9998" max="9998" width="2.140625" style="88" customWidth="1"/>
    <col min="9999" max="10240" width="8.85546875" style="88"/>
    <col min="10241" max="10241" width="0.85546875" style="88" customWidth="1"/>
    <col min="10242" max="10242" width="9.7109375" style="88" customWidth="1"/>
    <col min="10243" max="10243" width="11.7109375" style="88" customWidth="1"/>
    <col min="10244" max="10244" width="0.28515625" style="88" customWidth="1"/>
    <col min="10245" max="10245" width="11.28515625" style="88" customWidth="1"/>
    <col min="10246" max="10246" width="0.28515625" style="88" customWidth="1"/>
    <col min="10247" max="10247" width="11.28515625" style="88" customWidth="1"/>
    <col min="10248" max="10248" width="0.28515625" style="88" customWidth="1"/>
    <col min="10249" max="10251" width="8.85546875" style="88"/>
    <col min="10252" max="10252" width="7.140625" style="88" customWidth="1"/>
    <col min="10253" max="10253" width="12.140625" style="88" customWidth="1"/>
    <col min="10254" max="10254" width="2.140625" style="88" customWidth="1"/>
    <col min="10255" max="10496" width="8.85546875" style="88"/>
    <col min="10497" max="10497" width="0.85546875" style="88" customWidth="1"/>
    <col min="10498" max="10498" width="9.7109375" style="88" customWidth="1"/>
    <col min="10499" max="10499" width="11.7109375" style="88" customWidth="1"/>
    <col min="10500" max="10500" width="0.28515625" style="88" customWidth="1"/>
    <col min="10501" max="10501" width="11.28515625" style="88" customWidth="1"/>
    <col min="10502" max="10502" width="0.28515625" style="88" customWidth="1"/>
    <col min="10503" max="10503" width="11.28515625" style="88" customWidth="1"/>
    <col min="10504" max="10504" width="0.28515625" style="88" customWidth="1"/>
    <col min="10505" max="10507" width="8.85546875" style="88"/>
    <col min="10508" max="10508" width="7.140625" style="88" customWidth="1"/>
    <col min="10509" max="10509" width="12.140625" style="88" customWidth="1"/>
    <col min="10510" max="10510" width="2.140625" style="88" customWidth="1"/>
    <col min="10511" max="10752" width="8.85546875" style="88"/>
    <col min="10753" max="10753" width="0.85546875" style="88" customWidth="1"/>
    <col min="10754" max="10754" width="9.7109375" style="88" customWidth="1"/>
    <col min="10755" max="10755" width="11.7109375" style="88" customWidth="1"/>
    <col min="10756" max="10756" width="0.28515625" style="88" customWidth="1"/>
    <col min="10757" max="10757" width="11.28515625" style="88" customWidth="1"/>
    <col min="10758" max="10758" width="0.28515625" style="88" customWidth="1"/>
    <col min="10759" max="10759" width="11.28515625" style="88" customWidth="1"/>
    <col min="10760" max="10760" width="0.28515625" style="88" customWidth="1"/>
    <col min="10761" max="10763" width="8.85546875" style="88"/>
    <col min="10764" max="10764" width="7.140625" style="88" customWidth="1"/>
    <col min="10765" max="10765" width="12.140625" style="88" customWidth="1"/>
    <col min="10766" max="10766" width="2.140625" style="88" customWidth="1"/>
    <col min="10767" max="11008" width="8.85546875" style="88"/>
    <col min="11009" max="11009" width="0.85546875" style="88" customWidth="1"/>
    <col min="11010" max="11010" width="9.7109375" style="88" customWidth="1"/>
    <col min="11011" max="11011" width="11.7109375" style="88" customWidth="1"/>
    <col min="11012" max="11012" width="0.28515625" style="88" customWidth="1"/>
    <col min="11013" max="11013" width="11.28515625" style="88" customWidth="1"/>
    <col min="11014" max="11014" width="0.28515625" style="88" customWidth="1"/>
    <col min="11015" max="11015" width="11.28515625" style="88" customWidth="1"/>
    <col min="11016" max="11016" width="0.28515625" style="88" customWidth="1"/>
    <col min="11017" max="11019" width="8.85546875" style="88"/>
    <col min="11020" max="11020" width="7.140625" style="88" customWidth="1"/>
    <col min="11021" max="11021" width="12.140625" style="88" customWidth="1"/>
    <col min="11022" max="11022" width="2.140625" style="88" customWidth="1"/>
    <col min="11023" max="11264" width="8.85546875" style="88"/>
    <col min="11265" max="11265" width="0.85546875" style="88" customWidth="1"/>
    <col min="11266" max="11266" width="9.7109375" style="88" customWidth="1"/>
    <col min="11267" max="11267" width="11.7109375" style="88" customWidth="1"/>
    <col min="11268" max="11268" width="0.28515625" style="88" customWidth="1"/>
    <col min="11269" max="11269" width="11.28515625" style="88" customWidth="1"/>
    <col min="11270" max="11270" width="0.28515625" style="88" customWidth="1"/>
    <col min="11271" max="11271" width="11.28515625" style="88" customWidth="1"/>
    <col min="11272" max="11272" width="0.28515625" style="88" customWidth="1"/>
    <col min="11273" max="11275" width="8.85546875" style="88"/>
    <col min="11276" max="11276" width="7.140625" style="88" customWidth="1"/>
    <col min="11277" max="11277" width="12.140625" style="88" customWidth="1"/>
    <col min="11278" max="11278" width="2.140625" style="88" customWidth="1"/>
    <col min="11279" max="11520" width="8.85546875" style="88"/>
    <col min="11521" max="11521" width="0.85546875" style="88" customWidth="1"/>
    <col min="11522" max="11522" width="9.7109375" style="88" customWidth="1"/>
    <col min="11523" max="11523" width="11.7109375" style="88" customWidth="1"/>
    <col min="11524" max="11524" width="0.28515625" style="88" customWidth="1"/>
    <col min="11525" max="11525" width="11.28515625" style="88" customWidth="1"/>
    <col min="11526" max="11526" width="0.28515625" style="88" customWidth="1"/>
    <col min="11527" max="11527" width="11.28515625" style="88" customWidth="1"/>
    <col min="11528" max="11528" width="0.28515625" style="88" customWidth="1"/>
    <col min="11529" max="11531" width="8.85546875" style="88"/>
    <col min="11532" max="11532" width="7.140625" style="88" customWidth="1"/>
    <col min="11533" max="11533" width="12.140625" style="88" customWidth="1"/>
    <col min="11534" max="11534" width="2.140625" style="88" customWidth="1"/>
    <col min="11535" max="11776" width="8.85546875" style="88"/>
    <col min="11777" max="11777" width="0.85546875" style="88" customWidth="1"/>
    <col min="11778" max="11778" width="9.7109375" style="88" customWidth="1"/>
    <col min="11779" max="11779" width="11.7109375" style="88" customWidth="1"/>
    <col min="11780" max="11780" width="0.28515625" style="88" customWidth="1"/>
    <col min="11781" max="11781" width="11.28515625" style="88" customWidth="1"/>
    <col min="11782" max="11782" width="0.28515625" style="88" customWidth="1"/>
    <col min="11783" max="11783" width="11.28515625" style="88" customWidth="1"/>
    <col min="11784" max="11784" width="0.28515625" style="88" customWidth="1"/>
    <col min="11785" max="11787" width="8.85546875" style="88"/>
    <col min="11788" max="11788" width="7.140625" style="88" customWidth="1"/>
    <col min="11789" max="11789" width="12.140625" style="88" customWidth="1"/>
    <col min="11790" max="11790" width="2.140625" style="88" customWidth="1"/>
    <col min="11791" max="12032" width="8.85546875" style="88"/>
    <col min="12033" max="12033" width="0.85546875" style="88" customWidth="1"/>
    <col min="12034" max="12034" width="9.7109375" style="88" customWidth="1"/>
    <col min="12035" max="12035" width="11.7109375" style="88" customWidth="1"/>
    <col min="12036" max="12036" width="0.28515625" style="88" customWidth="1"/>
    <col min="12037" max="12037" width="11.28515625" style="88" customWidth="1"/>
    <col min="12038" max="12038" width="0.28515625" style="88" customWidth="1"/>
    <col min="12039" max="12039" width="11.28515625" style="88" customWidth="1"/>
    <col min="12040" max="12040" width="0.28515625" style="88" customWidth="1"/>
    <col min="12041" max="12043" width="8.85546875" style="88"/>
    <col min="12044" max="12044" width="7.140625" style="88" customWidth="1"/>
    <col min="12045" max="12045" width="12.140625" style="88" customWidth="1"/>
    <col min="12046" max="12046" width="2.140625" style="88" customWidth="1"/>
    <col min="12047" max="12288" width="8.85546875" style="88"/>
    <col min="12289" max="12289" width="0.85546875" style="88" customWidth="1"/>
    <col min="12290" max="12290" width="9.7109375" style="88" customWidth="1"/>
    <col min="12291" max="12291" width="11.7109375" style="88" customWidth="1"/>
    <col min="12292" max="12292" width="0.28515625" style="88" customWidth="1"/>
    <col min="12293" max="12293" width="11.28515625" style="88" customWidth="1"/>
    <col min="12294" max="12294" width="0.28515625" style="88" customWidth="1"/>
    <col min="12295" max="12295" width="11.28515625" style="88" customWidth="1"/>
    <col min="12296" max="12296" width="0.28515625" style="88" customWidth="1"/>
    <col min="12297" max="12299" width="8.85546875" style="88"/>
    <col min="12300" max="12300" width="7.140625" style="88" customWidth="1"/>
    <col min="12301" max="12301" width="12.140625" style="88" customWidth="1"/>
    <col min="12302" max="12302" width="2.140625" style="88" customWidth="1"/>
    <col min="12303" max="12544" width="8.85546875" style="88"/>
    <col min="12545" max="12545" width="0.85546875" style="88" customWidth="1"/>
    <col min="12546" max="12546" width="9.7109375" style="88" customWidth="1"/>
    <col min="12547" max="12547" width="11.7109375" style="88" customWidth="1"/>
    <col min="12548" max="12548" width="0.28515625" style="88" customWidth="1"/>
    <col min="12549" max="12549" width="11.28515625" style="88" customWidth="1"/>
    <col min="12550" max="12550" width="0.28515625" style="88" customWidth="1"/>
    <col min="12551" max="12551" width="11.28515625" style="88" customWidth="1"/>
    <col min="12552" max="12552" width="0.28515625" style="88" customWidth="1"/>
    <col min="12553" max="12555" width="8.85546875" style="88"/>
    <col min="12556" max="12556" width="7.140625" style="88" customWidth="1"/>
    <col min="12557" max="12557" width="12.140625" style="88" customWidth="1"/>
    <col min="12558" max="12558" width="2.140625" style="88" customWidth="1"/>
    <col min="12559" max="12800" width="8.85546875" style="88"/>
    <col min="12801" max="12801" width="0.85546875" style="88" customWidth="1"/>
    <col min="12802" max="12802" width="9.7109375" style="88" customWidth="1"/>
    <col min="12803" max="12803" width="11.7109375" style="88" customWidth="1"/>
    <col min="12804" max="12804" width="0.28515625" style="88" customWidth="1"/>
    <col min="12805" max="12805" width="11.28515625" style="88" customWidth="1"/>
    <col min="12806" max="12806" width="0.28515625" style="88" customWidth="1"/>
    <col min="12807" max="12807" width="11.28515625" style="88" customWidth="1"/>
    <col min="12808" max="12808" width="0.28515625" style="88" customWidth="1"/>
    <col min="12809" max="12811" width="8.85546875" style="88"/>
    <col min="12812" max="12812" width="7.140625" style="88" customWidth="1"/>
    <col min="12813" max="12813" width="12.140625" style="88" customWidth="1"/>
    <col min="12814" max="12814" width="2.140625" style="88" customWidth="1"/>
    <col min="12815" max="13056" width="8.85546875" style="88"/>
    <col min="13057" max="13057" width="0.85546875" style="88" customWidth="1"/>
    <col min="13058" max="13058" width="9.7109375" style="88" customWidth="1"/>
    <col min="13059" max="13059" width="11.7109375" style="88" customWidth="1"/>
    <col min="13060" max="13060" width="0.28515625" style="88" customWidth="1"/>
    <col min="13061" max="13061" width="11.28515625" style="88" customWidth="1"/>
    <col min="13062" max="13062" width="0.28515625" style="88" customWidth="1"/>
    <col min="13063" max="13063" width="11.28515625" style="88" customWidth="1"/>
    <col min="13064" max="13064" width="0.28515625" style="88" customWidth="1"/>
    <col min="13065" max="13067" width="8.85546875" style="88"/>
    <col min="13068" max="13068" width="7.140625" style="88" customWidth="1"/>
    <col min="13069" max="13069" width="12.140625" style="88" customWidth="1"/>
    <col min="13070" max="13070" width="2.140625" style="88" customWidth="1"/>
    <col min="13071" max="13312" width="8.85546875" style="88"/>
    <col min="13313" max="13313" width="0.85546875" style="88" customWidth="1"/>
    <col min="13314" max="13314" width="9.7109375" style="88" customWidth="1"/>
    <col min="13315" max="13315" width="11.7109375" style="88" customWidth="1"/>
    <col min="13316" max="13316" width="0.28515625" style="88" customWidth="1"/>
    <col min="13317" max="13317" width="11.28515625" style="88" customWidth="1"/>
    <col min="13318" max="13318" width="0.28515625" style="88" customWidth="1"/>
    <col min="13319" max="13319" width="11.28515625" style="88" customWidth="1"/>
    <col min="13320" max="13320" width="0.28515625" style="88" customWidth="1"/>
    <col min="13321" max="13323" width="8.85546875" style="88"/>
    <col min="13324" max="13324" width="7.140625" style="88" customWidth="1"/>
    <col min="13325" max="13325" width="12.140625" style="88" customWidth="1"/>
    <col min="13326" max="13326" width="2.140625" style="88" customWidth="1"/>
    <col min="13327" max="13568" width="8.85546875" style="88"/>
    <col min="13569" max="13569" width="0.85546875" style="88" customWidth="1"/>
    <col min="13570" max="13570" width="9.7109375" style="88" customWidth="1"/>
    <col min="13571" max="13571" width="11.7109375" style="88" customWidth="1"/>
    <col min="13572" max="13572" width="0.28515625" style="88" customWidth="1"/>
    <col min="13573" max="13573" width="11.28515625" style="88" customWidth="1"/>
    <col min="13574" max="13574" width="0.28515625" style="88" customWidth="1"/>
    <col min="13575" max="13575" width="11.28515625" style="88" customWidth="1"/>
    <col min="13576" max="13576" width="0.28515625" style="88" customWidth="1"/>
    <col min="13577" max="13579" width="8.85546875" style="88"/>
    <col min="13580" max="13580" width="7.140625" style="88" customWidth="1"/>
    <col min="13581" max="13581" width="12.140625" style="88" customWidth="1"/>
    <col min="13582" max="13582" width="2.140625" style="88" customWidth="1"/>
    <col min="13583" max="13824" width="8.85546875" style="88"/>
    <col min="13825" max="13825" width="0.85546875" style="88" customWidth="1"/>
    <col min="13826" max="13826" width="9.7109375" style="88" customWidth="1"/>
    <col min="13827" max="13827" width="11.7109375" style="88" customWidth="1"/>
    <col min="13828" max="13828" width="0.28515625" style="88" customWidth="1"/>
    <col min="13829" max="13829" width="11.28515625" style="88" customWidth="1"/>
    <col min="13830" max="13830" width="0.28515625" style="88" customWidth="1"/>
    <col min="13831" max="13831" width="11.28515625" style="88" customWidth="1"/>
    <col min="13832" max="13832" width="0.28515625" style="88" customWidth="1"/>
    <col min="13833" max="13835" width="8.85546875" style="88"/>
    <col min="13836" max="13836" width="7.140625" style="88" customWidth="1"/>
    <col min="13837" max="13837" width="12.140625" style="88" customWidth="1"/>
    <col min="13838" max="13838" width="2.140625" style="88" customWidth="1"/>
    <col min="13839" max="14080" width="8.85546875" style="88"/>
    <col min="14081" max="14081" width="0.85546875" style="88" customWidth="1"/>
    <col min="14082" max="14082" width="9.7109375" style="88" customWidth="1"/>
    <col min="14083" max="14083" width="11.7109375" style="88" customWidth="1"/>
    <col min="14084" max="14084" width="0.28515625" style="88" customWidth="1"/>
    <col min="14085" max="14085" width="11.28515625" style="88" customWidth="1"/>
    <col min="14086" max="14086" width="0.28515625" style="88" customWidth="1"/>
    <col min="14087" max="14087" width="11.28515625" style="88" customWidth="1"/>
    <col min="14088" max="14088" width="0.28515625" style="88" customWidth="1"/>
    <col min="14089" max="14091" width="8.85546875" style="88"/>
    <col min="14092" max="14092" width="7.140625" style="88" customWidth="1"/>
    <col min="14093" max="14093" width="12.140625" style="88" customWidth="1"/>
    <col min="14094" max="14094" width="2.140625" style="88" customWidth="1"/>
    <col min="14095" max="14336" width="8.85546875" style="88"/>
    <col min="14337" max="14337" width="0.85546875" style="88" customWidth="1"/>
    <col min="14338" max="14338" width="9.7109375" style="88" customWidth="1"/>
    <col min="14339" max="14339" width="11.7109375" style="88" customWidth="1"/>
    <col min="14340" max="14340" width="0.28515625" style="88" customWidth="1"/>
    <col min="14341" max="14341" width="11.28515625" style="88" customWidth="1"/>
    <col min="14342" max="14342" width="0.28515625" style="88" customWidth="1"/>
    <col min="14343" max="14343" width="11.28515625" style="88" customWidth="1"/>
    <col min="14344" max="14344" width="0.28515625" style="88" customWidth="1"/>
    <col min="14345" max="14347" width="8.85546875" style="88"/>
    <col min="14348" max="14348" width="7.140625" style="88" customWidth="1"/>
    <col min="14349" max="14349" width="12.140625" style="88" customWidth="1"/>
    <col min="14350" max="14350" width="2.140625" style="88" customWidth="1"/>
    <col min="14351" max="14592" width="8.85546875" style="88"/>
    <col min="14593" max="14593" width="0.85546875" style="88" customWidth="1"/>
    <col min="14594" max="14594" width="9.7109375" style="88" customWidth="1"/>
    <col min="14595" max="14595" width="11.7109375" style="88" customWidth="1"/>
    <col min="14596" max="14596" width="0.28515625" style="88" customWidth="1"/>
    <col min="14597" max="14597" width="11.28515625" style="88" customWidth="1"/>
    <col min="14598" max="14598" width="0.28515625" style="88" customWidth="1"/>
    <col min="14599" max="14599" width="11.28515625" style="88" customWidth="1"/>
    <col min="14600" max="14600" width="0.28515625" style="88" customWidth="1"/>
    <col min="14601" max="14603" width="8.85546875" style="88"/>
    <col min="14604" max="14604" width="7.140625" style="88" customWidth="1"/>
    <col min="14605" max="14605" width="12.140625" style="88" customWidth="1"/>
    <col min="14606" max="14606" width="2.140625" style="88" customWidth="1"/>
    <col min="14607" max="14848" width="8.85546875" style="88"/>
    <col min="14849" max="14849" width="0.85546875" style="88" customWidth="1"/>
    <col min="14850" max="14850" width="9.7109375" style="88" customWidth="1"/>
    <col min="14851" max="14851" width="11.7109375" style="88" customWidth="1"/>
    <col min="14852" max="14852" width="0.28515625" style="88" customWidth="1"/>
    <col min="14853" max="14853" width="11.28515625" style="88" customWidth="1"/>
    <col min="14854" max="14854" width="0.28515625" style="88" customWidth="1"/>
    <col min="14855" max="14855" width="11.28515625" style="88" customWidth="1"/>
    <col min="14856" max="14856" width="0.28515625" style="88" customWidth="1"/>
    <col min="14857" max="14859" width="8.85546875" style="88"/>
    <col min="14860" max="14860" width="7.140625" style="88" customWidth="1"/>
    <col min="14861" max="14861" width="12.140625" style="88" customWidth="1"/>
    <col min="14862" max="14862" width="2.140625" style="88" customWidth="1"/>
    <col min="14863" max="15104" width="8.85546875" style="88"/>
    <col min="15105" max="15105" width="0.85546875" style="88" customWidth="1"/>
    <col min="15106" max="15106" width="9.7109375" style="88" customWidth="1"/>
    <col min="15107" max="15107" width="11.7109375" style="88" customWidth="1"/>
    <col min="15108" max="15108" width="0.28515625" style="88" customWidth="1"/>
    <col min="15109" max="15109" width="11.28515625" style="88" customWidth="1"/>
    <col min="15110" max="15110" width="0.28515625" style="88" customWidth="1"/>
    <col min="15111" max="15111" width="11.28515625" style="88" customWidth="1"/>
    <col min="15112" max="15112" width="0.28515625" style="88" customWidth="1"/>
    <col min="15113" max="15115" width="8.85546875" style="88"/>
    <col min="15116" max="15116" width="7.140625" style="88" customWidth="1"/>
    <col min="15117" max="15117" width="12.140625" style="88" customWidth="1"/>
    <col min="15118" max="15118" width="2.140625" style="88" customWidth="1"/>
    <col min="15119" max="15360" width="8.85546875" style="88"/>
    <col min="15361" max="15361" width="0.85546875" style="88" customWidth="1"/>
    <col min="15362" max="15362" width="9.7109375" style="88" customWidth="1"/>
    <col min="15363" max="15363" width="11.7109375" style="88" customWidth="1"/>
    <col min="15364" max="15364" width="0.28515625" style="88" customWidth="1"/>
    <col min="15365" max="15365" width="11.28515625" style="88" customWidth="1"/>
    <col min="15366" max="15366" width="0.28515625" style="88" customWidth="1"/>
    <col min="15367" max="15367" width="11.28515625" style="88" customWidth="1"/>
    <col min="15368" max="15368" width="0.28515625" style="88" customWidth="1"/>
    <col min="15369" max="15371" width="8.85546875" style="88"/>
    <col min="15372" max="15372" width="7.140625" style="88" customWidth="1"/>
    <col min="15373" max="15373" width="12.140625" style="88" customWidth="1"/>
    <col min="15374" max="15374" width="2.140625" style="88" customWidth="1"/>
    <col min="15375" max="15616" width="8.85546875" style="88"/>
    <col min="15617" max="15617" width="0.85546875" style="88" customWidth="1"/>
    <col min="15618" max="15618" width="9.7109375" style="88" customWidth="1"/>
    <col min="15619" max="15619" width="11.7109375" style="88" customWidth="1"/>
    <col min="15620" max="15620" width="0.28515625" style="88" customWidth="1"/>
    <col min="15621" max="15621" width="11.28515625" style="88" customWidth="1"/>
    <col min="15622" max="15622" width="0.28515625" style="88" customWidth="1"/>
    <col min="15623" max="15623" width="11.28515625" style="88" customWidth="1"/>
    <col min="15624" max="15624" width="0.28515625" style="88" customWidth="1"/>
    <col min="15625" max="15627" width="8.85546875" style="88"/>
    <col min="15628" max="15628" width="7.140625" style="88" customWidth="1"/>
    <col min="15629" max="15629" width="12.140625" style="88" customWidth="1"/>
    <col min="15630" max="15630" width="2.140625" style="88" customWidth="1"/>
    <col min="15631" max="15872" width="8.85546875" style="88"/>
    <col min="15873" max="15873" width="0.85546875" style="88" customWidth="1"/>
    <col min="15874" max="15874" width="9.7109375" style="88" customWidth="1"/>
    <col min="15875" max="15875" width="11.7109375" style="88" customWidth="1"/>
    <col min="15876" max="15876" width="0.28515625" style="88" customWidth="1"/>
    <col min="15877" max="15877" width="11.28515625" style="88" customWidth="1"/>
    <col min="15878" max="15878" width="0.28515625" style="88" customWidth="1"/>
    <col min="15879" max="15879" width="11.28515625" style="88" customWidth="1"/>
    <col min="15880" max="15880" width="0.28515625" style="88" customWidth="1"/>
    <col min="15881" max="15883" width="8.85546875" style="88"/>
    <col min="15884" max="15884" width="7.140625" style="88" customWidth="1"/>
    <col min="15885" max="15885" width="12.140625" style="88" customWidth="1"/>
    <col min="15886" max="15886" width="2.140625" style="88" customWidth="1"/>
    <col min="15887" max="16128" width="8.85546875" style="88"/>
    <col min="16129" max="16129" width="0.85546875" style="88" customWidth="1"/>
    <col min="16130" max="16130" width="9.7109375" style="88" customWidth="1"/>
    <col min="16131" max="16131" width="11.7109375" style="88" customWidth="1"/>
    <col min="16132" max="16132" width="0.28515625" style="88" customWidth="1"/>
    <col min="16133" max="16133" width="11.28515625" style="88" customWidth="1"/>
    <col min="16134" max="16134" width="0.28515625" style="88" customWidth="1"/>
    <col min="16135" max="16135" width="11.28515625" style="88" customWidth="1"/>
    <col min="16136" max="16136" width="0.28515625" style="88" customWidth="1"/>
    <col min="16137" max="16139" width="8.85546875" style="88"/>
    <col min="16140" max="16140" width="7.140625" style="88" customWidth="1"/>
    <col min="16141" max="16141" width="12.140625" style="88" customWidth="1"/>
    <col min="16142" max="16142" width="2.140625" style="88" customWidth="1"/>
    <col min="16143" max="16384" width="8.85546875" style="88"/>
  </cols>
  <sheetData>
    <row r="1" spans="2:22" ht="27" customHeight="1" thickBot="1">
      <c r="B1" s="295"/>
      <c r="C1" s="296"/>
      <c r="D1" s="296"/>
      <c r="E1" s="296"/>
      <c r="F1" s="296"/>
      <c r="G1" s="296"/>
      <c r="H1" s="296"/>
      <c r="I1" s="297" t="s">
        <v>13932</v>
      </c>
      <c r="J1" s="296"/>
      <c r="K1" s="296"/>
      <c r="L1" s="298">
        <f ca="1">NOW()</f>
        <v>43524.674062268517</v>
      </c>
      <c r="M1" s="299">
        <f ca="1">TODAY()</f>
        <v>43524</v>
      </c>
      <c r="N1" s="296"/>
    </row>
    <row r="2" spans="2:22" ht="7.5" customHeight="1">
      <c r="B2" s="300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301"/>
    </row>
    <row r="3" spans="2:22" s="308" customFormat="1" ht="18" customHeight="1">
      <c r="B3" s="302" t="s">
        <v>13657</v>
      </c>
      <c r="C3" s="303">
        <f>'DATI GENERICI'!B1</f>
        <v>0</v>
      </c>
      <c r="D3" s="304"/>
      <c r="E3" s="304"/>
      <c r="F3" s="304"/>
      <c r="G3" s="305" t="s">
        <v>13933</v>
      </c>
      <c r="H3" s="304"/>
      <c r="I3" s="112">
        <f>'DATI GENERICI'!B2</f>
        <v>0</v>
      </c>
      <c r="J3" s="304" t="s">
        <v>13934</v>
      </c>
      <c r="K3" s="306" t="s">
        <v>13935</v>
      </c>
      <c r="L3" s="304"/>
      <c r="M3" s="303" t="str">
        <f ca="1">'DATI GENERICI'!B3</f>
        <v>main powerskyving</v>
      </c>
      <c r="N3" s="307"/>
    </row>
    <row r="4" spans="2:22" s="308" customFormat="1" ht="23.1" customHeight="1">
      <c r="B4" s="302" t="s">
        <v>13936</v>
      </c>
      <c r="C4" s="114">
        <f>'DATI GENERICI'!B4</f>
        <v>1.2057551778804803</v>
      </c>
      <c r="D4" s="304"/>
      <c r="E4" s="304"/>
      <c r="F4" s="304"/>
      <c r="G4" s="309" t="s">
        <v>13937</v>
      </c>
      <c r="H4" s="304"/>
      <c r="I4" s="310">
        <f>'DATI GENERICI'!B5</f>
        <v>0</v>
      </c>
      <c r="J4" s="306" t="s">
        <v>13938</v>
      </c>
      <c r="K4" s="112">
        <f>'DATI GENERICI'!B6</f>
        <v>0</v>
      </c>
      <c r="L4" s="306" t="s">
        <v>13939</v>
      </c>
      <c r="M4" s="112">
        <f>'DATI GENERICI'!B7</f>
        <v>0</v>
      </c>
      <c r="N4" s="307"/>
    </row>
    <row r="5" spans="2:22" ht="23.1" customHeight="1">
      <c r="B5" s="311" t="s">
        <v>13940</v>
      </c>
      <c r="C5" s="312"/>
      <c r="D5" s="91"/>
      <c r="E5" s="310">
        <f>'DATI GENERICI'!B8</f>
        <v>0</v>
      </c>
      <c r="F5" s="91"/>
      <c r="G5" s="313"/>
      <c r="H5" s="91"/>
      <c r="I5" s="309" t="s">
        <v>13941</v>
      </c>
      <c r="J5" s="112">
        <f>'DATI GENERICI'!B9</f>
        <v>0</v>
      </c>
      <c r="K5" s="314" t="s">
        <v>13942</v>
      </c>
      <c r="L5" s="315"/>
      <c r="M5" s="316"/>
      <c r="N5" s="317" t="s">
        <v>13943</v>
      </c>
    </row>
    <row r="6" spans="2:22" s="308" customFormat="1" ht="5.0999999999999996" customHeight="1" thickBot="1">
      <c r="B6" s="318"/>
      <c r="C6" s="319"/>
      <c r="D6" s="320"/>
      <c r="E6" s="320"/>
      <c r="F6" s="320"/>
      <c r="G6" s="321"/>
      <c r="H6" s="320"/>
      <c r="I6" s="321"/>
      <c r="J6" s="322"/>
      <c r="K6" s="320"/>
      <c r="L6" s="322"/>
      <c r="M6" s="323"/>
      <c r="N6" s="324"/>
    </row>
    <row r="7" spans="2:22" ht="20.25">
      <c r="I7" s="325" t="s">
        <v>13944</v>
      </c>
    </row>
    <row r="8" spans="2:22" ht="15">
      <c r="B8" s="326" t="s">
        <v>13945</v>
      </c>
      <c r="C8" s="327"/>
      <c r="D8" s="328"/>
      <c r="E8" s="327"/>
      <c r="F8" s="329"/>
      <c r="G8" s="327"/>
      <c r="H8" s="91"/>
      <c r="I8" s="330" t="s">
        <v>13946</v>
      </c>
      <c r="O8" s="331"/>
    </row>
    <row r="9" spans="2:22" ht="15">
      <c r="B9" s="326" t="s">
        <v>13947</v>
      </c>
      <c r="C9" s="327"/>
      <c r="D9" s="328"/>
      <c r="E9" s="327"/>
      <c r="F9" s="329"/>
      <c r="G9" s="327"/>
      <c r="H9" s="91"/>
      <c r="I9" s="332" t="s">
        <v>13948</v>
      </c>
      <c r="O9" s="331"/>
      <c r="T9" s="92"/>
      <c r="V9" s="91"/>
    </row>
    <row r="10" spans="2:22" ht="15">
      <c r="B10" s="326" t="s">
        <v>13949</v>
      </c>
      <c r="C10" s="327"/>
      <c r="D10" s="328"/>
      <c r="E10" s="327"/>
      <c r="F10" s="329"/>
      <c r="G10" s="327"/>
      <c r="H10" s="91"/>
      <c r="I10" s="332" t="s">
        <v>13950</v>
      </c>
      <c r="O10" s="331"/>
    </row>
    <row r="11" spans="2:22" ht="15">
      <c r="B11" s="326" t="s">
        <v>13951</v>
      </c>
      <c r="C11" s="327"/>
      <c r="D11" s="328"/>
      <c r="E11" s="327"/>
      <c r="F11" s="329"/>
      <c r="G11" s="327"/>
      <c r="H11" s="91"/>
      <c r="I11" s="332" t="s">
        <v>13952</v>
      </c>
      <c r="O11" s="331"/>
    </row>
    <row r="12" spans="2:22" ht="15">
      <c r="B12" s="326" t="s">
        <v>13953</v>
      </c>
      <c r="C12" s="333"/>
      <c r="D12" s="328"/>
      <c r="E12" s="327"/>
      <c r="F12" s="329"/>
      <c r="G12" s="327"/>
      <c r="H12" s="91"/>
      <c r="I12" s="332" t="s">
        <v>13954</v>
      </c>
      <c r="O12" s="331"/>
    </row>
    <row r="13" spans="2:22" ht="15">
      <c r="B13" s="326" t="s">
        <v>13955</v>
      </c>
      <c r="C13" s="333"/>
      <c r="D13" s="328"/>
      <c r="E13" s="327"/>
      <c r="F13" s="329"/>
      <c r="G13" s="327"/>
      <c r="H13" s="91"/>
      <c r="I13" s="332" t="s">
        <v>13956</v>
      </c>
      <c r="O13" s="331"/>
    </row>
    <row r="14" spans="2:22" ht="15" customHeight="1">
      <c r="B14" s="334" t="s">
        <v>13957</v>
      </c>
      <c r="C14" s="335"/>
      <c r="D14" s="335"/>
      <c r="F14" s="335"/>
      <c r="H14" s="335"/>
      <c r="O14" s="91"/>
    </row>
    <row r="15" spans="2:22" ht="15" customHeight="1">
      <c r="B15" s="326" t="s">
        <v>13958</v>
      </c>
      <c r="C15" s="327"/>
      <c r="D15" s="328"/>
      <c r="E15" s="327"/>
      <c r="F15" s="329"/>
      <c r="G15" s="327"/>
      <c r="H15" s="91"/>
      <c r="I15" s="332" t="s">
        <v>13959</v>
      </c>
      <c r="O15" s="336"/>
    </row>
    <row r="16" spans="2:22" ht="15">
      <c r="B16" s="326" t="s">
        <v>13960</v>
      </c>
      <c r="C16" s="327"/>
      <c r="D16" s="328"/>
      <c r="E16" s="327"/>
      <c r="F16" s="329"/>
      <c r="G16" s="327"/>
      <c r="H16" s="91"/>
      <c r="I16" s="332" t="s">
        <v>13961</v>
      </c>
      <c r="O16" s="331"/>
    </row>
    <row r="17" spans="2:9" ht="15">
      <c r="B17" s="334" t="s">
        <v>13962</v>
      </c>
      <c r="C17" s="337"/>
      <c r="D17" s="337"/>
      <c r="F17" s="337"/>
      <c r="H17" s="337"/>
    </row>
    <row r="18" spans="2:9">
      <c r="B18" s="326" t="s">
        <v>13963</v>
      </c>
      <c r="C18" s="338"/>
      <c r="D18" s="339"/>
      <c r="E18" s="327"/>
      <c r="F18" s="340"/>
      <c r="G18" s="327"/>
      <c r="H18" s="337"/>
      <c r="I18" s="332" t="s">
        <v>13964</v>
      </c>
    </row>
    <row r="19" spans="2:9">
      <c r="B19" s="326" t="s">
        <v>13965</v>
      </c>
      <c r="C19" s="338"/>
      <c r="D19" s="339"/>
      <c r="E19" s="327"/>
      <c r="F19" s="340"/>
      <c r="G19" s="327"/>
      <c r="H19" s="337"/>
      <c r="I19" s="332" t="s">
        <v>13966</v>
      </c>
    </row>
    <row r="20" spans="2:9">
      <c r="B20" s="326" t="s">
        <v>13967</v>
      </c>
      <c r="C20" s="338"/>
      <c r="D20" s="339"/>
      <c r="E20" s="327"/>
      <c r="F20" s="340"/>
      <c r="G20" s="327"/>
      <c r="H20" s="337"/>
      <c r="I20" s="332" t="s">
        <v>13968</v>
      </c>
    </row>
    <row r="21" spans="2:9">
      <c r="B21" s="326" t="s">
        <v>13969</v>
      </c>
      <c r="C21" s="338"/>
      <c r="D21" s="339"/>
      <c r="E21" s="327"/>
      <c r="F21" s="340"/>
      <c r="G21" s="327"/>
      <c r="H21" s="337"/>
      <c r="I21" s="332" t="s">
        <v>13970</v>
      </c>
    </row>
    <row r="22" spans="2:9" ht="15">
      <c r="B22" s="334" t="s">
        <v>13971</v>
      </c>
      <c r="C22" s="337"/>
      <c r="D22" s="337"/>
      <c r="F22" s="337"/>
      <c r="H22" s="337"/>
    </row>
    <row r="23" spans="2:9">
      <c r="B23" s="326" t="s">
        <v>13972</v>
      </c>
      <c r="C23" s="338"/>
      <c r="D23" s="339"/>
      <c r="E23" s="327"/>
      <c r="F23" s="340"/>
      <c r="G23" s="327"/>
      <c r="H23" s="337"/>
      <c r="I23" s="332" t="s">
        <v>13973</v>
      </c>
    </row>
    <row r="24" spans="2:9">
      <c r="B24" s="326" t="s">
        <v>13974</v>
      </c>
      <c r="C24" s="338"/>
      <c r="D24" s="339"/>
      <c r="E24" s="327"/>
      <c r="F24" s="340"/>
      <c r="G24" s="327"/>
      <c r="H24" s="337"/>
      <c r="I24" s="332" t="s">
        <v>13975</v>
      </c>
    </row>
    <row r="25" spans="2:9">
      <c r="B25" s="326" t="s">
        <v>13976</v>
      </c>
      <c r="C25" s="338"/>
      <c r="D25" s="339"/>
      <c r="E25" s="327"/>
      <c r="F25" s="340"/>
      <c r="G25" s="327"/>
      <c r="H25" s="337"/>
      <c r="I25" s="332" t="s">
        <v>13977</v>
      </c>
    </row>
    <row r="26" spans="2:9">
      <c r="B26" s="326" t="s">
        <v>13978</v>
      </c>
      <c r="C26" s="338"/>
      <c r="D26" s="339"/>
      <c r="E26" s="327"/>
      <c r="F26" s="340"/>
      <c r="G26" s="327"/>
      <c r="H26" s="337"/>
      <c r="I26" s="332" t="s">
        <v>13979</v>
      </c>
    </row>
    <row r="27" spans="2:9" ht="15">
      <c r="B27" s="334" t="s">
        <v>13980</v>
      </c>
      <c r="C27" s="337"/>
      <c r="D27" s="337"/>
      <c r="F27" s="337"/>
      <c r="H27" s="337"/>
    </row>
    <row r="28" spans="2:9">
      <c r="B28" s="326" t="s">
        <v>13981</v>
      </c>
      <c r="C28" s="338"/>
      <c r="D28" s="339"/>
      <c r="E28" s="327"/>
      <c r="F28" s="340"/>
      <c r="G28" s="327"/>
      <c r="H28" s="337"/>
      <c r="I28" s="332" t="s">
        <v>13982</v>
      </c>
    </row>
    <row r="29" spans="2:9">
      <c r="B29" s="326" t="s">
        <v>13983</v>
      </c>
      <c r="C29" s="338"/>
      <c r="D29" s="339"/>
      <c r="E29" s="327"/>
      <c r="F29" s="340"/>
      <c r="G29" s="327"/>
      <c r="H29" s="337"/>
      <c r="I29" s="332" t="s">
        <v>13984</v>
      </c>
    </row>
    <row r="30" spans="2:9" ht="15">
      <c r="B30" s="331"/>
      <c r="C30" s="339"/>
      <c r="D30" s="339"/>
      <c r="E30" s="341"/>
      <c r="F30" s="339"/>
      <c r="G30" s="341"/>
      <c r="H30" s="337"/>
    </row>
    <row r="31" spans="2:9">
      <c r="B31" s="326" t="s">
        <v>13985</v>
      </c>
      <c r="C31" s="338"/>
      <c r="D31" s="339"/>
      <c r="E31" s="327"/>
      <c r="F31" s="339"/>
      <c r="G31" s="327"/>
      <c r="H31" s="337"/>
      <c r="I31" s="332" t="s">
        <v>13986</v>
      </c>
    </row>
    <row r="32" spans="2:9" ht="20.25">
      <c r="B32" s="342" t="s">
        <v>13987</v>
      </c>
      <c r="C32" s="337"/>
      <c r="D32" s="337"/>
      <c r="F32" s="337"/>
      <c r="H32" s="337"/>
    </row>
    <row r="33" spans="2:9">
      <c r="B33" s="326" t="s">
        <v>13988</v>
      </c>
      <c r="C33" s="327"/>
      <c r="D33" s="339"/>
      <c r="E33" s="327"/>
      <c r="F33" s="340"/>
      <c r="G33" s="327"/>
      <c r="H33" s="337"/>
      <c r="I33" s="332" t="s">
        <v>13946</v>
      </c>
    </row>
    <row r="34" spans="2:9">
      <c r="B34" s="326" t="s">
        <v>13989</v>
      </c>
      <c r="C34" s="327"/>
      <c r="D34" s="339"/>
      <c r="E34" s="327"/>
      <c r="F34" s="340"/>
      <c r="G34" s="327"/>
      <c r="H34" s="337"/>
      <c r="I34" s="332" t="s">
        <v>13948</v>
      </c>
    </row>
    <row r="35" spans="2:9">
      <c r="B35" s="326" t="s">
        <v>13990</v>
      </c>
      <c r="C35" s="327"/>
      <c r="D35" s="339"/>
      <c r="E35" s="327"/>
      <c r="F35" s="340"/>
      <c r="G35" s="327"/>
      <c r="H35" s="337"/>
      <c r="I35" s="332" t="s">
        <v>13950</v>
      </c>
    </row>
    <row r="36" spans="2:9">
      <c r="B36" s="326" t="s">
        <v>13991</v>
      </c>
      <c r="C36" s="327"/>
      <c r="D36" s="339"/>
      <c r="E36" s="327"/>
      <c r="F36" s="340"/>
      <c r="G36" s="327"/>
      <c r="H36" s="337"/>
      <c r="I36" s="332" t="s">
        <v>13952</v>
      </c>
    </row>
    <row r="37" spans="2:9">
      <c r="B37" s="326" t="s">
        <v>13992</v>
      </c>
      <c r="C37" s="333"/>
      <c r="D37" s="339"/>
      <c r="E37" s="327"/>
      <c r="F37" s="340"/>
      <c r="G37" s="327"/>
      <c r="H37" s="337"/>
      <c r="I37" s="332" t="s">
        <v>13954</v>
      </c>
    </row>
    <row r="38" spans="2:9">
      <c r="B38" s="326" t="s">
        <v>13993</v>
      </c>
      <c r="C38" s="333"/>
      <c r="D38" s="339"/>
      <c r="E38" s="327"/>
      <c r="F38" s="340"/>
      <c r="G38" s="327"/>
      <c r="H38" s="337"/>
      <c r="I38" s="332" t="s">
        <v>13956</v>
      </c>
    </row>
    <row r="39" spans="2:9" ht="15">
      <c r="B39" s="334" t="s">
        <v>13957</v>
      </c>
      <c r="C39" s="337"/>
      <c r="D39" s="337"/>
      <c r="F39" s="337"/>
      <c r="H39" s="337"/>
    </row>
    <row r="40" spans="2:9">
      <c r="B40" s="326" t="s">
        <v>13994</v>
      </c>
      <c r="C40" s="338"/>
      <c r="D40" s="339"/>
      <c r="E40" s="327"/>
      <c r="F40" s="340"/>
      <c r="G40" s="327"/>
      <c r="H40" s="337"/>
      <c r="I40" s="332" t="s">
        <v>13959</v>
      </c>
    </row>
    <row r="41" spans="2:9">
      <c r="B41" s="326" t="s">
        <v>13995</v>
      </c>
      <c r="C41" s="338"/>
      <c r="D41" s="339"/>
      <c r="E41" s="327"/>
      <c r="F41" s="340"/>
      <c r="G41" s="327"/>
      <c r="H41" s="337"/>
      <c r="I41" s="332" t="s">
        <v>13961</v>
      </c>
    </row>
    <row r="42" spans="2:9" ht="15">
      <c r="B42" s="334" t="s">
        <v>13962</v>
      </c>
      <c r="C42" s="337"/>
      <c r="D42" s="337"/>
      <c r="F42" s="337"/>
      <c r="H42" s="337"/>
    </row>
    <row r="43" spans="2:9">
      <c r="B43" s="326" t="s">
        <v>13996</v>
      </c>
      <c r="C43" s="338"/>
      <c r="D43" s="339"/>
      <c r="E43" s="327"/>
      <c r="F43" s="340"/>
      <c r="G43" s="327"/>
      <c r="H43" s="337"/>
      <c r="I43" s="332" t="s">
        <v>13964</v>
      </c>
    </row>
    <row r="44" spans="2:9">
      <c r="B44" s="326" t="s">
        <v>13997</v>
      </c>
      <c r="C44" s="338"/>
      <c r="D44" s="339"/>
      <c r="E44" s="327"/>
      <c r="F44" s="340"/>
      <c r="G44" s="327"/>
      <c r="H44" s="337"/>
      <c r="I44" s="332" t="s">
        <v>13998</v>
      </c>
    </row>
    <row r="45" spans="2:9">
      <c r="B45" s="326" t="s">
        <v>13999</v>
      </c>
      <c r="C45" s="338"/>
      <c r="D45" s="339"/>
      <c r="E45" s="327"/>
      <c r="F45" s="340"/>
      <c r="G45" s="327"/>
      <c r="H45" s="337"/>
      <c r="I45" s="332" t="s">
        <v>13968</v>
      </c>
    </row>
    <row r="46" spans="2:9">
      <c r="B46" s="326" t="s">
        <v>14000</v>
      </c>
      <c r="C46" s="338"/>
      <c r="D46" s="339"/>
      <c r="E46" s="327"/>
      <c r="F46" s="340"/>
      <c r="G46" s="327"/>
      <c r="H46" s="337"/>
      <c r="I46" s="332" t="s">
        <v>13970</v>
      </c>
    </row>
    <row r="47" spans="2:9" ht="15">
      <c r="B47" s="334" t="s">
        <v>13971</v>
      </c>
      <c r="C47" s="337"/>
      <c r="D47" s="337"/>
      <c r="F47" s="337"/>
      <c r="H47" s="337"/>
    </row>
    <row r="48" spans="2:9">
      <c r="B48" s="326" t="s">
        <v>14001</v>
      </c>
      <c r="C48" s="338"/>
      <c r="D48" s="339"/>
      <c r="E48" s="327"/>
      <c r="F48" s="340"/>
      <c r="G48" s="327"/>
      <c r="H48" s="337"/>
      <c r="I48" s="332" t="s">
        <v>13973</v>
      </c>
    </row>
    <row r="49" spans="2:11">
      <c r="B49" s="326" t="s">
        <v>14002</v>
      </c>
      <c r="C49" s="338"/>
      <c r="D49" s="339"/>
      <c r="E49" s="327"/>
      <c r="F49" s="340"/>
      <c r="G49" s="327"/>
      <c r="H49" s="337"/>
      <c r="I49" s="332" t="s">
        <v>13975</v>
      </c>
    </row>
    <row r="50" spans="2:11">
      <c r="B50" s="326" t="s">
        <v>14003</v>
      </c>
      <c r="C50" s="338"/>
      <c r="D50" s="339"/>
      <c r="E50" s="327"/>
      <c r="F50" s="340"/>
      <c r="G50" s="327"/>
      <c r="H50" s="337"/>
      <c r="I50" s="332" t="s">
        <v>13977</v>
      </c>
    </row>
    <row r="51" spans="2:11" hidden="1">
      <c r="B51" s="337"/>
      <c r="C51" s="338">
        <v>0.05</v>
      </c>
      <c r="D51" s="339"/>
      <c r="E51" s="94"/>
      <c r="F51" s="340"/>
      <c r="G51" s="94"/>
      <c r="H51" s="337"/>
    </row>
    <row r="52" spans="2:11">
      <c r="B52" s="326" t="s">
        <v>14004</v>
      </c>
      <c r="C52" s="338"/>
      <c r="D52" s="339"/>
      <c r="E52" s="327"/>
      <c r="F52" s="340"/>
      <c r="G52" s="327"/>
      <c r="H52" s="337"/>
      <c r="I52" s="332" t="s">
        <v>13979</v>
      </c>
    </row>
    <row r="53" spans="2:11" ht="15">
      <c r="B53" s="334" t="s">
        <v>13980</v>
      </c>
      <c r="C53" s="337"/>
      <c r="D53" s="337"/>
      <c r="F53" s="337"/>
      <c r="H53" s="337"/>
    </row>
    <row r="54" spans="2:11">
      <c r="B54" s="326" t="s">
        <v>14005</v>
      </c>
      <c r="C54" s="338"/>
      <c r="D54" s="339"/>
      <c r="E54" s="327"/>
      <c r="F54" s="340"/>
      <c r="G54" s="327"/>
      <c r="H54" s="337"/>
      <c r="I54" s="332" t="s">
        <v>13982</v>
      </c>
    </row>
    <row r="55" spans="2:11">
      <c r="B55" s="326" t="s">
        <v>14006</v>
      </c>
      <c r="C55" s="338"/>
      <c r="D55" s="339"/>
      <c r="E55" s="327"/>
      <c r="F55" s="340"/>
      <c r="G55" s="327"/>
      <c r="H55" s="337"/>
      <c r="I55" s="332" t="s">
        <v>13984</v>
      </c>
    </row>
    <row r="56" spans="2:11" ht="15">
      <c r="B56" s="331"/>
      <c r="C56" s="339"/>
      <c r="D56" s="339"/>
      <c r="E56" s="341"/>
      <c r="F56" s="339"/>
      <c r="G56" s="341"/>
      <c r="H56" s="337"/>
    </row>
    <row r="57" spans="2:11">
      <c r="B57" s="326" t="s">
        <v>14007</v>
      </c>
      <c r="C57" s="338"/>
      <c r="D57" s="339"/>
      <c r="E57" s="327"/>
      <c r="F57" s="339"/>
      <c r="G57" s="327"/>
      <c r="H57" s="337"/>
      <c r="I57" s="332" t="s">
        <v>13986</v>
      </c>
    </row>
    <row r="59" spans="2:11">
      <c r="B59" s="326" t="s">
        <v>14008</v>
      </c>
      <c r="E59" s="343"/>
      <c r="I59" s="332" t="s">
        <v>14009</v>
      </c>
      <c r="K59" s="343"/>
    </row>
  </sheetData>
  <pageMargins left="0.78740157480314965" right="0" top="0.39370078740157483" bottom="0.19685039370078741" header="0.39370078740157483" footer="0"/>
  <pageSetup paperSize="9" orientation="portrait" horizontalDpi="4294967295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5"/>
  <dimension ref="A1:B43"/>
  <sheetViews>
    <sheetView workbookViewId="0">
      <selection activeCell="B9" sqref="A1:B9"/>
    </sheetView>
  </sheetViews>
  <sheetFormatPr defaultRowHeight="12.75"/>
  <cols>
    <col min="1" max="1" width="23.140625" style="88" customWidth="1"/>
    <col min="2" max="2" width="18.28515625" style="346" customWidth="1"/>
    <col min="3" max="3" width="18.7109375" style="88" customWidth="1"/>
    <col min="4" max="256" width="8.85546875" style="88"/>
    <col min="257" max="257" width="23.140625" style="88" customWidth="1"/>
    <col min="258" max="258" width="18.28515625" style="88" customWidth="1"/>
    <col min="259" max="259" width="18.7109375" style="88" customWidth="1"/>
    <col min="260" max="512" width="8.85546875" style="88"/>
    <col min="513" max="513" width="23.140625" style="88" customWidth="1"/>
    <col min="514" max="514" width="18.28515625" style="88" customWidth="1"/>
    <col min="515" max="515" width="18.7109375" style="88" customWidth="1"/>
    <col min="516" max="768" width="8.85546875" style="88"/>
    <col min="769" max="769" width="23.140625" style="88" customWidth="1"/>
    <col min="770" max="770" width="18.28515625" style="88" customWidth="1"/>
    <col min="771" max="771" width="18.7109375" style="88" customWidth="1"/>
    <col min="772" max="1024" width="8.85546875" style="88"/>
    <col min="1025" max="1025" width="23.140625" style="88" customWidth="1"/>
    <col min="1026" max="1026" width="18.28515625" style="88" customWidth="1"/>
    <col min="1027" max="1027" width="18.7109375" style="88" customWidth="1"/>
    <col min="1028" max="1280" width="8.85546875" style="88"/>
    <col min="1281" max="1281" width="23.140625" style="88" customWidth="1"/>
    <col min="1282" max="1282" width="18.28515625" style="88" customWidth="1"/>
    <col min="1283" max="1283" width="18.7109375" style="88" customWidth="1"/>
    <col min="1284" max="1536" width="8.85546875" style="88"/>
    <col min="1537" max="1537" width="23.140625" style="88" customWidth="1"/>
    <col min="1538" max="1538" width="18.28515625" style="88" customWidth="1"/>
    <col min="1539" max="1539" width="18.7109375" style="88" customWidth="1"/>
    <col min="1540" max="1792" width="8.85546875" style="88"/>
    <col min="1793" max="1793" width="23.140625" style="88" customWidth="1"/>
    <col min="1794" max="1794" width="18.28515625" style="88" customWidth="1"/>
    <col min="1795" max="1795" width="18.7109375" style="88" customWidth="1"/>
    <col min="1796" max="2048" width="8.85546875" style="88"/>
    <col min="2049" max="2049" width="23.140625" style="88" customWidth="1"/>
    <col min="2050" max="2050" width="18.28515625" style="88" customWidth="1"/>
    <col min="2051" max="2051" width="18.7109375" style="88" customWidth="1"/>
    <col min="2052" max="2304" width="8.85546875" style="88"/>
    <col min="2305" max="2305" width="23.140625" style="88" customWidth="1"/>
    <col min="2306" max="2306" width="18.28515625" style="88" customWidth="1"/>
    <col min="2307" max="2307" width="18.7109375" style="88" customWidth="1"/>
    <col min="2308" max="2560" width="8.85546875" style="88"/>
    <col min="2561" max="2561" width="23.140625" style="88" customWidth="1"/>
    <col min="2562" max="2562" width="18.28515625" style="88" customWidth="1"/>
    <col min="2563" max="2563" width="18.7109375" style="88" customWidth="1"/>
    <col min="2564" max="2816" width="8.85546875" style="88"/>
    <col min="2817" max="2817" width="23.140625" style="88" customWidth="1"/>
    <col min="2818" max="2818" width="18.28515625" style="88" customWidth="1"/>
    <col min="2819" max="2819" width="18.7109375" style="88" customWidth="1"/>
    <col min="2820" max="3072" width="8.85546875" style="88"/>
    <col min="3073" max="3073" width="23.140625" style="88" customWidth="1"/>
    <col min="3074" max="3074" width="18.28515625" style="88" customWidth="1"/>
    <col min="3075" max="3075" width="18.7109375" style="88" customWidth="1"/>
    <col min="3076" max="3328" width="8.85546875" style="88"/>
    <col min="3329" max="3329" width="23.140625" style="88" customWidth="1"/>
    <col min="3330" max="3330" width="18.28515625" style="88" customWidth="1"/>
    <col min="3331" max="3331" width="18.7109375" style="88" customWidth="1"/>
    <col min="3332" max="3584" width="8.85546875" style="88"/>
    <col min="3585" max="3585" width="23.140625" style="88" customWidth="1"/>
    <col min="3586" max="3586" width="18.28515625" style="88" customWidth="1"/>
    <col min="3587" max="3587" width="18.7109375" style="88" customWidth="1"/>
    <col min="3588" max="3840" width="8.85546875" style="88"/>
    <col min="3841" max="3841" width="23.140625" style="88" customWidth="1"/>
    <col min="3842" max="3842" width="18.28515625" style="88" customWidth="1"/>
    <col min="3843" max="3843" width="18.7109375" style="88" customWidth="1"/>
    <col min="3844" max="4096" width="8.85546875" style="88"/>
    <col min="4097" max="4097" width="23.140625" style="88" customWidth="1"/>
    <col min="4098" max="4098" width="18.28515625" style="88" customWidth="1"/>
    <col min="4099" max="4099" width="18.7109375" style="88" customWidth="1"/>
    <col min="4100" max="4352" width="8.85546875" style="88"/>
    <col min="4353" max="4353" width="23.140625" style="88" customWidth="1"/>
    <col min="4354" max="4354" width="18.28515625" style="88" customWidth="1"/>
    <col min="4355" max="4355" width="18.7109375" style="88" customWidth="1"/>
    <col min="4356" max="4608" width="8.85546875" style="88"/>
    <col min="4609" max="4609" width="23.140625" style="88" customWidth="1"/>
    <col min="4610" max="4610" width="18.28515625" style="88" customWidth="1"/>
    <col min="4611" max="4611" width="18.7109375" style="88" customWidth="1"/>
    <col min="4612" max="4864" width="8.85546875" style="88"/>
    <col min="4865" max="4865" width="23.140625" style="88" customWidth="1"/>
    <col min="4866" max="4866" width="18.28515625" style="88" customWidth="1"/>
    <col min="4867" max="4867" width="18.7109375" style="88" customWidth="1"/>
    <col min="4868" max="5120" width="8.85546875" style="88"/>
    <col min="5121" max="5121" width="23.140625" style="88" customWidth="1"/>
    <col min="5122" max="5122" width="18.28515625" style="88" customWidth="1"/>
    <col min="5123" max="5123" width="18.7109375" style="88" customWidth="1"/>
    <col min="5124" max="5376" width="8.85546875" style="88"/>
    <col min="5377" max="5377" width="23.140625" style="88" customWidth="1"/>
    <col min="5378" max="5378" width="18.28515625" style="88" customWidth="1"/>
    <col min="5379" max="5379" width="18.7109375" style="88" customWidth="1"/>
    <col min="5380" max="5632" width="8.85546875" style="88"/>
    <col min="5633" max="5633" width="23.140625" style="88" customWidth="1"/>
    <col min="5634" max="5634" width="18.28515625" style="88" customWidth="1"/>
    <col min="5635" max="5635" width="18.7109375" style="88" customWidth="1"/>
    <col min="5636" max="5888" width="8.85546875" style="88"/>
    <col min="5889" max="5889" width="23.140625" style="88" customWidth="1"/>
    <col min="5890" max="5890" width="18.28515625" style="88" customWidth="1"/>
    <col min="5891" max="5891" width="18.7109375" style="88" customWidth="1"/>
    <col min="5892" max="6144" width="8.85546875" style="88"/>
    <col min="6145" max="6145" width="23.140625" style="88" customWidth="1"/>
    <col min="6146" max="6146" width="18.28515625" style="88" customWidth="1"/>
    <col min="6147" max="6147" width="18.7109375" style="88" customWidth="1"/>
    <col min="6148" max="6400" width="8.85546875" style="88"/>
    <col min="6401" max="6401" width="23.140625" style="88" customWidth="1"/>
    <col min="6402" max="6402" width="18.28515625" style="88" customWidth="1"/>
    <col min="6403" max="6403" width="18.7109375" style="88" customWidth="1"/>
    <col min="6404" max="6656" width="8.85546875" style="88"/>
    <col min="6657" max="6657" width="23.140625" style="88" customWidth="1"/>
    <col min="6658" max="6658" width="18.28515625" style="88" customWidth="1"/>
    <col min="6659" max="6659" width="18.7109375" style="88" customWidth="1"/>
    <col min="6660" max="6912" width="8.85546875" style="88"/>
    <col min="6913" max="6913" width="23.140625" style="88" customWidth="1"/>
    <col min="6914" max="6914" width="18.28515625" style="88" customWidth="1"/>
    <col min="6915" max="6915" width="18.7109375" style="88" customWidth="1"/>
    <col min="6916" max="7168" width="8.85546875" style="88"/>
    <col min="7169" max="7169" width="23.140625" style="88" customWidth="1"/>
    <col min="7170" max="7170" width="18.28515625" style="88" customWidth="1"/>
    <col min="7171" max="7171" width="18.7109375" style="88" customWidth="1"/>
    <col min="7172" max="7424" width="8.85546875" style="88"/>
    <col min="7425" max="7425" width="23.140625" style="88" customWidth="1"/>
    <col min="7426" max="7426" width="18.28515625" style="88" customWidth="1"/>
    <col min="7427" max="7427" width="18.7109375" style="88" customWidth="1"/>
    <col min="7428" max="7680" width="8.85546875" style="88"/>
    <col min="7681" max="7681" width="23.140625" style="88" customWidth="1"/>
    <col min="7682" max="7682" width="18.28515625" style="88" customWidth="1"/>
    <col min="7683" max="7683" width="18.7109375" style="88" customWidth="1"/>
    <col min="7684" max="7936" width="8.85546875" style="88"/>
    <col min="7937" max="7937" width="23.140625" style="88" customWidth="1"/>
    <col min="7938" max="7938" width="18.28515625" style="88" customWidth="1"/>
    <col min="7939" max="7939" width="18.7109375" style="88" customWidth="1"/>
    <col min="7940" max="8192" width="8.85546875" style="88"/>
    <col min="8193" max="8193" width="23.140625" style="88" customWidth="1"/>
    <col min="8194" max="8194" width="18.28515625" style="88" customWidth="1"/>
    <col min="8195" max="8195" width="18.7109375" style="88" customWidth="1"/>
    <col min="8196" max="8448" width="8.85546875" style="88"/>
    <col min="8449" max="8449" width="23.140625" style="88" customWidth="1"/>
    <col min="8450" max="8450" width="18.28515625" style="88" customWidth="1"/>
    <col min="8451" max="8451" width="18.7109375" style="88" customWidth="1"/>
    <col min="8452" max="8704" width="8.85546875" style="88"/>
    <col min="8705" max="8705" width="23.140625" style="88" customWidth="1"/>
    <col min="8706" max="8706" width="18.28515625" style="88" customWidth="1"/>
    <col min="8707" max="8707" width="18.7109375" style="88" customWidth="1"/>
    <col min="8708" max="8960" width="8.85546875" style="88"/>
    <col min="8961" max="8961" width="23.140625" style="88" customWidth="1"/>
    <col min="8962" max="8962" width="18.28515625" style="88" customWidth="1"/>
    <col min="8963" max="8963" width="18.7109375" style="88" customWidth="1"/>
    <col min="8964" max="9216" width="8.85546875" style="88"/>
    <col min="9217" max="9217" width="23.140625" style="88" customWidth="1"/>
    <col min="9218" max="9218" width="18.28515625" style="88" customWidth="1"/>
    <col min="9219" max="9219" width="18.7109375" style="88" customWidth="1"/>
    <col min="9220" max="9472" width="8.85546875" style="88"/>
    <col min="9473" max="9473" width="23.140625" style="88" customWidth="1"/>
    <col min="9474" max="9474" width="18.28515625" style="88" customWidth="1"/>
    <col min="9475" max="9475" width="18.7109375" style="88" customWidth="1"/>
    <col min="9476" max="9728" width="8.85546875" style="88"/>
    <col min="9729" max="9729" width="23.140625" style="88" customWidth="1"/>
    <col min="9730" max="9730" width="18.28515625" style="88" customWidth="1"/>
    <col min="9731" max="9731" width="18.7109375" style="88" customWidth="1"/>
    <col min="9732" max="9984" width="8.85546875" style="88"/>
    <col min="9985" max="9985" width="23.140625" style="88" customWidth="1"/>
    <col min="9986" max="9986" width="18.28515625" style="88" customWidth="1"/>
    <col min="9987" max="9987" width="18.7109375" style="88" customWidth="1"/>
    <col min="9988" max="10240" width="8.85546875" style="88"/>
    <col min="10241" max="10241" width="23.140625" style="88" customWidth="1"/>
    <col min="10242" max="10242" width="18.28515625" style="88" customWidth="1"/>
    <col min="10243" max="10243" width="18.7109375" style="88" customWidth="1"/>
    <col min="10244" max="10496" width="8.85546875" style="88"/>
    <col min="10497" max="10497" width="23.140625" style="88" customWidth="1"/>
    <col min="10498" max="10498" width="18.28515625" style="88" customWidth="1"/>
    <col min="10499" max="10499" width="18.7109375" style="88" customWidth="1"/>
    <col min="10500" max="10752" width="8.85546875" style="88"/>
    <col min="10753" max="10753" width="23.140625" style="88" customWidth="1"/>
    <col min="10754" max="10754" width="18.28515625" style="88" customWidth="1"/>
    <col min="10755" max="10755" width="18.7109375" style="88" customWidth="1"/>
    <col min="10756" max="11008" width="8.85546875" style="88"/>
    <col min="11009" max="11009" width="23.140625" style="88" customWidth="1"/>
    <col min="11010" max="11010" width="18.28515625" style="88" customWidth="1"/>
    <col min="11011" max="11011" width="18.7109375" style="88" customWidth="1"/>
    <col min="11012" max="11264" width="8.85546875" style="88"/>
    <col min="11265" max="11265" width="23.140625" style="88" customWidth="1"/>
    <col min="11266" max="11266" width="18.28515625" style="88" customWidth="1"/>
    <col min="11267" max="11267" width="18.7109375" style="88" customWidth="1"/>
    <col min="11268" max="11520" width="8.85546875" style="88"/>
    <col min="11521" max="11521" width="23.140625" style="88" customWidth="1"/>
    <col min="11522" max="11522" width="18.28515625" style="88" customWidth="1"/>
    <col min="11523" max="11523" width="18.7109375" style="88" customWidth="1"/>
    <col min="11524" max="11776" width="8.85546875" style="88"/>
    <col min="11777" max="11777" width="23.140625" style="88" customWidth="1"/>
    <col min="11778" max="11778" width="18.28515625" style="88" customWidth="1"/>
    <col min="11779" max="11779" width="18.7109375" style="88" customWidth="1"/>
    <col min="11780" max="12032" width="8.85546875" style="88"/>
    <col min="12033" max="12033" width="23.140625" style="88" customWidth="1"/>
    <col min="12034" max="12034" width="18.28515625" style="88" customWidth="1"/>
    <col min="12035" max="12035" width="18.7109375" style="88" customWidth="1"/>
    <col min="12036" max="12288" width="8.85546875" style="88"/>
    <col min="12289" max="12289" width="23.140625" style="88" customWidth="1"/>
    <col min="12290" max="12290" width="18.28515625" style="88" customWidth="1"/>
    <col min="12291" max="12291" width="18.7109375" style="88" customWidth="1"/>
    <col min="12292" max="12544" width="8.85546875" style="88"/>
    <col min="12545" max="12545" width="23.140625" style="88" customWidth="1"/>
    <col min="12546" max="12546" width="18.28515625" style="88" customWidth="1"/>
    <col min="12547" max="12547" width="18.7109375" style="88" customWidth="1"/>
    <col min="12548" max="12800" width="8.85546875" style="88"/>
    <col min="12801" max="12801" width="23.140625" style="88" customWidth="1"/>
    <col min="12802" max="12802" width="18.28515625" style="88" customWidth="1"/>
    <col min="12803" max="12803" width="18.7109375" style="88" customWidth="1"/>
    <col min="12804" max="13056" width="8.85546875" style="88"/>
    <col min="13057" max="13057" width="23.140625" style="88" customWidth="1"/>
    <col min="13058" max="13058" width="18.28515625" style="88" customWidth="1"/>
    <col min="13059" max="13059" width="18.7109375" style="88" customWidth="1"/>
    <col min="13060" max="13312" width="8.85546875" style="88"/>
    <col min="13313" max="13313" width="23.140625" style="88" customWidth="1"/>
    <col min="13314" max="13314" width="18.28515625" style="88" customWidth="1"/>
    <col min="13315" max="13315" width="18.7109375" style="88" customWidth="1"/>
    <col min="13316" max="13568" width="8.85546875" style="88"/>
    <col min="13569" max="13569" width="23.140625" style="88" customWidth="1"/>
    <col min="13570" max="13570" width="18.28515625" style="88" customWidth="1"/>
    <col min="13571" max="13571" width="18.7109375" style="88" customWidth="1"/>
    <col min="13572" max="13824" width="8.85546875" style="88"/>
    <col min="13825" max="13825" width="23.140625" style="88" customWidth="1"/>
    <col min="13826" max="13826" width="18.28515625" style="88" customWidth="1"/>
    <col min="13827" max="13827" width="18.7109375" style="88" customWidth="1"/>
    <col min="13828" max="14080" width="8.85546875" style="88"/>
    <col min="14081" max="14081" width="23.140625" style="88" customWidth="1"/>
    <col min="14082" max="14082" width="18.28515625" style="88" customWidth="1"/>
    <col min="14083" max="14083" width="18.7109375" style="88" customWidth="1"/>
    <col min="14084" max="14336" width="8.85546875" style="88"/>
    <col min="14337" max="14337" width="23.140625" style="88" customWidth="1"/>
    <col min="14338" max="14338" width="18.28515625" style="88" customWidth="1"/>
    <col min="14339" max="14339" width="18.7109375" style="88" customWidth="1"/>
    <col min="14340" max="14592" width="8.85546875" style="88"/>
    <col min="14593" max="14593" width="23.140625" style="88" customWidth="1"/>
    <col min="14594" max="14594" width="18.28515625" style="88" customWidth="1"/>
    <col min="14595" max="14595" width="18.7109375" style="88" customWidth="1"/>
    <col min="14596" max="14848" width="8.85546875" style="88"/>
    <col min="14849" max="14849" width="23.140625" style="88" customWidth="1"/>
    <col min="14850" max="14850" width="18.28515625" style="88" customWidth="1"/>
    <col min="14851" max="14851" width="18.7109375" style="88" customWidth="1"/>
    <col min="14852" max="15104" width="8.85546875" style="88"/>
    <col min="15105" max="15105" width="23.140625" style="88" customWidth="1"/>
    <col min="15106" max="15106" width="18.28515625" style="88" customWidth="1"/>
    <col min="15107" max="15107" width="18.7109375" style="88" customWidth="1"/>
    <col min="15108" max="15360" width="8.85546875" style="88"/>
    <col min="15361" max="15361" width="23.140625" style="88" customWidth="1"/>
    <col min="15362" max="15362" width="18.28515625" style="88" customWidth="1"/>
    <col min="15363" max="15363" width="18.7109375" style="88" customWidth="1"/>
    <col min="15364" max="15616" width="8.85546875" style="88"/>
    <col min="15617" max="15617" width="23.140625" style="88" customWidth="1"/>
    <col min="15618" max="15618" width="18.28515625" style="88" customWidth="1"/>
    <col min="15619" max="15619" width="18.7109375" style="88" customWidth="1"/>
    <col min="15620" max="15872" width="8.85546875" style="88"/>
    <col min="15873" max="15873" width="23.140625" style="88" customWidth="1"/>
    <col min="15874" max="15874" width="18.28515625" style="88" customWidth="1"/>
    <col min="15875" max="15875" width="18.7109375" style="88" customWidth="1"/>
    <col min="15876" max="16128" width="8.85546875" style="88"/>
    <col min="16129" max="16129" width="23.140625" style="88" customWidth="1"/>
    <col min="16130" max="16130" width="18.28515625" style="88" customWidth="1"/>
    <col min="16131" max="16131" width="18.7109375" style="88" customWidth="1"/>
    <col min="16132" max="16384" width="8.85546875" style="88"/>
  </cols>
  <sheetData>
    <row r="1" spans="1:2" ht="18.95" customHeight="1">
      <c r="A1" s="88" t="s">
        <v>13657</v>
      </c>
      <c r="B1" s="344">
        <f>PowrtSkiving!E20</f>
        <v>0</v>
      </c>
    </row>
    <row r="2" spans="1:2" ht="18.95" customHeight="1">
      <c r="A2" s="88" t="s">
        <v>14010</v>
      </c>
      <c r="B2" s="345"/>
    </row>
    <row r="3" spans="1:2" ht="18.95" customHeight="1">
      <c r="A3" s="88" t="s">
        <v>13658</v>
      </c>
      <c r="B3" s="344" t="str">
        <f ca="1">PowrtSkiving!B1</f>
        <v>main powerskyving</v>
      </c>
    </row>
    <row r="4" spans="1:2" ht="18.95" customHeight="1">
      <c r="A4" s="88" t="s">
        <v>13936</v>
      </c>
      <c r="B4" s="97">
        <f>PowrtSkiving!D4</f>
        <v>1.2057551778804803</v>
      </c>
    </row>
    <row r="5" spans="1:2" ht="18.95" customHeight="1">
      <c r="A5" s="88" t="s">
        <v>14011</v>
      </c>
      <c r="B5" s="97">
        <f>PowrtSkiving!H22</f>
        <v>0</v>
      </c>
    </row>
    <row r="6" spans="1:2" ht="18.95" customHeight="1">
      <c r="A6" s="88" t="s">
        <v>14012</v>
      </c>
      <c r="B6" s="344">
        <f>PowrtSkiving!D7</f>
        <v>0</v>
      </c>
    </row>
    <row r="7" spans="1:2" ht="18.95" customHeight="1">
      <c r="A7" s="88" t="s">
        <v>14013</v>
      </c>
      <c r="B7" s="344">
        <f>PowrtSkiving!E9</f>
        <v>0</v>
      </c>
    </row>
    <row r="8" spans="1:2" ht="18.95" customHeight="1">
      <c r="A8" s="88" t="s">
        <v>14014</v>
      </c>
    </row>
    <row r="9" spans="1:2" ht="18.95" customHeight="1">
      <c r="A9" s="88" t="s">
        <v>13941</v>
      </c>
      <c r="B9" s="345"/>
    </row>
    <row r="10" spans="1:2" ht="18.95" customHeight="1"/>
    <row r="11" spans="1:2" ht="18.95" customHeight="1"/>
    <row r="12" spans="1:2" ht="18.95" customHeight="1"/>
    <row r="13" spans="1:2" ht="18.95" customHeight="1"/>
    <row r="14" spans="1:2" ht="18.95" customHeight="1"/>
    <row r="15" spans="1:2" ht="18.95" customHeight="1"/>
    <row r="16" spans="1:2" ht="18.95" customHeight="1"/>
    <row r="17" ht="18.95" customHeight="1"/>
    <row r="18" ht="18.95" customHeight="1"/>
    <row r="19" ht="18.95" customHeight="1"/>
    <row r="20" ht="18.95" customHeight="1"/>
    <row r="21" ht="18.95" customHeight="1"/>
    <row r="22" ht="18.95" customHeight="1"/>
    <row r="23" ht="18.95" customHeight="1"/>
    <row r="24" ht="18.95" customHeight="1"/>
    <row r="25" ht="18.95" customHeight="1"/>
    <row r="26" ht="18.95" customHeight="1"/>
    <row r="27" ht="18.95" customHeight="1"/>
    <row r="28" ht="18.95" customHeight="1"/>
    <row r="29" ht="18.95" customHeight="1"/>
    <row r="30" ht="18.95" customHeight="1"/>
    <row r="31" ht="18.95" customHeight="1"/>
    <row r="32" ht="18.95" customHeight="1"/>
    <row r="33" ht="18.95" customHeight="1"/>
    <row r="34" ht="18.95" customHeight="1"/>
    <row r="35" ht="18.95" customHeight="1"/>
    <row r="36" ht="18.95" customHeight="1"/>
    <row r="37" ht="18.95" customHeight="1"/>
    <row r="38" ht="18.95" customHeight="1"/>
    <row r="39" ht="18.95" customHeight="1"/>
    <row r="40" ht="18.95" customHeight="1"/>
    <row r="41" ht="18.95" customHeight="1"/>
    <row r="42" ht="18.95" customHeight="1"/>
    <row r="43" ht="18.95" customHeight="1"/>
  </sheetData>
  <dataConsolidate/>
  <pageMargins left="0.75" right="0.75" top="1" bottom="1" header="0.5" footer="0.5"/>
  <pageSetup paperSize="9" orientation="portrait" horizontalDpi="4294967295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>
    <pageSetUpPr fitToPage="1"/>
  </sheetPr>
  <dimension ref="A1:BA13416"/>
  <sheetViews>
    <sheetView workbookViewId="0"/>
  </sheetViews>
  <sheetFormatPr defaultColWidth="9.140625" defaultRowHeight="15"/>
  <cols>
    <col min="1" max="1" width="12.42578125" style="167" customWidth="1"/>
    <col min="2" max="2" width="19" style="167" customWidth="1"/>
    <col min="3" max="3" width="13.7109375" style="162" customWidth="1"/>
    <col min="4" max="4" width="18.5703125" style="169" customWidth="1"/>
    <col min="5" max="5" width="21" style="169" customWidth="1"/>
    <col min="6" max="6" width="11.28515625" style="158" customWidth="1"/>
    <col min="7" max="7" width="10.140625" style="158" customWidth="1"/>
    <col min="8" max="9" width="13" style="158" customWidth="1"/>
    <col min="10" max="10" width="14.7109375" style="158" customWidth="1"/>
    <col min="11" max="11" width="15.5703125" style="158" customWidth="1"/>
    <col min="12" max="12" width="9.7109375" style="158" hidden="1" customWidth="1"/>
    <col min="13" max="17" width="9.140625" style="158" hidden="1" customWidth="1"/>
    <col min="18" max="18" width="11.5703125" style="158" hidden="1" customWidth="1"/>
    <col min="19" max="21" width="9.140625" style="158" hidden="1" customWidth="1"/>
    <col min="22" max="22" width="17.7109375" style="158" hidden="1" customWidth="1"/>
    <col min="23" max="23" width="10.42578125" style="158" hidden="1" customWidth="1"/>
    <col min="24" max="24" width="11.42578125" style="158" hidden="1" customWidth="1"/>
    <col min="25" max="26" width="9.140625" style="158" hidden="1" customWidth="1"/>
    <col min="27" max="27" width="9.7109375" style="158" hidden="1" customWidth="1"/>
    <col min="28" max="28" width="9.7109375" style="158" bestFit="1" customWidth="1"/>
    <col min="29" max="30" width="9.140625" style="158"/>
    <col min="31" max="31" width="12.42578125" style="158" customWidth="1"/>
    <col min="32" max="32" width="10.28515625" style="158" customWidth="1"/>
    <col min="33" max="52" width="9.140625" style="158"/>
    <col min="53" max="53" width="17" style="160" customWidth="1"/>
    <col min="54" max="16384" width="9.140625" style="158"/>
  </cols>
  <sheetData>
    <row r="1" spans="1:53" ht="17.25">
      <c r="A1" s="153">
        <f ca="1">NOW()</f>
        <v>43524.674062268517</v>
      </c>
      <c r="B1" s="154" t="str">
        <f ca="1">MID(CELL("FILENAME",H78),FIND("[",CELL("FILENAME",H78))+1,FIND("]",CELL("FILENAME",H78))-FIND("[",CELL("FILENAME",H78))-6)</f>
        <v>main powerskyving</v>
      </c>
      <c r="C1" s="155" t="s">
        <v>47</v>
      </c>
      <c r="D1" s="497" t="s">
        <v>19</v>
      </c>
      <c r="E1" s="497"/>
      <c r="F1" s="156" t="s">
        <v>13610</v>
      </c>
      <c r="G1" s="178" t="str">
        <f>PowrtSkiving!G1</f>
        <v>S.Guidolin</v>
      </c>
      <c r="V1" s="159"/>
      <c r="AA1" s="158" t="s">
        <v>1237</v>
      </c>
      <c r="AB1" s="158" t="e">
        <f>+H8*COS(ATAN(2*D8*PI()/'x Colt Ns Off'!K24))</f>
        <v>#DIV/0!</v>
      </c>
      <c r="BA1" s="160" t="s">
        <v>13621</v>
      </c>
    </row>
    <row r="2" spans="1:53" ht="20.100000000000001" customHeight="1">
      <c r="A2" s="161" t="s">
        <v>16</v>
      </c>
      <c r="B2" s="161" t="s">
        <v>13642</v>
      </c>
      <c r="D2" s="163" t="s">
        <v>17</v>
      </c>
      <c r="E2" s="163" t="s">
        <v>18</v>
      </c>
      <c r="H2" s="164" t="s">
        <v>107</v>
      </c>
      <c r="V2" s="159" t="s">
        <v>13516</v>
      </c>
      <c r="X2" s="165"/>
      <c r="AA2" s="158" t="s">
        <v>1238</v>
      </c>
      <c r="BA2" s="160" t="s">
        <v>13622</v>
      </c>
    </row>
    <row r="3" spans="1:53" ht="20.100000000000001" customHeight="1">
      <c r="A3" s="166"/>
      <c r="D3" s="168" t="s">
        <v>13641</v>
      </c>
      <c r="P3" s="158" t="str">
        <f>PowrtSkiving!$G$10</f>
        <v/>
      </c>
      <c r="V3" s="159" t="s">
        <v>13517</v>
      </c>
      <c r="X3" s="165"/>
      <c r="AA3" s="158" t="s">
        <v>1239</v>
      </c>
      <c r="BA3" s="160" t="s">
        <v>13623</v>
      </c>
    </row>
    <row r="4" spans="1:53" ht="20.100000000000001" customHeight="1">
      <c r="A4" s="166" t="s">
        <v>2</v>
      </c>
      <c r="B4" s="170">
        <f>PowrtSkiving!E4</f>
        <v>1.2057551778804803</v>
      </c>
      <c r="C4" s="171" t="e">
        <f>C5*COS(C9*PI()/180)</f>
        <v>#DIV/0!</v>
      </c>
      <c r="D4" s="172" t="e">
        <f>D5*COS(D9*PI()/180)</f>
        <v>#DIV/0!</v>
      </c>
      <c r="E4" s="172" t="e">
        <f>D4</f>
        <v>#DIV/0!</v>
      </c>
      <c r="F4" s="173"/>
      <c r="G4" s="173"/>
      <c r="X4" s="165"/>
      <c r="AA4" s="158" t="s">
        <v>1240</v>
      </c>
      <c r="BA4" s="160" t="s">
        <v>13614</v>
      </c>
    </row>
    <row r="5" spans="1:53" ht="20.100000000000001" customHeight="1">
      <c r="A5" s="166" t="s">
        <v>10</v>
      </c>
      <c r="B5" s="174">
        <f>B4/COS(B9*PI()/180)</f>
        <v>1.2057551778804803</v>
      </c>
      <c r="C5" s="171" t="e">
        <f>C17/C6</f>
        <v>#DIV/0!</v>
      </c>
      <c r="D5" s="172" t="e">
        <f>D17/D6</f>
        <v>#DIV/0!</v>
      </c>
      <c r="E5" s="172" t="e">
        <f>E4/COS(E9*PI()/180)</f>
        <v>#DIV/0!</v>
      </c>
      <c r="F5" s="173"/>
      <c r="G5" s="173"/>
      <c r="X5" s="165"/>
      <c r="AA5" s="158" t="s">
        <v>1241</v>
      </c>
      <c r="BA5" s="160" t="s">
        <v>13615</v>
      </c>
    </row>
    <row r="6" spans="1:53" ht="20.100000000000001" customHeight="1">
      <c r="A6" s="166" t="s">
        <v>0</v>
      </c>
      <c r="B6" s="170">
        <f>PowrtSkiving!H22</f>
        <v>0</v>
      </c>
      <c r="C6" s="171">
        <f>B6</f>
        <v>0</v>
      </c>
      <c r="D6" s="172">
        <f>B6</f>
        <v>0</v>
      </c>
      <c r="E6" s="172">
        <f>B6</f>
        <v>0</v>
      </c>
      <c r="F6" s="173"/>
      <c r="G6" s="173"/>
      <c r="X6" s="165"/>
      <c r="AA6" s="158" t="s">
        <v>123</v>
      </c>
      <c r="BA6" s="160" t="s">
        <v>13613</v>
      </c>
    </row>
    <row r="7" spans="1:53" ht="20.100000000000001" customHeight="1">
      <c r="A7" s="166" t="s">
        <v>12</v>
      </c>
      <c r="B7" s="170">
        <f>PowrtSkiving!E7</f>
        <v>0</v>
      </c>
      <c r="C7" s="171" t="e">
        <f>ATAN(TAN(C8*PI()/180)*COS(C9*PI()/180))*180/PI()</f>
        <v>#DIV/0!</v>
      </c>
      <c r="D7" s="175">
        <f>B7</f>
        <v>0</v>
      </c>
      <c r="E7" s="172">
        <f>D7</f>
        <v>0</v>
      </c>
      <c r="F7" s="173"/>
      <c r="G7" s="173"/>
      <c r="AA7" s="158" t="s">
        <v>124</v>
      </c>
      <c r="BA7" s="160" t="s">
        <v>13624</v>
      </c>
    </row>
    <row r="8" spans="1:53" ht="20.100000000000001" customHeight="1">
      <c r="A8" s="166" t="s">
        <v>11</v>
      </c>
      <c r="B8" s="174">
        <f>ATAN(TAN(B7*PI()/180)/COS(B9*PI()/180))*180/PI()</f>
        <v>0</v>
      </c>
      <c r="C8" s="171" t="e">
        <f>(ACOS(B18/C17)*180/PI())</f>
        <v>#DIV/0!</v>
      </c>
      <c r="D8" s="172">
        <f>ATAN(TAN(D7*PI()/180)/COS(D9*PI()/180))*180/PI()</f>
        <v>0</v>
      </c>
      <c r="E8" s="172">
        <f>ATAN(TAN(E7*PI()/180)/COS(E9*PI()/180))*180/PI()</f>
        <v>0</v>
      </c>
      <c r="F8" s="173"/>
      <c r="G8" s="173"/>
      <c r="AA8" s="158" t="s">
        <v>125</v>
      </c>
      <c r="BA8" s="160" t="s">
        <v>13557</v>
      </c>
    </row>
    <row r="9" spans="1:53" ht="20.100000000000001" customHeight="1">
      <c r="A9" s="166" t="s">
        <v>3</v>
      </c>
      <c r="B9" s="176">
        <f>PowrtSkiving!E9</f>
        <v>0</v>
      </c>
      <c r="C9" s="171" t="e">
        <f>ATAN(PI()*ABS(C17)/B29)*180/PI()</f>
        <v>#DIV/0!</v>
      </c>
      <c r="D9" s="172">
        <f>ASIN(SIN(B34)/COS((D7*PI()/180)))*180/PI()</f>
        <v>0</v>
      </c>
      <c r="E9" s="175">
        <f>B9</f>
        <v>0</v>
      </c>
      <c r="F9" s="162" t="s">
        <v>13518</v>
      </c>
      <c r="G9" s="177" t="str">
        <f>PowrtSkiving!G10</f>
        <v/>
      </c>
      <c r="AA9" s="158" t="s">
        <v>4129</v>
      </c>
      <c r="BA9" s="160" t="s">
        <v>13558</v>
      </c>
    </row>
    <row r="10" spans="1:53" ht="20.100000000000001" customHeight="1">
      <c r="A10" s="224" t="s">
        <v>13637</v>
      </c>
      <c r="B10" s="215"/>
      <c r="C10" s="171">
        <f>B10</f>
        <v>0</v>
      </c>
      <c r="D10" s="172">
        <f>IF($B$6&lt;0,-ABS(B10),ABS(B10))</f>
        <v>0</v>
      </c>
      <c r="E10" s="172" t="e">
        <f>E17+2*D25</f>
        <v>#DIV/0!</v>
      </c>
      <c r="F10" s="178" t="s">
        <v>13563</v>
      </c>
      <c r="G10" s="179" t="str">
        <f>IF(G9="","",R213)</f>
        <v/>
      </c>
      <c r="AA10" s="158" t="s">
        <v>4130</v>
      </c>
      <c r="BA10" s="160" t="s">
        <v>13625</v>
      </c>
    </row>
    <row r="11" spans="1:53" ht="20.100000000000001" customHeight="1">
      <c r="A11" s="224" t="s">
        <v>13638</v>
      </c>
      <c r="B11" s="215"/>
      <c r="C11" s="171">
        <f>B11</f>
        <v>0</v>
      </c>
      <c r="D11" s="172">
        <f>IF($B$6&lt;0,-ABS(B11),ABS(B11))</f>
        <v>0</v>
      </c>
      <c r="E11" s="172" t="e">
        <f>E17-2*D26</f>
        <v>#DIV/0!</v>
      </c>
      <c r="AA11" s="158" t="s">
        <v>4131</v>
      </c>
      <c r="BA11" s="160" t="s">
        <v>47</v>
      </c>
    </row>
    <row r="12" spans="1:53" ht="20.100000000000001" customHeight="1">
      <c r="A12" s="224" t="s">
        <v>13639</v>
      </c>
      <c r="B12" s="215"/>
      <c r="C12" s="171"/>
      <c r="D12" s="172">
        <f>IF($B$6&lt;0,-ABS(B12),ABS(B12))</f>
        <v>0</v>
      </c>
      <c r="E12" s="172" t="str">
        <f>IF(B12,E17+2*D27,"")</f>
        <v/>
      </c>
      <c r="F12" s="162" t="str">
        <f>IF(B12,"Ang.Semit. :","")</f>
        <v/>
      </c>
      <c r="G12" s="221"/>
      <c r="AA12" s="158" t="s">
        <v>4132</v>
      </c>
      <c r="BA12" s="160" t="s">
        <v>13609</v>
      </c>
    </row>
    <row r="13" spans="1:53" ht="20.100000000000001" customHeight="1">
      <c r="A13" s="224" t="s">
        <v>13640</v>
      </c>
      <c r="B13" s="216"/>
      <c r="C13" s="171"/>
      <c r="D13" s="172">
        <f>IF($B$6&lt;0,-ABS(B13),ABS(B13))</f>
        <v>0</v>
      </c>
      <c r="E13" s="172" t="str">
        <f>IF(B13,($E$17-2*$D$28)," ")</f>
        <v xml:space="preserve"> </v>
      </c>
      <c r="G13" s="220"/>
      <c r="AA13" s="158" t="s">
        <v>1242</v>
      </c>
      <c r="BA13" s="160" t="s">
        <v>13626</v>
      </c>
    </row>
    <row r="14" spans="1:53" ht="20.100000000000001" customHeight="1">
      <c r="A14" s="166"/>
      <c r="B14" s="180"/>
      <c r="C14" s="171"/>
      <c r="D14" s="172"/>
      <c r="E14" s="172"/>
      <c r="AA14" s="158" t="s">
        <v>4133</v>
      </c>
      <c r="BA14" s="160" t="s">
        <v>13620</v>
      </c>
    </row>
    <row r="15" spans="1:53" ht="20.100000000000001" customHeight="1">
      <c r="A15" s="222" t="s">
        <v>13643</v>
      </c>
      <c r="B15" s="225"/>
      <c r="C15" s="223" t="str">
        <f>PowrtSkiving!C38</f>
        <v>Spn0=-0.337125867142435</v>
      </c>
      <c r="D15" s="172">
        <f>B15</f>
        <v>0</v>
      </c>
      <c r="E15" s="172">
        <f>D15</f>
        <v>0</v>
      </c>
      <c r="AA15" s="158" t="s">
        <v>4134</v>
      </c>
      <c r="BA15" s="160" t="s">
        <v>13608</v>
      </c>
    </row>
    <row r="16" spans="1:53" ht="20.100000000000001" customHeight="1">
      <c r="A16" s="166" t="s">
        <v>29</v>
      </c>
      <c r="B16" s="174">
        <f>B15/COS(B9*PI()/180)</f>
        <v>0</v>
      </c>
      <c r="C16" s="171"/>
      <c r="D16" s="172">
        <f>'Sp | Ep'!H5</f>
        <v>4.1251174759996054</v>
      </c>
      <c r="E16" s="172">
        <f>E15/COS(E9*PI()/180)</f>
        <v>0</v>
      </c>
      <c r="AA16" s="158" t="s">
        <v>4135</v>
      </c>
    </row>
    <row r="17" spans="1:34" ht="20.100000000000001" customHeight="1">
      <c r="A17" s="166" t="s">
        <v>9</v>
      </c>
      <c r="B17" s="174">
        <f>B4/COS(B9*PI()/180)*B6</f>
        <v>0</v>
      </c>
      <c r="C17" s="171">
        <f>(B10-B11)/2+B11</f>
        <v>0</v>
      </c>
      <c r="D17" s="172">
        <f>B18/COS(D8*PI()/180)</f>
        <v>0</v>
      </c>
      <c r="E17" s="172" t="e">
        <f>E5*E6</f>
        <v>#DIV/0!</v>
      </c>
      <c r="AA17" s="158" t="s">
        <v>4136</v>
      </c>
    </row>
    <row r="18" spans="1:34" ht="20.100000000000001" customHeight="1">
      <c r="A18" s="166" t="s">
        <v>8</v>
      </c>
      <c r="B18" s="174">
        <f>B17*COS(B8*PI()/180)</f>
        <v>0</v>
      </c>
      <c r="C18" s="181" t="e">
        <f>C17*COS(C8*PI()/180)</f>
        <v>#DIV/0!</v>
      </c>
      <c r="D18" s="172" t="e">
        <f>C18</f>
        <v>#DIV/0!</v>
      </c>
      <c r="E18" s="172" t="e">
        <f>E17*COS(E8*PI()/180)</f>
        <v>#DIV/0!</v>
      </c>
      <c r="AA18" s="158" t="s">
        <v>4137</v>
      </c>
    </row>
    <row r="19" spans="1:34" ht="20.100000000000001" customHeight="1">
      <c r="A19" s="222" t="s">
        <v>21</v>
      </c>
      <c r="B19" s="182">
        <f>B34*180/PI()</f>
        <v>0</v>
      </c>
      <c r="AA19" s="158" t="s">
        <v>4138</v>
      </c>
    </row>
    <row r="20" spans="1:34" ht="20.100000000000001" customHeight="1">
      <c r="A20" s="167" t="s">
        <v>34</v>
      </c>
      <c r="B20" s="182">
        <f>TAN(B8*PI()/180)-B8*PI()/180</f>
        <v>0</v>
      </c>
      <c r="D20" s="183" t="s">
        <v>13556</v>
      </c>
      <c r="E20" s="217"/>
      <c r="H20" s="164" t="s">
        <v>13605</v>
      </c>
      <c r="AA20" s="158" t="s">
        <v>4139</v>
      </c>
    </row>
    <row r="21" spans="1:34" ht="20.100000000000001" customHeight="1">
      <c r="B21" s="182"/>
      <c r="E21" s="184"/>
      <c r="AA21" s="158" t="s">
        <v>4140</v>
      </c>
      <c r="AC21" s="185"/>
      <c r="AD21" s="185"/>
    </row>
    <row r="22" spans="1:34" ht="20.100000000000001" customHeight="1">
      <c r="A22" s="167" t="s">
        <v>22</v>
      </c>
      <c r="B22" s="182">
        <f>IF(B9=0,0.000000000000001,+B9*PI()/180)</f>
        <v>1.0000000000000001E-15</v>
      </c>
      <c r="C22" s="186" t="s">
        <v>13606</v>
      </c>
      <c r="D22" s="187">
        <f>'Angolo Incrocio'!I10</f>
        <v>0</v>
      </c>
      <c r="G22" s="188" t="str">
        <f>"Z0     "</f>
        <v xml:space="preserve">Z0     </v>
      </c>
      <c r="H22" s="218"/>
      <c r="J22" s="158" t="str">
        <f>"Da0     "</f>
        <v xml:space="preserve">Da0     </v>
      </c>
      <c r="K22" s="183" t="str">
        <f>IF(H22,(E5*H22)+(E17-E11)," ")</f>
        <v xml:space="preserve"> </v>
      </c>
      <c r="AA22" s="158" t="s">
        <v>4141</v>
      </c>
      <c r="AC22" s="185"/>
      <c r="AD22" s="185"/>
    </row>
    <row r="23" spans="1:34" ht="20.100000000000001" customHeight="1">
      <c r="A23" s="167" t="s">
        <v>24</v>
      </c>
      <c r="B23" s="182">
        <f>B7*PI()/180</f>
        <v>0</v>
      </c>
      <c r="G23" s="188"/>
      <c r="J23" s="158" t="s">
        <v>109</v>
      </c>
      <c r="K23" s="189" t="e">
        <f>+K22-2*(D25+D26)-2*0.25*E4</f>
        <v>#VALUE!</v>
      </c>
      <c r="AA23" s="158" t="s">
        <v>4142</v>
      </c>
    </row>
    <row r="24" spans="1:34" ht="20.100000000000001" customHeight="1">
      <c r="B24" s="182"/>
      <c r="G24" s="188" t="s">
        <v>108</v>
      </c>
      <c r="H24" s="158" t="e">
        <f>IF(B6&lt;0,E15,(PI()*E4)-E15)</f>
        <v>#DIV/0!</v>
      </c>
      <c r="J24" s="158" t="str">
        <f>"P_beta0     "</f>
        <v xml:space="preserve">P_beta0     </v>
      </c>
      <c r="K24" s="158" t="e">
        <f>(E4*PI()*H22)/SIN(E9*PI()/180)</f>
        <v>#DIV/0!</v>
      </c>
      <c r="AA24" s="158" t="s">
        <v>4143</v>
      </c>
      <c r="AC24" s="185"/>
      <c r="AD24" s="157"/>
      <c r="AE24" s="183"/>
      <c r="AF24" s="169"/>
    </row>
    <row r="25" spans="1:34" ht="20.100000000000001" customHeight="1">
      <c r="A25" s="167" t="s">
        <v>13</v>
      </c>
      <c r="B25" s="182"/>
      <c r="D25" s="169">
        <f>(D10-D17)/2</f>
        <v>0</v>
      </c>
      <c r="J25" s="158" t="s">
        <v>111</v>
      </c>
      <c r="K25" s="158" t="e">
        <f>+E4*H22/COS(RADIANS(E9))</f>
        <v>#DIV/0!</v>
      </c>
      <c r="AA25" s="158" t="s">
        <v>4144</v>
      </c>
      <c r="AC25" s="185"/>
      <c r="AD25" s="185"/>
      <c r="AE25" s="185"/>
      <c r="AF25" s="185"/>
      <c r="AG25" s="185"/>
      <c r="AH25" s="185"/>
    </row>
    <row r="26" spans="1:34" ht="20.100000000000001" customHeight="1">
      <c r="A26" s="167" t="s">
        <v>14</v>
      </c>
      <c r="B26" s="182"/>
      <c r="D26" s="169">
        <f>(D17-D11)/2</f>
        <v>0</v>
      </c>
      <c r="J26" s="158" t="s">
        <v>112</v>
      </c>
      <c r="K26" s="158" t="e">
        <f>+K25*COS(K27)</f>
        <v>#DIV/0!</v>
      </c>
      <c r="AA26" s="158" t="s">
        <v>1243</v>
      </c>
      <c r="AC26" s="185"/>
      <c r="AD26" s="185"/>
      <c r="AE26" s="185"/>
      <c r="AF26" s="185"/>
      <c r="AG26" s="185"/>
      <c r="AH26" s="185"/>
    </row>
    <row r="27" spans="1:34" ht="20.100000000000001" customHeight="1">
      <c r="A27" s="167" t="s">
        <v>15</v>
      </c>
      <c r="B27" s="182"/>
      <c r="D27" s="169">
        <f>(D12-D17)/2</f>
        <v>0</v>
      </c>
      <c r="E27" s="187" t="str">
        <f>IF(I36,(D27+((K22-I36)/2)),"")</f>
        <v/>
      </c>
      <c r="J27" s="158" t="s">
        <v>113</v>
      </c>
      <c r="K27" s="158">
        <f>+ATAN(TAN(RADIANS(E7))/COS(RADIANS(E9)))</f>
        <v>0</v>
      </c>
      <c r="AA27" s="158" t="s">
        <v>4145</v>
      </c>
      <c r="AC27" s="185"/>
      <c r="AD27" s="190" t="str">
        <f>"R_pieno"</f>
        <v>R_pieno</v>
      </c>
      <c r="AE27" s="191" t="e">
        <f>(AC33/2-(AE30*TAN(RADIANS(D7))))/(COS(RADIANS(D7))-TAN(RADIANS(D7))*(1-SIN(RADIANS(D7))))</f>
        <v>#DIV/0!</v>
      </c>
      <c r="AF27" s="185"/>
      <c r="AG27" s="185"/>
      <c r="AH27" s="185"/>
    </row>
    <row r="28" spans="1:34" ht="20.100000000000001" customHeight="1">
      <c r="A28" s="167" t="s">
        <v>20</v>
      </c>
      <c r="B28" s="182"/>
      <c r="D28" s="169" t="str">
        <f>IF(B13,(D17-D13)/2," ")</f>
        <v xml:space="preserve"> </v>
      </c>
      <c r="AA28" s="158" t="s">
        <v>4146</v>
      </c>
      <c r="AB28" s="185"/>
      <c r="AC28" s="185"/>
      <c r="AD28" s="185"/>
      <c r="AE28" s="185"/>
      <c r="AF28" s="185"/>
      <c r="AG28" s="185"/>
      <c r="AH28" s="185"/>
    </row>
    <row r="29" spans="1:34" ht="20.100000000000001" customHeight="1">
      <c r="A29" s="167" t="s">
        <v>26</v>
      </c>
      <c r="B29" s="182">
        <f>PI()*ABS(B17)/TAN(B22)</f>
        <v>0</v>
      </c>
      <c r="D29" s="169" t="str">
        <f>CONCATENATE(G22,H22)</f>
        <v xml:space="preserve">Z0     </v>
      </c>
      <c r="E29" s="169" t="str">
        <f>CONCATENATE(J22,K22)</f>
        <v xml:space="preserve">Da0      </v>
      </c>
      <c r="AA29" s="158" t="s">
        <v>4147</v>
      </c>
      <c r="AB29" s="185"/>
      <c r="AC29" s="185"/>
      <c r="AD29" s="185"/>
      <c r="AE29" s="185"/>
      <c r="AF29" s="185"/>
      <c r="AG29" s="185"/>
      <c r="AH29" s="185"/>
    </row>
    <row r="30" spans="1:34" ht="20.100000000000001" customHeight="1">
      <c r="D30" s="169" t="e">
        <f>CONCATENATE(J24,K24)</f>
        <v>#DIV/0!</v>
      </c>
      <c r="G30" s="185" t="s">
        <v>13603</v>
      </c>
      <c r="H30" s="158" t="e">
        <f>(E15-E4*PI()/2)/IF(B6&lt;0,-TAN(RADIANS(E7)),TAN(RADIANS(E7)))/2</f>
        <v>#DIV/0!</v>
      </c>
      <c r="AA30" s="158" t="s">
        <v>4148</v>
      </c>
      <c r="AB30" s="185"/>
      <c r="AC30" s="185"/>
      <c r="AD30" s="185"/>
      <c r="AE30" s="192" t="e">
        <f>(E17-E11)/2</f>
        <v>#DIV/0!</v>
      </c>
      <c r="AF30" s="193"/>
      <c r="AG30" s="185"/>
      <c r="AH30" s="185"/>
    </row>
    <row r="31" spans="1:34" ht="20.100000000000001" customHeight="1">
      <c r="G31" s="185" t="s">
        <v>13604</v>
      </c>
      <c r="H31" s="158" t="e">
        <f>H30*-1</f>
        <v>#DIV/0!</v>
      </c>
      <c r="AA31" s="158" t="s">
        <v>4149</v>
      </c>
      <c r="AB31" s="185"/>
      <c r="AC31" s="185"/>
      <c r="AD31" s="185"/>
      <c r="AE31" s="185"/>
      <c r="AF31" s="193" t="e">
        <f>(E12-E11)/2</f>
        <v>#VALUE!</v>
      </c>
      <c r="AG31" s="185"/>
      <c r="AH31" s="185"/>
    </row>
    <row r="32" spans="1:34" ht="20.100000000000001" customHeight="1">
      <c r="A32" s="167" t="s">
        <v>22</v>
      </c>
      <c r="B32" s="167">
        <f>+B9*PI()/180</f>
        <v>0</v>
      </c>
      <c r="C32" s="162" t="s">
        <v>25</v>
      </c>
      <c r="AA32" s="158" t="s">
        <v>4150</v>
      </c>
      <c r="AB32" s="185"/>
      <c r="AC32" s="185"/>
      <c r="AD32" s="185"/>
      <c r="AE32" s="185"/>
      <c r="AF32" s="185"/>
      <c r="AG32" s="190" t="e">
        <f>(E10-E11)/2</f>
        <v>#DIV/0!</v>
      </c>
      <c r="AH32" s="185"/>
    </row>
    <row r="33" spans="1:34" ht="20.100000000000001" customHeight="1">
      <c r="A33" s="167" t="s">
        <v>24</v>
      </c>
      <c r="B33" s="167">
        <f>B7*PI()/180</f>
        <v>0</v>
      </c>
      <c r="C33" s="162" t="s">
        <v>25</v>
      </c>
      <c r="G33" s="185" t="str">
        <f>"Da0_rif.   "</f>
        <v xml:space="preserve">Da0_rif.   </v>
      </c>
      <c r="H33" s="178" t="str">
        <f>'Dati Generali'!C16</f>
        <v/>
      </c>
      <c r="I33" s="183" t="s">
        <v>13607</v>
      </c>
      <c r="J33" s="158" t="e">
        <f>IF(H33='Dati Generali'!C16,'Tab. Punti Contr.'!Z46*E4,"")</f>
        <v>#VALUE!</v>
      </c>
      <c r="AA33" s="158" t="s">
        <v>4151</v>
      </c>
      <c r="AB33" s="185"/>
      <c r="AC33" s="194">
        <f>E15</f>
        <v>0</v>
      </c>
      <c r="AD33" s="185"/>
      <c r="AE33" s="185"/>
      <c r="AF33" s="185"/>
      <c r="AG33" s="185"/>
      <c r="AH33" s="185"/>
    </row>
    <row r="34" spans="1:34">
      <c r="A34" s="167" t="s">
        <v>23</v>
      </c>
      <c r="B34" s="167">
        <f>ASIN(SIN(B32)*COS(B33))</f>
        <v>0</v>
      </c>
      <c r="C34" s="162" t="s">
        <v>25</v>
      </c>
      <c r="AA34" s="158" t="s">
        <v>4152</v>
      </c>
      <c r="AB34" s="185"/>
      <c r="AC34" s="185"/>
      <c r="AD34" s="185"/>
      <c r="AE34" s="185"/>
      <c r="AF34" s="185"/>
      <c r="AG34" s="185"/>
      <c r="AH34" s="185"/>
    </row>
    <row r="35" spans="1:34" ht="15.75" thickBot="1">
      <c r="AA35" s="158" t="s">
        <v>4153</v>
      </c>
      <c r="AB35" s="185"/>
      <c r="AC35" s="185"/>
      <c r="AD35" s="185"/>
      <c r="AE35" s="185"/>
      <c r="AF35" s="185"/>
      <c r="AG35" s="185"/>
      <c r="AH35" s="185"/>
    </row>
    <row r="36" spans="1:34" ht="19.899999999999999" customHeight="1">
      <c r="A36" s="195" t="s">
        <v>110</v>
      </c>
      <c r="B36" s="196"/>
      <c r="C36" s="197"/>
      <c r="D36" s="198"/>
      <c r="H36" s="178" t="s">
        <v>13616</v>
      </c>
      <c r="I36" s="219"/>
      <c r="AA36" s="158" t="s">
        <v>4154</v>
      </c>
      <c r="AB36" s="185"/>
      <c r="AC36" s="185"/>
      <c r="AD36" s="185"/>
      <c r="AE36" s="185"/>
      <c r="AF36" s="185"/>
      <c r="AG36" s="185"/>
      <c r="AH36" s="185"/>
    </row>
    <row r="37" spans="1:34">
      <c r="A37" s="199" t="str">
        <f>+"Zo ="&amp;H22</f>
        <v>Zo =</v>
      </c>
      <c r="B37" s="200"/>
      <c r="C37" s="200" t="str">
        <f>+"Elica="&amp;E9</f>
        <v>Elica=0</v>
      </c>
      <c r="D37" s="201"/>
      <c r="H37" s="202" t="s">
        <v>13618</v>
      </c>
      <c r="I37" s="203" t="str">
        <f>IF(I36,(ATAN((I38/I39)*TAN(RADIANS(ABS(D22))))*180/PI()),"")</f>
        <v/>
      </c>
      <c r="AA37" s="158" t="s">
        <v>3361</v>
      </c>
      <c r="AB37" s="183" t="str">
        <f>CONCATENATE(D7,AL36)</f>
        <v>0</v>
      </c>
      <c r="AC37" s="185" t="str">
        <f>"°"</f>
        <v>°</v>
      </c>
      <c r="AD37" s="182" t="str">
        <f>CONCATENATE(G12,AC37)</f>
        <v>°</v>
      </c>
      <c r="AE37" s="185"/>
      <c r="AF37" s="185"/>
      <c r="AG37" s="185"/>
      <c r="AH37" s="185"/>
    </row>
    <row r="38" spans="1:34">
      <c r="A38" s="199" t="str">
        <f>+"Dao="&amp;K22</f>
        <v xml:space="preserve">Dao= </v>
      </c>
      <c r="B38" s="200"/>
      <c r="C38" s="200" t="e">
        <f>+"Spn="&amp;H24</f>
        <v>#DIV/0!</v>
      </c>
      <c r="D38" s="201"/>
      <c r="H38" s="178" t="s">
        <v>13619</v>
      </c>
      <c r="I38" s="185" t="e">
        <f>ABS(((E11+I36)/(E6+H22))*H22)</f>
        <v>#DIV/0!</v>
      </c>
      <c r="AA38" s="158" t="s">
        <v>4155</v>
      </c>
      <c r="AB38" s="185"/>
      <c r="AC38" s="185"/>
      <c r="AD38" s="185"/>
      <c r="AE38" s="185"/>
      <c r="AF38" s="185"/>
      <c r="AG38" s="185"/>
      <c r="AH38" s="185"/>
    </row>
    <row r="39" spans="1:34" ht="15.75" thickBot="1">
      <c r="A39" s="204" t="e">
        <f>+"Dfo="&amp;K23</f>
        <v>#VALUE!</v>
      </c>
      <c r="B39" s="205"/>
      <c r="C39" s="206" t="e">
        <f>+"Sn0="&amp;'Sp | Ep (2)'!I8</f>
        <v>#VALUE!</v>
      </c>
      <c r="D39" s="207"/>
      <c r="H39" s="178" t="s">
        <v>13617</v>
      </c>
      <c r="I39" s="185" t="e">
        <f>ABS(E5*H22)</f>
        <v>#DIV/0!</v>
      </c>
      <c r="AA39" s="158" t="s">
        <v>4156</v>
      </c>
      <c r="AB39" s="185"/>
      <c r="AC39" s="185"/>
      <c r="AD39" s="185"/>
      <c r="AE39" s="185"/>
      <c r="AF39" s="185"/>
      <c r="AG39" s="185"/>
      <c r="AH39" s="185"/>
    </row>
    <row r="40" spans="1:34">
      <c r="A40" s="208"/>
      <c r="B40" s="208"/>
      <c r="C40" s="209"/>
      <c r="D40" s="190"/>
      <c r="AA40" s="158" t="s">
        <v>4157</v>
      </c>
      <c r="AC40" s="185"/>
      <c r="AD40" s="185"/>
      <c r="AE40" s="185"/>
      <c r="AF40" s="185"/>
      <c r="AG40" s="185"/>
      <c r="AH40" s="185"/>
    </row>
    <row r="41" spans="1:34">
      <c r="A41" s="185" t="str">
        <f>IF('Md_k  |  W'!C10,"Wildhaber","")</f>
        <v>Wildhaber</v>
      </c>
      <c r="B41" s="182">
        <f>'Md_k  |  W'!C9</f>
        <v>57.156999999999996</v>
      </c>
      <c r="C41" s="187" t="str">
        <f>'Md_k  |  W'!D9</f>
        <v>sn</v>
      </c>
      <c r="D41" s="169">
        <f>'Md_k  |  W'!E9</f>
        <v>0.59015525683105885</v>
      </c>
      <c r="AA41" s="158" t="s">
        <v>4158</v>
      </c>
      <c r="AC41" s="185"/>
      <c r="AD41" s="185"/>
      <c r="AE41" s="185"/>
      <c r="AF41" s="185"/>
      <c r="AG41" s="185"/>
      <c r="AH41" s="185"/>
    </row>
    <row r="42" spans="1:34">
      <c r="A42" s="185" t="str">
        <f>IF('Md_k  |  W'!C10,"n_z","")</f>
        <v>n_z</v>
      </c>
      <c r="B42" s="182">
        <f>'Md_k  |  W'!C10</f>
        <v>15</v>
      </c>
      <c r="C42" s="209"/>
      <c r="D42" s="190"/>
      <c r="AA42" s="158" t="s">
        <v>4159</v>
      </c>
    </row>
    <row r="43" spans="1:34">
      <c r="A43" s="182" t="str">
        <f>IF('Md_k  |  W'!C16,"Quota rulli","")</f>
        <v/>
      </c>
      <c r="B43" s="182">
        <f>'Md_k  |  W'!C15</f>
        <v>0</v>
      </c>
      <c r="C43" s="187" t="str">
        <f>'Md_k  |  W'!D15</f>
        <v>sn</v>
      </c>
      <c r="D43" s="169" t="str">
        <f>'Md_k  |  W'!E15</f>
        <v xml:space="preserve"> </v>
      </c>
      <c r="AA43" s="158" t="s">
        <v>4160</v>
      </c>
    </row>
    <row r="44" spans="1:34">
      <c r="A44" s="182" t="str">
        <f>IF('Md_k  |  W'!C16,"diam rulli","")</f>
        <v/>
      </c>
      <c r="B44" s="182">
        <f>'Md_k  |  W'!C16</f>
        <v>0</v>
      </c>
      <c r="C44" s="187"/>
      <c r="AA44" s="158" t="s">
        <v>4161</v>
      </c>
    </row>
    <row r="45" spans="1:34">
      <c r="A45" s="182"/>
      <c r="B45" s="182"/>
      <c r="C45" s="187"/>
      <c r="AA45" s="158" t="s">
        <v>4162</v>
      </c>
    </row>
    <row r="46" spans="1:34">
      <c r="AA46" s="158" t="s">
        <v>4163</v>
      </c>
    </row>
    <row r="47" spans="1:34">
      <c r="AA47" s="158" t="s">
        <v>4164</v>
      </c>
    </row>
    <row r="48" spans="1:34">
      <c r="AA48" s="158" t="s">
        <v>4165</v>
      </c>
    </row>
    <row r="49" spans="27:27">
      <c r="AA49" s="158" t="s">
        <v>4166</v>
      </c>
    </row>
    <row r="50" spans="27:27">
      <c r="AA50" s="158" t="s">
        <v>4167</v>
      </c>
    </row>
    <row r="51" spans="27:27">
      <c r="AA51" s="158" t="s">
        <v>4168</v>
      </c>
    </row>
    <row r="52" spans="27:27">
      <c r="AA52" s="158" t="s">
        <v>4169</v>
      </c>
    </row>
    <row r="53" spans="27:27">
      <c r="AA53" s="158" t="s">
        <v>4170</v>
      </c>
    </row>
    <row r="54" spans="27:27">
      <c r="AA54" s="158" t="s">
        <v>4171</v>
      </c>
    </row>
    <row r="55" spans="27:27">
      <c r="AA55" s="158" t="s">
        <v>4172</v>
      </c>
    </row>
    <row r="56" spans="27:27">
      <c r="AA56" s="158" t="s">
        <v>4173</v>
      </c>
    </row>
    <row r="57" spans="27:27">
      <c r="AA57" s="158" t="s">
        <v>4174</v>
      </c>
    </row>
    <row r="58" spans="27:27">
      <c r="AA58" s="158" t="s">
        <v>4175</v>
      </c>
    </row>
    <row r="59" spans="27:27">
      <c r="AA59" s="158" t="s">
        <v>4176</v>
      </c>
    </row>
    <row r="60" spans="27:27">
      <c r="AA60" s="158" t="s">
        <v>4177</v>
      </c>
    </row>
    <row r="61" spans="27:27">
      <c r="AA61" s="158" t="s">
        <v>4178</v>
      </c>
    </row>
    <row r="62" spans="27:27">
      <c r="AA62" s="158" t="s">
        <v>4179</v>
      </c>
    </row>
    <row r="63" spans="27:27">
      <c r="AA63" s="158" t="s">
        <v>4180</v>
      </c>
    </row>
    <row r="64" spans="27:27">
      <c r="AA64" s="158" t="s">
        <v>4181</v>
      </c>
    </row>
    <row r="65" spans="27:27">
      <c r="AA65" s="158" t="s">
        <v>4182</v>
      </c>
    </row>
    <row r="66" spans="27:27">
      <c r="AA66" s="158" t="s">
        <v>126</v>
      </c>
    </row>
    <row r="67" spans="27:27">
      <c r="AA67" s="158" t="s">
        <v>4183</v>
      </c>
    </row>
    <row r="68" spans="27:27">
      <c r="AA68" s="158" t="s">
        <v>13547</v>
      </c>
    </row>
    <row r="69" spans="27:27">
      <c r="AA69" s="158" t="s">
        <v>127</v>
      </c>
    </row>
    <row r="70" spans="27:27">
      <c r="AA70" s="158" t="s">
        <v>128</v>
      </c>
    </row>
    <row r="71" spans="27:27">
      <c r="AA71" s="158" t="s">
        <v>4184</v>
      </c>
    </row>
    <row r="72" spans="27:27">
      <c r="AA72" s="158" t="s">
        <v>13548</v>
      </c>
    </row>
    <row r="73" spans="27:27">
      <c r="AA73" s="158" t="s">
        <v>4185</v>
      </c>
    </row>
    <row r="74" spans="27:27">
      <c r="AA74" s="158" t="s">
        <v>13549</v>
      </c>
    </row>
    <row r="75" spans="27:27">
      <c r="AA75" s="158" t="s">
        <v>13524</v>
      </c>
    </row>
    <row r="76" spans="27:27">
      <c r="AA76" s="158" t="s">
        <v>13550</v>
      </c>
    </row>
    <row r="77" spans="27:27">
      <c r="AA77" s="158" t="s">
        <v>13525</v>
      </c>
    </row>
    <row r="78" spans="27:27">
      <c r="AA78" s="158" t="s">
        <v>13526</v>
      </c>
    </row>
    <row r="79" spans="27:27">
      <c r="AA79" s="158" t="s">
        <v>13527</v>
      </c>
    </row>
    <row r="80" spans="27:27">
      <c r="AA80" s="158" t="s">
        <v>13528</v>
      </c>
    </row>
    <row r="81" spans="27:27">
      <c r="AA81" s="158" t="s">
        <v>13529</v>
      </c>
    </row>
    <row r="82" spans="27:27">
      <c r="AA82" s="158" t="s">
        <v>13530</v>
      </c>
    </row>
    <row r="83" spans="27:27">
      <c r="AA83" s="158" t="s">
        <v>13531</v>
      </c>
    </row>
    <row r="84" spans="27:27">
      <c r="AA84" s="158" t="s">
        <v>13532</v>
      </c>
    </row>
    <row r="85" spans="27:27">
      <c r="AA85" s="158" t="s">
        <v>13533</v>
      </c>
    </row>
    <row r="86" spans="27:27">
      <c r="AA86" s="158" t="s">
        <v>13534</v>
      </c>
    </row>
    <row r="87" spans="27:27">
      <c r="AA87" s="158" t="s">
        <v>13535</v>
      </c>
    </row>
    <row r="88" spans="27:27">
      <c r="AA88" s="158" t="s">
        <v>13536</v>
      </c>
    </row>
    <row r="89" spans="27:27">
      <c r="AA89" s="158" t="s">
        <v>13537</v>
      </c>
    </row>
    <row r="90" spans="27:27">
      <c r="AA90" s="158" t="s">
        <v>13538</v>
      </c>
    </row>
    <row r="91" spans="27:27">
      <c r="AA91" s="158" t="s">
        <v>13539</v>
      </c>
    </row>
    <row r="92" spans="27:27">
      <c r="AA92" s="158" t="s">
        <v>13540</v>
      </c>
    </row>
    <row r="93" spans="27:27">
      <c r="AA93" s="158" t="s">
        <v>13541</v>
      </c>
    </row>
    <row r="94" spans="27:27">
      <c r="AA94" s="158" t="s">
        <v>13542</v>
      </c>
    </row>
    <row r="95" spans="27:27">
      <c r="AA95" s="158" t="s">
        <v>13543</v>
      </c>
    </row>
    <row r="96" spans="27:27">
      <c r="AA96" s="158" t="s">
        <v>13544</v>
      </c>
    </row>
    <row r="97" spans="27:27">
      <c r="AA97" s="158" t="s">
        <v>13545</v>
      </c>
    </row>
    <row r="98" spans="27:27">
      <c r="AA98" s="158" t="s">
        <v>129</v>
      </c>
    </row>
    <row r="99" spans="27:27">
      <c r="AA99" s="158" t="s">
        <v>4186</v>
      </c>
    </row>
    <row r="100" spans="27:27">
      <c r="AA100" s="158" t="s">
        <v>13562</v>
      </c>
    </row>
    <row r="101" spans="27:27">
      <c r="AA101" s="158" t="s">
        <v>130</v>
      </c>
    </row>
    <row r="102" spans="27:27">
      <c r="AA102" s="158" t="s">
        <v>131</v>
      </c>
    </row>
    <row r="103" spans="27:27">
      <c r="AA103" s="158" t="s">
        <v>132</v>
      </c>
    </row>
    <row r="104" spans="27:27">
      <c r="AA104" s="158" t="s">
        <v>3362</v>
      </c>
    </row>
    <row r="105" spans="27:27">
      <c r="AA105" s="158" t="s">
        <v>1244</v>
      </c>
    </row>
    <row r="106" spans="27:27">
      <c r="AA106" s="158" t="s">
        <v>13546</v>
      </c>
    </row>
    <row r="107" spans="27:27">
      <c r="AA107" s="158" t="s">
        <v>4187</v>
      </c>
    </row>
    <row r="108" spans="27:27">
      <c r="AA108" s="158" t="s">
        <v>4188</v>
      </c>
    </row>
    <row r="109" spans="27:27">
      <c r="AA109" s="158" t="s">
        <v>4189</v>
      </c>
    </row>
    <row r="110" spans="27:27">
      <c r="AA110" s="158" t="s">
        <v>4190</v>
      </c>
    </row>
    <row r="111" spans="27:27">
      <c r="AA111" s="158" t="s">
        <v>4191</v>
      </c>
    </row>
    <row r="112" spans="27:27">
      <c r="AA112" s="158" t="s">
        <v>4192</v>
      </c>
    </row>
    <row r="113" spans="22:27">
      <c r="AA113" s="158" t="s">
        <v>4193</v>
      </c>
    </row>
    <row r="114" spans="22:27">
      <c r="AA114" s="158" t="s">
        <v>4194</v>
      </c>
    </row>
    <row r="115" spans="22:27">
      <c r="AA115" s="158" t="s">
        <v>4195</v>
      </c>
    </row>
    <row r="116" spans="22:27">
      <c r="AA116" s="158" t="s">
        <v>4196</v>
      </c>
    </row>
    <row r="117" spans="22:27">
      <c r="AA117" s="158" t="s">
        <v>4197</v>
      </c>
    </row>
    <row r="118" spans="22:27">
      <c r="AA118" s="158" t="s">
        <v>4198</v>
      </c>
    </row>
    <row r="119" spans="22:27">
      <c r="AA119" s="158" t="s">
        <v>4199</v>
      </c>
    </row>
    <row r="120" spans="22:27">
      <c r="AA120" s="158" t="s">
        <v>4200</v>
      </c>
    </row>
    <row r="121" spans="22:27">
      <c r="AA121" s="158" t="s">
        <v>1245</v>
      </c>
    </row>
    <row r="122" spans="22:27">
      <c r="AA122" s="158" t="s">
        <v>4201</v>
      </c>
    </row>
    <row r="123" spans="22:27">
      <c r="AA123" s="158" t="s">
        <v>1246</v>
      </c>
    </row>
    <row r="124" spans="22:27">
      <c r="AA124" s="158" t="s">
        <v>3363</v>
      </c>
    </row>
    <row r="125" spans="22:27">
      <c r="V125" s="210" t="s">
        <v>13611</v>
      </c>
      <c r="W125" s="158" t="str">
        <f>G1</f>
        <v>S.Guidolin</v>
      </c>
      <c r="X125" s="210" t="s">
        <v>13503</v>
      </c>
      <c r="AA125" s="158" t="str">
        <f>CONCATENATE(V125,W125,X125)</f>
        <v>1210 Trueprg$="S.Guidolin"</v>
      </c>
    </row>
    <row r="126" spans="22:27">
      <c r="AA126" s="158" t="s">
        <v>1247</v>
      </c>
    </row>
    <row r="127" spans="22:27">
      <c r="AA127" s="158" t="s">
        <v>1248</v>
      </c>
    </row>
    <row r="128" spans="22:27">
      <c r="AA128" s="158" t="s">
        <v>4202</v>
      </c>
    </row>
    <row r="129" spans="22:27">
      <c r="V129" s="210" t="s">
        <v>13612</v>
      </c>
      <c r="W129" s="158" t="str">
        <f>G1</f>
        <v>S.Guidolin</v>
      </c>
      <c r="X129" s="210" t="s">
        <v>13503</v>
      </c>
      <c r="AA129" s="158" t="str">
        <f>CONCATENATE(V129,W129,X129)</f>
        <v>1250 Progettista$="S.Guidolin"</v>
      </c>
    </row>
    <row r="130" spans="22:27">
      <c r="AA130" s="158" t="s">
        <v>133</v>
      </c>
    </row>
    <row r="131" spans="22:27">
      <c r="AA131" s="158" t="s">
        <v>4203</v>
      </c>
    </row>
    <row r="132" spans="22:27">
      <c r="AA132" s="158" t="s">
        <v>3364</v>
      </c>
    </row>
    <row r="133" spans="22:27">
      <c r="AA133" s="158" t="s">
        <v>4204</v>
      </c>
    </row>
    <row r="134" spans="22:27">
      <c r="AA134" s="158" t="s">
        <v>4205</v>
      </c>
    </row>
    <row r="135" spans="22:27">
      <c r="AA135" s="158" t="s">
        <v>4206</v>
      </c>
    </row>
    <row r="136" spans="22:27">
      <c r="AA136" s="158" t="s">
        <v>4207</v>
      </c>
    </row>
    <row r="137" spans="22:27">
      <c r="AA137" s="158" t="s">
        <v>3365</v>
      </c>
    </row>
    <row r="138" spans="22:27">
      <c r="AA138" s="158" t="s">
        <v>1249</v>
      </c>
    </row>
    <row r="139" spans="22:27">
      <c r="AA139" s="158" t="s">
        <v>4208</v>
      </c>
    </row>
    <row r="140" spans="22:27">
      <c r="AA140" s="158" t="s">
        <v>3366</v>
      </c>
    </row>
    <row r="141" spans="22:27">
      <c r="AA141" s="158" t="s">
        <v>4209</v>
      </c>
    </row>
    <row r="142" spans="22:27">
      <c r="AA142" s="158" t="s">
        <v>3367</v>
      </c>
    </row>
    <row r="143" spans="22:27">
      <c r="AA143" s="158" t="s">
        <v>4210</v>
      </c>
    </row>
    <row r="144" spans="22:27">
      <c r="AA144" s="158" t="s">
        <v>3368</v>
      </c>
    </row>
    <row r="145" spans="27:27">
      <c r="AA145" s="158" t="s">
        <v>134</v>
      </c>
    </row>
    <row r="146" spans="27:27">
      <c r="AA146" s="158" t="s">
        <v>3369</v>
      </c>
    </row>
    <row r="147" spans="27:27">
      <c r="AA147" s="158" t="s">
        <v>1250</v>
      </c>
    </row>
    <row r="148" spans="27:27">
      <c r="AA148" s="158" t="s">
        <v>4211</v>
      </c>
    </row>
    <row r="149" spans="27:27">
      <c r="AA149" s="158" t="s">
        <v>4212</v>
      </c>
    </row>
    <row r="150" spans="27:27">
      <c r="AA150" s="158" t="s">
        <v>4213</v>
      </c>
    </row>
    <row r="151" spans="27:27">
      <c r="AA151" s="158" t="s">
        <v>4214</v>
      </c>
    </row>
    <row r="152" spans="27:27">
      <c r="AA152" s="158" t="s">
        <v>3370</v>
      </c>
    </row>
    <row r="153" spans="27:27">
      <c r="AA153" s="158" t="s">
        <v>1251</v>
      </c>
    </row>
    <row r="154" spans="27:27">
      <c r="AA154" s="158" t="s">
        <v>1252</v>
      </c>
    </row>
    <row r="155" spans="27:27">
      <c r="AA155" s="158" t="s">
        <v>4215</v>
      </c>
    </row>
    <row r="156" spans="27:27">
      <c r="AA156" s="158" t="s">
        <v>3371</v>
      </c>
    </row>
    <row r="157" spans="27:27">
      <c r="AA157" s="158" t="s">
        <v>1253</v>
      </c>
    </row>
    <row r="158" spans="27:27">
      <c r="AA158" s="158" t="s">
        <v>3372</v>
      </c>
    </row>
    <row r="159" spans="27:27">
      <c r="AA159" s="158" t="s">
        <v>4216</v>
      </c>
    </row>
    <row r="160" spans="27:27">
      <c r="AA160" s="158" t="s">
        <v>1254</v>
      </c>
    </row>
    <row r="161" spans="27:27">
      <c r="AA161" s="158" t="s">
        <v>1255</v>
      </c>
    </row>
    <row r="162" spans="27:27">
      <c r="AA162" s="158" t="s">
        <v>1256</v>
      </c>
    </row>
    <row r="163" spans="27:27">
      <c r="AA163" s="158" t="s">
        <v>4217</v>
      </c>
    </row>
    <row r="164" spans="27:27">
      <c r="AA164" s="158" t="s">
        <v>4218</v>
      </c>
    </row>
    <row r="165" spans="27:27">
      <c r="AA165" s="158" t="s">
        <v>3373</v>
      </c>
    </row>
    <row r="166" spans="27:27">
      <c r="AA166" s="158" t="s">
        <v>4219</v>
      </c>
    </row>
    <row r="167" spans="27:27">
      <c r="AA167" s="158" t="s">
        <v>4220</v>
      </c>
    </row>
    <row r="168" spans="27:27">
      <c r="AA168" s="158" t="s">
        <v>4221</v>
      </c>
    </row>
    <row r="169" spans="27:27">
      <c r="AA169" s="158" t="s">
        <v>4222</v>
      </c>
    </row>
    <row r="170" spans="27:27">
      <c r="AA170" s="158" t="s">
        <v>4223</v>
      </c>
    </row>
    <row r="171" spans="27:27">
      <c r="AA171" s="158" t="s">
        <v>4224</v>
      </c>
    </row>
    <row r="172" spans="27:27">
      <c r="AA172" s="158" t="s">
        <v>4225</v>
      </c>
    </row>
    <row r="173" spans="27:27">
      <c r="AA173" s="158" t="s">
        <v>4226</v>
      </c>
    </row>
    <row r="174" spans="27:27">
      <c r="AA174" s="158" t="s">
        <v>4227</v>
      </c>
    </row>
    <row r="175" spans="27:27">
      <c r="AA175" s="158" t="s">
        <v>4228</v>
      </c>
    </row>
    <row r="176" spans="27:27">
      <c r="AA176" s="158" t="s">
        <v>4229</v>
      </c>
    </row>
    <row r="177" spans="27:27">
      <c r="AA177" s="158" t="s">
        <v>4230</v>
      </c>
    </row>
    <row r="178" spans="27:27">
      <c r="AA178" s="158" t="s">
        <v>4231</v>
      </c>
    </row>
    <row r="179" spans="27:27">
      <c r="AA179" s="158" t="s">
        <v>4232</v>
      </c>
    </row>
    <row r="180" spans="27:27">
      <c r="AA180" s="158" t="s">
        <v>4233</v>
      </c>
    </row>
    <row r="181" spans="27:27">
      <c r="AA181" s="158" t="s">
        <v>4234</v>
      </c>
    </row>
    <row r="182" spans="27:27">
      <c r="AA182" s="158" t="s">
        <v>4235</v>
      </c>
    </row>
    <row r="183" spans="27:27">
      <c r="AA183" s="158" t="s">
        <v>4236</v>
      </c>
    </row>
    <row r="184" spans="27:27">
      <c r="AA184" s="158" t="s">
        <v>4237</v>
      </c>
    </row>
    <row r="185" spans="27:27">
      <c r="AA185" s="158" t="s">
        <v>4238</v>
      </c>
    </row>
    <row r="186" spans="27:27">
      <c r="AA186" s="158" t="s">
        <v>4239</v>
      </c>
    </row>
    <row r="187" spans="27:27">
      <c r="AA187" s="158" t="s">
        <v>1257</v>
      </c>
    </row>
    <row r="188" spans="27:27">
      <c r="AA188" s="158" t="s">
        <v>4240</v>
      </c>
    </row>
    <row r="189" spans="27:27">
      <c r="AA189" s="158" t="s">
        <v>4241</v>
      </c>
    </row>
    <row r="190" spans="27:27">
      <c r="AA190" s="158" t="s">
        <v>4242</v>
      </c>
    </row>
    <row r="191" spans="27:27">
      <c r="AA191" s="158" t="s">
        <v>4243</v>
      </c>
    </row>
    <row r="192" spans="27:27">
      <c r="AA192" s="158" t="s">
        <v>4244</v>
      </c>
    </row>
    <row r="193" spans="18:27">
      <c r="AA193" s="158" t="s">
        <v>4245</v>
      </c>
    </row>
    <row r="194" spans="18:27">
      <c r="AA194" s="158" t="s">
        <v>4246</v>
      </c>
    </row>
    <row r="195" spans="18:27">
      <c r="AA195" s="158" t="s">
        <v>4247</v>
      </c>
    </row>
    <row r="196" spans="18:27">
      <c r="AA196" s="158" t="s">
        <v>1258</v>
      </c>
    </row>
    <row r="197" spans="18:27">
      <c r="AA197" s="158" t="s">
        <v>4248</v>
      </c>
    </row>
    <row r="198" spans="18:27">
      <c r="AA198" s="158" t="s">
        <v>4249</v>
      </c>
    </row>
    <row r="199" spans="18:27">
      <c r="AA199" s="158" t="s">
        <v>1259</v>
      </c>
    </row>
    <row r="200" spans="18:27">
      <c r="AA200" s="158" t="s">
        <v>1260</v>
      </c>
    </row>
    <row r="201" spans="18:27">
      <c r="AA201" s="158" t="s">
        <v>3374</v>
      </c>
    </row>
    <row r="202" spans="18:27">
      <c r="AA202" s="158" t="s">
        <v>1261</v>
      </c>
    </row>
    <row r="203" spans="18:27">
      <c r="AA203" s="158" t="s">
        <v>3375</v>
      </c>
    </row>
    <row r="204" spans="18:27">
      <c r="AA204" s="158" t="s">
        <v>1262</v>
      </c>
    </row>
    <row r="205" spans="18:27">
      <c r="U205" s="158">
        <v>1963</v>
      </c>
      <c r="V205" s="210" t="s">
        <v>3330</v>
      </c>
      <c r="W205" s="210" t="s">
        <v>3329</v>
      </c>
      <c r="X205" s="158">
        <v>1</v>
      </c>
      <c r="AA205" s="158" t="str">
        <f>CONCATENATE(U205,V205,W205,X205)</f>
        <v>1963  Part=1</v>
      </c>
    </row>
    <row r="206" spans="18:27">
      <c r="U206" s="158" t="s">
        <v>1263</v>
      </c>
      <c r="W206" s="210"/>
      <c r="AA206" s="158" t="str">
        <f t="shared" ref="AA206:AA268" si="0">CONCATENATE(U206,V206,W206,X206)</f>
        <v>1964 !</v>
      </c>
    </row>
    <row r="207" spans="18:27">
      <c r="R207" s="210" t="s">
        <v>13551</v>
      </c>
      <c r="S207" s="210" t="s">
        <v>13519</v>
      </c>
      <c r="U207" s="158">
        <v>1965</v>
      </c>
      <c r="V207" s="210" t="str">
        <f>IF(E9,R207,S207)</f>
        <v xml:space="preserve"> !</v>
      </c>
      <c r="W207" s="210" t="s">
        <v>3329</v>
      </c>
      <c r="X207" s="158" t="str">
        <f>IF(E9,"1","")</f>
        <v/>
      </c>
      <c r="AA207" s="158" t="str">
        <f t="shared" si="0"/>
        <v>1965 !=</v>
      </c>
    </row>
    <row r="208" spans="18:27">
      <c r="U208" s="158" t="s">
        <v>1264</v>
      </c>
      <c r="W208" s="210"/>
      <c r="AA208" s="158" t="str">
        <f t="shared" si="0"/>
        <v>1966 !</v>
      </c>
    </row>
    <row r="209" spans="17:27">
      <c r="R209" s="210" t="s">
        <v>13552</v>
      </c>
      <c r="S209" s="210" t="s">
        <v>13519</v>
      </c>
      <c r="U209" s="158">
        <v>1967</v>
      </c>
      <c r="V209" s="210" t="str">
        <f>IF(B6&lt;0,R209,S209)</f>
        <v xml:space="preserve"> !</v>
      </c>
      <c r="W209" s="210" t="s">
        <v>3329</v>
      </c>
      <c r="X209" s="158" t="str">
        <f>IF(E6,"1","")</f>
        <v/>
      </c>
      <c r="AA209" s="158" t="str">
        <f t="shared" si="0"/>
        <v>1967 !=</v>
      </c>
    </row>
    <row r="210" spans="17:27">
      <c r="U210" s="158" t="s">
        <v>1265</v>
      </c>
      <c r="V210" s="210"/>
      <c r="W210" s="210"/>
      <c r="AA210" s="158" t="str">
        <f t="shared" si="0"/>
        <v>1968 !</v>
      </c>
    </row>
    <row r="211" spans="17:27">
      <c r="Q211" s="158" t="s">
        <v>13503</v>
      </c>
      <c r="R211" s="158" t="str">
        <f>G9</f>
        <v/>
      </c>
      <c r="S211" s="158" t="s">
        <v>13503</v>
      </c>
      <c r="U211" s="158">
        <v>1969</v>
      </c>
      <c r="V211" s="210" t="s">
        <v>3331</v>
      </c>
      <c r="W211" s="210" t="s">
        <v>3329</v>
      </c>
      <c r="X211" s="210" t="str">
        <f>CONCATENATE(Q211,R211,S211)</f>
        <v>""</v>
      </c>
      <c r="AA211" s="158" t="str">
        <f t="shared" si="0"/>
        <v>1969  Sen_el$=""</v>
      </c>
    </row>
    <row r="212" spans="17:27">
      <c r="U212" s="158" t="s">
        <v>1266</v>
      </c>
      <c r="V212" s="210"/>
      <c r="W212" s="210"/>
      <c r="AA212" s="158" t="str">
        <f t="shared" si="0"/>
        <v>1970 !</v>
      </c>
    </row>
    <row r="213" spans="17:27">
      <c r="Q213" s="158" t="s">
        <v>13503</v>
      </c>
      <c r="R213" s="158" t="str">
        <f>IF(E6&lt;0,R211,IF(G9="SINISTRO","DESTRO","SINISTRO"))</f>
        <v>SINISTRO</v>
      </c>
      <c r="S213" s="158" t="s">
        <v>13503</v>
      </c>
      <c r="U213" s="158">
        <v>1971</v>
      </c>
      <c r="V213" s="210" t="s">
        <v>3332</v>
      </c>
      <c r="W213" s="210" t="s">
        <v>3329</v>
      </c>
      <c r="X213" s="210" t="str">
        <f>CONCATENATE(Q213,R213,S213)</f>
        <v>"SINISTRO"</v>
      </c>
      <c r="AA213" s="158" t="str">
        <f t="shared" si="0"/>
        <v>1971  Senso$="SINISTRO"</v>
      </c>
    </row>
    <row r="214" spans="17:27">
      <c r="U214" s="158" t="s">
        <v>1267</v>
      </c>
      <c r="V214" s="210"/>
      <c r="W214" s="210"/>
      <c r="AA214" s="158" t="str">
        <f t="shared" si="0"/>
        <v>1972 !</v>
      </c>
    </row>
    <row r="215" spans="17:27">
      <c r="U215" s="158">
        <v>1973</v>
      </c>
      <c r="V215" s="210" t="s">
        <v>3333</v>
      </c>
      <c r="W215" s="210" t="s">
        <v>3329</v>
      </c>
      <c r="X215" s="211" t="e">
        <f>E4</f>
        <v>#DIV/0!</v>
      </c>
      <c r="AA215" s="158" t="e">
        <f>CONCATENATE(U215,V215,W215,TRUNC(X215*1000000000)/1000000000)</f>
        <v>#DIV/0!</v>
      </c>
    </row>
    <row r="216" spans="17:27">
      <c r="U216" s="158" t="s">
        <v>13499</v>
      </c>
      <c r="AA216" s="158" t="str">
        <f t="shared" si="0"/>
        <v>1974!</v>
      </c>
    </row>
    <row r="217" spans="17:27">
      <c r="Q217" s="158" t="s">
        <v>13503</v>
      </c>
      <c r="R217" s="211" t="e">
        <f>X215</f>
        <v>#DIV/0!</v>
      </c>
      <c r="S217" s="158" t="s">
        <v>13503</v>
      </c>
      <c r="U217" s="158">
        <v>1975</v>
      </c>
      <c r="V217" s="210" t="s">
        <v>13504</v>
      </c>
      <c r="W217" s="210" t="s">
        <v>3329</v>
      </c>
      <c r="X217" s="158" t="e">
        <f>CONCATENATE(Q217,TRUNC(R217*1000000000)/1000000000,S217)</f>
        <v>#DIV/0!</v>
      </c>
      <c r="AA217" s="158" t="e">
        <f t="shared" si="0"/>
        <v>#DIV/0!</v>
      </c>
    </row>
    <row r="218" spans="17:27">
      <c r="U218" s="158" t="s">
        <v>3376</v>
      </c>
      <c r="AA218" s="158" t="str">
        <f t="shared" si="0"/>
        <v>1977 !</v>
      </c>
    </row>
    <row r="219" spans="17:27">
      <c r="U219" s="158">
        <v>1978</v>
      </c>
      <c r="V219" s="210" t="s">
        <v>3334</v>
      </c>
      <c r="W219" s="210" t="s">
        <v>3329</v>
      </c>
      <c r="X219" s="158">
        <f>E6</f>
        <v>0</v>
      </c>
      <c r="AA219" s="158" t="str">
        <f t="shared" si="0"/>
        <v>1978  Z1=0</v>
      </c>
    </row>
    <row r="220" spans="17:27">
      <c r="U220" s="158" t="s">
        <v>3377</v>
      </c>
      <c r="V220" s="210"/>
      <c r="W220" s="210"/>
      <c r="AA220" s="158" t="str">
        <f t="shared" si="0"/>
        <v>1979 !</v>
      </c>
    </row>
    <row r="221" spans="17:27">
      <c r="U221" s="158">
        <v>1980</v>
      </c>
      <c r="V221" s="210" t="s">
        <v>3335</v>
      </c>
      <c r="W221" s="210" t="s">
        <v>3329</v>
      </c>
      <c r="X221" s="158">
        <f>E7</f>
        <v>0</v>
      </c>
      <c r="AA221" s="158" t="str">
        <f t="shared" si="0"/>
        <v>1980  Apni=0</v>
      </c>
    </row>
    <row r="222" spans="17:27">
      <c r="U222" s="158">
        <v>1981</v>
      </c>
      <c r="V222" s="210"/>
      <c r="W222" s="210"/>
      <c r="AA222" s="158" t="s">
        <v>3378</v>
      </c>
    </row>
    <row r="223" spans="17:27">
      <c r="U223" s="158">
        <v>1984</v>
      </c>
      <c r="V223" s="210" t="s">
        <v>3336</v>
      </c>
      <c r="W223" s="210" t="s">
        <v>3329</v>
      </c>
      <c r="X223" s="210" t="s">
        <v>3337</v>
      </c>
      <c r="AA223" s="158" t="str">
        <f t="shared" si="0"/>
        <v>1984  Apn=Apni*PI/180</v>
      </c>
    </row>
    <row r="224" spans="17:27">
      <c r="U224" s="158">
        <v>1985</v>
      </c>
      <c r="V224" s="210"/>
      <c r="W224" s="210"/>
      <c r="AA224" s="158" t="s">
        <v>3379</v>
      </c>
    </row>
    <row r="225" spans="12:27">
      <c r="L225" s="158">
        <f>TRUNC(R225)</f>
        <v>0</v>
      </c>
      <c r="M225" s="158">
        <f>TRUNC((R225-L225)*60)</f>
        <v>0</v>
      </c>
      <c r="N225" s="158">
        <f>TRUNC(((R225-L225)*60-M225)*60)</f>
        <v>0</v>
      </c>
      <c r="O225" s="158" t="s">
        <v>13559</v>
      </c>
      <c r="P225" s="210" t="s">
        <v>13560</v>
      </c>
      <c r="Q225" s="210" t="s">
        <v>13503</v>
      </c>
      <c r="R225" s="158">
        <f>X221</f>
        <v>0</v>
      </c>
      <c r="S225" s="210" t="s">
        <v>13503</v>
      </c>
      <c r="T225" s="210" t="s">
        <v>13561</v>
      </c>
      <c r="U225" s="158">
        <v>1986</v>
      </c>
      <c r="V225" s="210" t="s">
        <v>13505</v>
      </c>
      <c r="W225" s="158" t="s">
        <v>3329</v>
      </c>
      <c r="X225" s="158" t="str">
        <f>CONCATENATE(S225,L225,S225,T225,S225,O225,S225,T225,S225,M225,S225,T225,S225,P225,S225,T225,S225,N225,S225,T225,S225,P225,P225,S225)</f>
        <v>"0"&amp;"°"&amp;"0"&amp;"'"&amp;"0"&amp;"''"</v>
      </c>
      <c r="AA225" s="158" t="str">
        <f t="shared" si="0"/>
        <v>1986  Apn$="0"&amp;"°"&amp;"0"&amp;"'"&amp;"0"&amp;"''"</v>
      </c>
    </row>
    <row r="226" spans="12:27">
      <c r="U226" s="158">
        <v>1987</v>
      </c>
      <c r="AA226" s="158" t="s">
        <v>3380</v>
      </c>
    </row>
    <row r="227" spans="12:27">
      <c r="L227" s="158">
        <f>TRUNC(R227)</f>
        <v>0</v>
      </c>
      <c r="M227" s="158">
        <f>TRUNC((R227-L227)*60)</f>
        <v>0</v>
      </c>
      <c r="N227" s="158">
        <f>TRUNC(((R227-L227)*60-M227)*60)</f>
        <v>0</v>
      </c>
      <c r="O227" s="158" t="s">
        <v>13559</v>
      </c>
      <c r="P227" s="210" t="s">
        <v>13560</v>
      </c>
      <c r="Q227" s="210" t="s">
        <v>13503</v>
      </c>
      <c r="R227" s="212">
        <f>ATAN(TAN(RADIANS(X221))/COS(RADIANS(X229)))*180/PI()</f>
        <v>0</v>
      </c>
      <c r="S227" s="210" t="s">
        <v>13503</v>
      </c>
      <c r="T227" s="210" t="s">
        <v>13561</v>
      </c>
      <c r="U227" s="158">
        <v>1988</v>
      </c>
      <c r="V227" s="210" t="s">
        <v>13506</v>
      </c>
      <c r="W227" s="158" t="s">
        <v>3329</v>
      </c>
      <c r="X227" s="158" t="str">
        <f>CONCATENATE(S227,L227,S227,T227,S227,O227,S227,T227,S227,M227,S227,T227,S227,P227,S227,T227,S227,N227,S227,T227,S227,P227,P227,S227)</f>
        <v>"0"&amp;"°"&amp;"0"&amp;"'"&amp;"0"&amp;"''"</v>
      </c>
      <c r="AA227" s="158" t="str">
        <f t="shared" si="0"/>
        <v>1988  Apt$="0"&amp;"°"&amp;"0"&amp;"'"&amp;"0"&amp;"''"</v>
      </c>
    </row>
    <row r="228" spans="12:27">
      <c r="U228" s="158">
        <v>1989</v>
      </c>
      <c r="AA228" s="158" t="s">
        <v>3381</v>
      </c>
    </row>
    <row r="229" spans="12:27">
      <c r="U229" s="210">
        <v>1990</v>
      </c>
      <c r="V229" s="210" t="s">
        <v>3338</v>
      </c>
      <c r="W229" s="210" t="s">
        <v>3329</v>
      </c>
      <c r="X229" s="158">
        <f>E9</f>
        <v>0</v>
      </c>
      <c r="AA229" s="158" t="str">
        <f t="shared" si="0"/>
        <v>1990  Aeli=0</v>
      </c>
    </row>
    <row r="230" spans="12:27">
      <c r="L230" s="158">
        <f>TRUNC(R230)</f>
        <v>0</v>
      </c>
      <c r="M230" s="158">
        <f>TRUNC((R230-L230)*60)</f>
        <v>0</v>
      </c>
      <c r="N230" s="158">
        <f>TRUNC(((R230-L230)*60-M230)*60)</f>
        <v>0</v>
      </c>
      <c r="O230" s="158" t="s">
        <v>13559</v>
      </c>
      <c r="P230" s="210" t="s">
        <v>13560</v>
      </c>
      <c r="Q230" s="210" t="s">
        <v>13503</v>
      </c>
      <c r="R230" s="158">
        <f>X229</f>
        <v>0</v>
      </c>
      <c r="S230" s="210" t="s">
        <v>13503</v>
      </c>
      <c r="T230" s="210" t="s">
        <v>13561</v>
      </c>
      <c r="U230" s="158">
        <v>1991</v>
      </c>
      <c r="V230" s="210" t="s">
        <v>13507</v>
      </c>
      <c r="W230" s="158" t="s">
        <v>3329</v>
      </c>
      <c r="X230" s="158" t="str">
        <f>CONCATENATE(S230,L230,S230,T230,S230,O230,S230,T230,S230,M230,S230,T230,S230,P230,S230,T230,S230,N230,S230,T230,S230,P230,P230,S230)</f>
        <v>"0"&amp;"°"&amp;"0"&amp;"'"&amp;"0"&amp;"''"</v>
      </c>
      <c r="AA230" s="158" t="str">
        <f t="shared" si="0"/>
        <v>1991  Ael$="0"&amp;"°"&amp;"0"&amp;"'"&amp;"0"&amp;"''"</v>
      </c>
    </row>
    <row r="231" spans="12:27">
      <c r="U231" s="158" t="s">
        <v>3382</v>
      </c>
      <c r="AA231" s="158" t="str">
        <f t="shared" si="0"/>
        <v>1993 !</v>
      </c>
    </row>
    <row r="232" spans="12:27">
      <c r="U232" s="158">
        <v>1994</v>
      </c>
      <c r="V232" s="210" t="s">
        <v>3339</v>
      </c>
      <c r="W232" s="210" t="s">
        <v>3329</v>
      </c>
      <c r="X232" s="210" t="s">
        <v>3340</v>
      </c>
      <c r="AA232" s="158" t="str">
        <f t="shared" si="0"/>
        <v>1994  Ael=Aeli*PI/180</v>
      </c>
    </row>
    <row r="233" spans="12:27">
      <c r="U233" s="158" t="s">
        <v>3383</v>
      </c>
      <c r="V233" s="210"/>
      <c r="W233" s="210"/>
      <c r="AA233" s="158" t="str">
        <f t="shared" si="0"/>
        <v>1995 !</v>
      </c>
    </row>
    <row r="234" spans="12:27">
      <c r="U234" s="158">
        <v>1996</v>
      </c>
      <c r="V234" s="210" t="s">
        <v>3345</v>
      </c>
      <c r="W234" s="210" t="s">
        <v>3329</v>
      </c>
      <c r="X234" s="210" t="s">
        <v>3342</v>
      </c>
      <c r="AA234" s="158" t="str">
        <f t="shared" si="0"/>
        <v>1996  Apt=ATN(TAN(Apn)/COS(Ael))</v>
      </c>
    </row>
    <row r="235" spans="12:27">
      <c r="U235" s="158" t="s">
        <v>3384</v>
      </c>
      <c r="V235" s="210"/>
      <c r="W235" s="210"/>
      <c r="AA235" s="158" t="str">
        <f t="shared" si="0"/>
        <v>1997 !</v>
      </c>
    </row>
    <row r="236" spans="12:27">
      <c r="U236" s="158">
        <v>1998</v>
      </c>
      <c r="V236" s="210" t="s">
        <v>3346</v>
      </c>
      <c r="W236" s="210" t="s">
        <v>3329</v>
      </c>
      <c r="X236" s="210" t="s">
        <v>3344</v>
      </c>
      <c r="AA236" s="158" t="str">
        <f t="shared" si="0"/>
        <v>1998  Mt=Mn/COS(Ael)</v>
      </c>
    </row>
    <row r="237" spans="12:27">
      <c r="U237" s="158" t="s">
        <v>3385</v>
      </c>
      <c r="V237" s="210"/>
      <c r="W237" s="210"/>
      <c r="AA237" s="158" t="str">
        <f t="shared" si="0"/>
        <v>1999 !</v>
      </c>
    </row>
    <row r="238" spans="12:27">
      <c r="U238" s="158">
        <v>2000</v>
      </c>
      <c r="V238" s="210" t="s">
        <v>3347</v>
      </c>
      <c r="W238" s="210" t="s">
        <v>3329</v>
      </c>
      <c r="X238" s="210" t="s">
        <v>3343</v>
      </c>
      <c r="AA238" s="158" t="str">
        <f t="shared" si="0"/>
        <v>2000  M=Mt</v>
      </c>
    </row>
    <row r="239" spans="12:27">
      <c r="U239" s="158" t="s">
        <v>3386</v>
      </c>
      <c r="V239" s="210"/>
      <c r="W239" s="210"/>
      <c r="AA239" s="158" t="str">
        <f t="shared" si="0"/>
        <v>2001 !</v>
      </c>
    </row>
    <row r="240" spans="12:27">
      <c r="U240" s="158">
        <v>2002</v>
      </c>
      <c r="V240" s="210" t="s">
        <v>3348</v>
      </c>
      <c r="W240" s="210" t="s">
        <v>3329</v>
      </c>
      <c r="X240" s="210" t="s">
        <v>3341</v>
      </c>
      <c r="AA240" s="158" t="str">
        <f t="shared" si="0"/>
        <v>2002  Ap=Apt</v>
      </c>
    </row>
    <row r="241" spans="12:27">
      <c r="U241" s="158" t="s">
        <v>3387</v>
      </c>
      <c r="V241" s="210"/>
      <c r="W241" s="210"/>
      <c r="AA241" s="158" t="str">
        <f t="shared" si="0"/>
        <v>2003 !</v>
      </c>
    </row>
    <row r="242" spans="12:27">
      <c r="U242" s="158">
        <v>2004</v>
      </c>
      <c r="V242" s="210" t="s">
        <v>3349</v>
      </c>
      <c r="W242" s="210" t="s">
        <v>3329</v>
      </c>
      <c r="X242" s="210" t="s">
        <v>3350</v>
      </c>
      <c r="AA242" s="158" t="str">
        <f t="shared" si="0"/>
        <v>2004  D1=M*Z1</v>
      </c>
    </row>
    <row r="243" spans="12:27">
      <c r="U243" s="158" t="s">
        <v>3388</v>
      </c>
      <c r="V243" s="210"/>
      <c r="W243" s="210"/>
      <c r="AA243" s="158" t="str">
        <f t="shared" si="0"/>
        <v>2005 !</v>
      </c>
    </row>
    <row r="244" spans="12:27">
      <c r="U244" s="158">
        <v>2006</v>
      </c>
      <c r="V244" s="210" t="s">
        <v>3351</v>
      </c>
      <c r="W244" s="210" t="s">
        <v>3329</v>
      </c>
      <c r="X244" s="210" t="s">
        <v>3352</v>
      </c>
      <c r="AA244" s="158" t="str">
        <f t="shared" si="0"/>
        <v>2006  Db1=D1*COS(Ap)</v>
      </c>
    </row>
    <row r="245" spans="12:27">
      <c r="U245" s="158" t="s">
        <v>3389</v>
      </c>
      <c r="V245" s="210"/>
      <c r="W245" s="210"/>
      <c r="AA245" s="158" t="str">
        <f t="shared" si="0"/>
        <v>2007 !</v>
      </c>
    </row>
    <row r="246" spans="12:27">
      <c r="U246" s="158">
        <v>2008</v>
      </c>
      <c r="V246" s="210" t="s">
        <v>3353</v>
      </c>
      <c r="W246" s="210" t="s">
        <v>3329</v>
      </c>
      <c r="X246" s="213" t="e">
        <f>E10</f>
        <v>#DIV/0!</v>
      </c>
      <c r="AA246" s="158" t="e">
        <f t="shared" si="0"/>
        <v>#DIV/0!</v>
      </c>
    </row>
    <row r="247" spans="12:27">
      <c r="U247" s="158" t="s">
        <v>3390</v>
      </c>
      <c r="V247" s="210"/>
      <c r="W247" s="210"/>
      <c r="AA247" s="158" t="str">
        <f t="shared" si="0"/>
        <v>2009 !</v>
      </c>
    </row>
    <row r="248" spans="12:27">
      <c r="U248" s="158">
        <v>2010</v>
      </c>
      <c r="V248" s="210" t="s">
        <v>13508</v>
      </c>
      <c r="W248" s="210" t="s">
        <v>3329</v>
      </c>
      <c r="X248" s="213" t="e">
        <f>E11</f>
        <v>#DIV/0!</v>
      </c>
      <c r="AA248" s="158" t="e">
        <f t="shared" si="0"/>
        <v>#DIV/0!</v>
      </c>
    </row>
    <row r="249" spans="12:27">
      <c r="U249" s="158" t="s">
        <v>3391</v>
      </c>
      <c r="V249" s="210"/>
      <c r="W249" s="210"/>
      <c r="AA249" s="158" t="str">
        <f t="shared" si="0"/>
        <v>2011 !</v>
      </c>
    </row>
    <row r="250" spans="12:27">
      <c r="Q250" s="210"/>
      <c r="R250" s="210" t="s">
        <v>13520</v>
      </c>
      <c r="S250" s="210" t="s">
        <v>13519</v>
      </c>
      <c r="U250" s="158">
        <v>2012</v>
      </c>
      <c r="V250" s="210" t="str">
        <f>IF(G12,R250,S250)</f>
        <v xml:space="preserve"> !</v>
      </c>
      <c r="W250" s="210" t="s">
        <v>3329</v>
      </c>
      <c r="X250" s="213" t="str">
        <f>E12</f>
        <v/>
      </c>
      <c r="AA250" s="158" t="str">
        <f t="shared" si="0"/>
        <v>2012 !=</v>
      </c>
    </row>
    <row r="251" spans="12:27">
      <c r="U251" s="158" t="s">
        <v>3392</v>
      </c>
      <c r="V251" s="210"/>
      <c r="W251" s="210"/>
      <c r="AA251" s="158" t="str">
        <f t="shared" si="0"/>
        <v>2013 !</v>
      </c>
    </row>
    <row r="252" spans="12:27">
      <c r="R252" s="210" t="s">
        <v>13521</v>
      </c>
      <c r="S252" s="210" t="s">
        <v>13519</v>
      </c>
      <c r="U252" s="158">
        <v>2014</v>
      </c>
      <c r="V252" s="210" t="str">
        <f>IF(G12,R252,S252)</f>
        <v xml:space="preserve"> !</v>
      </c>
      <c r="W252" s="210" t="s">
        <v>3329</v>
      </c>
      <c r="X252" s="158">
        <f>G12</f>
        <v>0</v>
      </c>
      <c r="AA252" s="158" t="str">
        <f t="shared" si="0"/>
        <v>2014 !=0</v>
      </c>
    </row>
    <row r="253" spans="12:27">
      <c r="U253" s="158" t="s">
        <v>3393</v>
      </c>
      <c r="V253" s="210"/>
      <c r="W253" s="210"/>
      <c r="AA253" s="158" t="str">
        <f t="shared" si="0"/>
        <v>2015 !</v>
      </c>
    </row>
    <row r="254" spans="12:27">
      <c r="U254" s="158">
        <v>2016</v>
      </c>
      <c r="V254" s="210" t="s">
        <v>13509</v>
      </c>
      <c r="W254" s="210" t="s">
        <v>3329</v>
      </c>
      <c r="X254" s="158" t="s">
        <v>13500</v>
      </c>
      <c r="AA254" s="158" t="str">
        <f t="shared" si="0"/>
        <v>2016  Apkn=Apkni*PI/180</v>
      </c>
    </row>
    <row r="255" spans="12:27">
      <c r="U255" s="158" t="s">
        <v>3394</v>
      </c>
      <c r="V255" s="210"/>
      <c r="W255" s="210"/>
      <c r="AA255" s="158" t="str">
        <f t="shared" si="0"/>
        <v>2017 !</v>
      </c>
    </row>
    <row r="256" spans="12:27">
      <c r="L256" s="158">
        <f>TRUNC(R256)</f>
        <v>0</v>
      </c>
      <c r="M256" s="158">
        <f>TRUNC((R256-L256)*60)</f>
        <v>0</v>
      </c>
      <c r="N256" s="158">
        <f>TRUNC(((R256-L256)*60-M256)*60)</f>
        <v>0</v>
      </c>
      <c r="O256" s="158" t="s">
        <v>13559</v>
      </c>
      <c r="P256" s="210" t="s">
        <v>13560</v>
      </c>
      <c r="Q256" s="210"/>
      <c r="R256" s="158">
        <f>X252</f>
        <v>0</v>
      </c>
      <c r="S256" s="210" t="s">
        <v>13503</v>
      </c>
      <c r="T256" s="210" t="s">
        <v>13561</v>
      </c>
      <c r="U256" s="158">
        <v>2018</v>
      </c>
      <c r="V256" s="210" t="s">
        <v>13510</v>
      </c>
      <c r="W256" s="210" t="s">
        <v>3329</v>
      </c>
      <c r="X256" s="158" t="str">
        <f>CONCATENATE(S256,L256,S256,T256,S256,O256,S256,T256,S256,M256,S256,T256,S256,P256,S256)</f>
        <v>"0"&amp;"°"&amp;"0"&amp;"'"</v>
      </c>
      <c r="AA256" s="158" t="str">
        <f t="shared" si="0"/>
        <v>2018  Apkn$="0"&amp;"°"&amp;"0"&amp;"'"</v>
      </c>
    </row>
    <row r="257" spans="12:27">
      <c r="U257" s="158" t="s">
        <v>3395</v>
      </c>
      <c r="V257" s="210"/>
      <c r="W257" s="210"/>
      <c r="AA257" s="158" t="str">
        <f t="shared" si="0"/>
        <v>2019 !</v>
      </c>
    </row>
    <row r="258" spans="12:27">
      <c r="L258" s="158">
        <f>TRUNC(R258)</f>
        <v>0</v>
      </c>
      <c r="M258" s="158">
        <f>TRUNC((R258-L258)*60)</f>
        <v>0</v>
      </c>
      <c r="N258" s="158">
        <f>TRUNC(((R258-L258)*60-M258)*60)</f>
        <v>0</v>
      </c>
      <c r="O258" s="158" t="s">
        <v>13559</v>
      </c>
      <c r="P258" s="210" t="s">
        <v>13560</v>
      </c>
      <c r="Q258" s="210"/>
      <c r="R258" s="158">
        <f>ATAN(TAN(RADIANS(X252))/COS(RADIANS(X229)))*180/PI()</f>
        <v>0</v>
      </c>
      <c r="S258" s="210" t="s">
        <v>13503</v>
      </c>
      <c r="T258" s="210" t="s">
        <v>13561</v>
      </c>
      <c r="U258" s="158">
        <v>2020</v>
      </c>
      <c r="V258" s="210" t="s">
        <v>13511</v>
      </c>
      <c r="W258" s="210" t="s">
        <v>3329</v>
      </c>
      <c r="X258" s="158" t="str">
        <f>CONCATENATE(S258,L258,S258,T258,S258,O258,S258,T258,S258,M258,S258,T258,S258,P258,S258)</f>
        <v>"0"&amp;"°"&amp;"0"&amp;"'"</v>
      </c>
      <c r="AA258" s="158" t="str">
        <f t="shared" si="0"/>
        <v>2020  Apktprt$="0"&amp;"°"&amp;"0"&amp;"'"</v>
      </c>
    </row>
    <row r="259" spans="12:27">
      <c r="U259" s="158" t="s">
        <v>3396</v>
      </c>
      <c r="V259" s="210"/>
      <c r="W259" s="210"/>
      <c r="AA259" s="158" t="str">
        <f t="shared" si="0"/>
        <v>2021 !</v>
      </c>
    </row>
    <row r="260" spans="12:27">
      <c r="U260" s="158">
        <v>2022</v>
      </c>
      <c r="V260" s="210" t="s">
        <v>13512</v>
      </c>
      <c r="W260" s="210" t="s">
        <v>3329</v>
      </c>
      <c r="X260" s="158" t="s">
        <v>13515</v>
      </c>
      <c r="AA260" s="158" t="str">
        <f t="shared" si="0"/>
        <v>2022  Apkt=ATN(TAN(Apkn)/COS(Ael))</v>
      </c>
    </row>
    <row r="261" spans="12:27">
      <c r="U261" s="158" t="s">
        <v>3397</v>
      </c>
      <c r="V261" s="210"/>
      <c r="W261" s="210"/>
      <c r="AA261" s="158" t="str">
        <f t="shared" si="0"/>
        <v>2023 !</v>
      </c>
    </row>
    <row r="262" spans="12:27">
      <c r="U262" s="158">
        <v>2024</v>
      </c>
      <c r="V262" s="210" t="s">
        <v>13513</v>
      </c>
      <c r="W262" s="210" t="s">
        <v>3329</v>
      </c>
      <c r="X262" s="158" t="s">
        <v>13501</v>
      </c>
      <c r="AA262" s="158" t="str">
        <f t="shared" si="0"/>
        <v>2024  Ang=Apkt</v>
      </c>
    </row>
    <row r="263" spans="12:27">
      <c r="U263" s="158" t="s">
        <v>3398</v>
      </c>
      <c r="V263" s="210"/>
      <c r="W263" s="210"/>
      <c r="AA263" s="158" t="str">
        <f t="shared" si="0"/>
        <v>2025 !</v>
      </c>
    </row>
    <row r="264" spans="12:27">
      <c r="R264" s="210" t="s">
        <v>13553</v>
      </c>
      <c r="S264" s="210" t="s">
        <v>13519</v>
      </c>
      <c r="U264" s="158">
        <v>2026</v>
      </c>
      <c r="V264" s="210" t="str">
        <f>IF(B6&lt;0,R264,S264)</f>
        <v xml:space="preserve"> !</v>
      </c>
      <c r="W264" s="210" t="s">
        <v>3329</v>
      </c>
      <c r="X264" s="158">
        <f>TRUNC(E15*10000)/10000</f>
        <v>0</v>
      </c>
      <c r="AA264" s="158" t="str">
        <f t="shared" si="0"/>
        <v>2026 !=0</v>
      </c>
    </row>
    <row r="265" spans="12:27">
      <c r="U265" s="158" t="s">
        <v>3399</v>
      </c>
      <c r="V265" s="210"/>
      <c r="W265" s="210"/>
      <c r="AA265" s="158" t="str">
        <f t="shared" si="0"/>
        <v>2027 !</v>
      </c>
    </row>
    <row r="266" spans="12:27">
      <c r="R266" s="210" t="s">
        <v>13554</v>
      </c>
      <c r="S266" s="210" t="s">
        <v>13519</v>
      </c>
      <c r="U266" s="158">
        <v>2028</v>
      </c>
      <c r="V266" s="210" t="str">
        <f>IF(B6&lt;0,R266,S266)</f>
        <v xml:space="preserve"> !</v>
      </c>
      <c r="W266" s="210" t="s">
        <v>3329</v>
      </c>
      <c r="X266" s="158" t="s">
        <v>13502</v>
      </c>
      <c r="AA266" s="158" t="str">
        <f t="shared" si="0"/>
        <v>2028 !=En1s/COS(Ael)</v>
      </c>
    </row>
    <row r="267" spans="12:27">
      <c r="U267" s="158" t="s">
        <v>3400</v>
      </c>
      <c r="AA267" s="158" t="str">
        <f t="shared" si="0"/>
        <v>2029 !</v>
      </c>
    </row>
    <row r="268" spans="12:27">
      <c r="R268" s="210" t="s">
        <v>13555</v>
      </c>
      <c r="U268" s="158">
        <v>2030</v>
      </c>
      <c r="V268" s="210" t="s">
        <v>13514</v>
      </c>
      <c r="W268" s="158" t="s">
        <v>3329</v>
      </c>
      <c r="X268" s="158">
        <f>IF(B6&lt;0,R268,E15)</f>
        <v>0</v>
      </c>
      <c r="AA268" s="158" t="str">
        <f t="shared" si="0"/>
        <v>2030  Sn1s=0</v>
      </c>
    </row>
    <row r="269" spans="12:27">
      <c r="U269" s="158" t="s">
        <v>3401</v>
      </c>
      <c r="AA269" s="158" t="s">
        <v>3401</v>
      </c>
    </row>
    <row r="270" spans="12:27">
      <c r="AA270" s="158" t="s">
        <v>3402</v>
      </c>
    </row>
    <row r="271" spans="12:27">
      <c r="AA271" s="158" t="s">
        <v>3403</v>
      </c>
    </row>
    <row r="272" spans="12:27">
      <c r="AA272" s="158" t="s">
        <v>3404</v>
      </c>
    </row>
    <row r="273" spans="27:27">
      <c r="AA273" s="158" t="s">
        <v>3405</v>
      </c>
    </row>
    <row r="274" spans="27:27">
      <c r="AA274" s="158" t="s">
        <v>3406</v>
      </c>
    </row>
    <row r="275" spans="27:27">
      <c r="AA275" s="158" t="s">
        <v>3407</v>
      </c>
    </row>
    <row r="276" spans="27:27">
      <c r="AA276" s="158" t="s">
        <v>3408</v>
      </c>
    </row>
    <row r="277" spans="27:27">
      <c r="AA277" s="158" t="s">
        <v>3409</v>
      </c>
    </row>
    <row r="278" spans="27:27">
      <c r="AA278" s="158" t="s">
        <v>3410</v>
      </c>
    </row>
    <row r="279" spans="27:27">
      <c r="AA279" s="158" t="s">
        <v>3411</v>
      </c>
    </row>
    <row r="280" spans="27:27">
      <c r="AA280" s="158" t="s">
        <v>3412</v>
      </c>
    </row>
    <row r="281" spans="27:27">
      <c r="AA281" s="158" t="s">
        <v>3413</v>
      </c>
    </row>
    <row r="282" spans="27:27">
      <c r="AA282" s="158" t="s">
        <v>3414</v>
      </c>
    </row>
    <row r="283" spans="27:27">
      <c r="AA283" s="158" t="s">
        <v>4250</v>
      </c>
    </row>
    <row r="284" spans="27:27">
      <c r="AA284" s="158" t="s">
        <v>4251</v>
      </c>
    </row>
    <row r="285" spans="27:27">
      <c r="AA285" s="158" t="s">
        <v>4252</v>
      </c>
    </row>
    <row r="286" spans="27:27">
      <c r="AA286" s="158" t="s">
        <v>4253</v>
      </c>
    </row>
    <row r="287" spans="27:27">
      <c r="AA287" s="158" t="s">
        <v>4254</v>
      </c>
    </row>
    <row r="288" spans="27:27">
      <c r="AA288" s="158" t="s">
        <v>4255</v>
      </c>
    </row>
    <row r="289" spans="27:27">
      <c r="AA289" s="158" t="s">
        <v>4256</v>
      </c>
    </row>
    <row r="290" spans="27:27">
      <c r="AA290" s="158" t="s">
        <v>4257</v>
      </c>
    </row>
    <row r="291" spans="27:27">
      <c r="AA291" s="158" t="s">
        <v>4258</v>
      </c>
    </row>
    <row r="292" spans="27:27">
      <c r="AA292" s="158" t="s">
        <v>4259</v>
      </c>
    </row>
    <row r="293" spans="27:27">
      <c r="AA293" s="158" t="s">
        <v>4260</v>
      </c>
    </row>
    <row r="294" spans="27:27">
      <c r="AA294" s="158" t="s">
        <v>4261</v>
      </c>
    </row>
    <row r="295" spans="27:27">
      <c r="AA295" s="158" t="s">
        <v>4262</v>
      </c>
    </row>
    <row r="296" spans="27:27">
      <c r="AA296" s="158" t="s">
        <v>4263</v>
      </c>
    </row>
    <row r="297" spans="27:27">
      <c r="AA297" s="158" t="s">
        <v>4264</v>
      </c>
    </row>
    <row r="298" spans="27:27">
      <c r="AA298" s="158" t="s">
        <v>4265</v>
      </c>
    </row>
    <row r="299" spans="27:27">
      <c r="AA299" s="158" t="s">
        <v>4266</v>
      </c>
    </row>
    <row r="300" spans="27:27">
      <c r="AA300" s="158" t="s">
        <v>4267</v>
      </c>
    </row>
    <row r="301" spans="27:27">
      <c r="AA301" s="158" t="s">
        <v>3415</v>
      </c>
    </row>
    <row r="302" spans="27:27">
      <c r="AA302" s="158" t="s">
        <v>4268</v>
      </c>
    </row>
    <row r="303" spans="27:27">
      <c r="AA303" s="158" t="s">
        <v>4269</v>
      </c>
    </row>
    <row r="304" spans="27:27">
      <c r="AA304" s="158" t="s">
        <v>4270</v>
      </c>
    </row>
    <row r="305" spans="18:27">
      <c r="AA305" s="158" t="s">
        <v>4271</v>
      </c>
    </row>
    <row r="306" spans="18:27">
      <c r="R306" s="210" t="s">
        <v>13522</v>
      </c>
      <c r="S306" s="210" t="s">
        <v>13519</v>
      </c>
      <c r="U306" s="158">
        <v>2068</v>
      </c>
      <c r="V306" s="210" t="str">
        <f>IF(B13,R306,S306)</f>
        <v xml:space="preserve"> !</v>
      </c>
      <c r="W306" s="158" t="s">
        <v>3329</v>
      </c>
      <c r="X306" s="214" t="str">
        <f>IF(B13,ABS(E13),"")</f>
        <v/>
      </c>
      <c r="AA306" s="158" t="str">
        <f>CONCATENATE(U306,V306,W306,X306)</f>
        <v>2068 !=</v>
      </c>
    </row>
    <row r="307" spans="18:27">
      <c r="AA307" s="158" t="s">
        <v>3416</v>
      </c>
    </row>
    <row r="308" spans="18:27">
      <c r="AA308" s="158" t="s">
        <v>3417</v>
      </c>
    </row>
    <row r="309" spans="18:27">
      <c r="AA309" s="158" t="s">
        <v>3418</v>
      </c>
    </row>
    <row r="310" spans="18:27">
      <c r="R310" s="158" t="s">
        <v>13523</v>
      </c>
      <c r="T310" s="158" t="s">
        <v>4272</v>
      </c>
      <c r="AA310" s="158" t="str">
        <f>IF($B$13,T310,R310)</f>
        <v>2072 !</v>
      </c>
    </row>
    <row r="311" spans="18:27">
      <c r="R311" s="158" t="s">
        <v>13523</v>
      </c>
      <c r="T311" s="158" t="s">
        <v>4273</v>
      </c>
      <c r="AA311" s="158" t="str">
        <f t="shared" ref="AA311:AA326" si="1">IF($B$13,T311,R311)</f>
        <v>2072 !</v>
      </c>
    </row>
    <row r="312" spans="18:27">
      <c r="R312" s="158" t="s">
        <v>13523</v>
      </c>
      <c r="T312" s="158" t="s">
        <v>4274</v>
      </c>
      <c r="AA312" s="158" t="str">
        <f t="shared" si="1"/>
        <v>2072 !</v>
      </c>
    </row>
    <row r="313" spans="18:27">
      <c r="R313" s="158" t="s">
        <v>13523</v>
      </c>
      <c r="T313" s="158" t="s">
        <v>4275</v>
      </c>
      <c r="AA313" s="158" t="str">
        <f t="shared" si="1"/>
        <v>2072 !</v>
      </c>
    </row>
    <row r="314" spans="18:27">
      <c r="R314" s="158" t="s">
        <v>13523</v>
      </c>
      <c r="T314" s="158" t="s">
        <v>4276</v>
      </c>
      <c r="AA314" s="158" t="str">
        <f t="shared" si="1"/>
        <v>2072 !</v>
      </c>
    </row>
    <row r="315" spans="18:27">
      <c r="R315" s="158" t="s">
        <v>13523</v>
      </c>
      <c r="T315" s="158" t="s">
        <v>4277</v>
      </c>
      <c r="AA315" s="158" t="str">
        <f t="shared" si="1"/>
        <v>2072 !</v>
      </c>
    </row>
    <row r="316" spans="18:27">
      <c r="R316" s="158" t="s">
        <v>13523</v>
      </c>
      <c r="T316" s="158" t="s">
        <v>4278</v>
      </c>
      <c r="AA316" s="158" t="str">
        <f t="shared" si="1"/>
        <v>2072 !</v>
      </c>
    </row>
    <row r="317" spans="18:27">
      <c r="R317" s="158" t="s">
        <v>13523</v>
      </c>
      <c r="T317" s="158" t="s">
        <v>4279</v>
      </c>
      <c r="AA317" s="158" t="str">
        <f t="shared" si="1"/>
        <v>2072 !</v>
      </c>
    </row>
    <row r="318" spans="18:27">
      <c r="R318" s="158" t="s">
        <v>13523</v>
      </c>
      <c r="T318" s="158" t="s">
        <v>4280</v>
      </c>
      <c r="AA318" s="158" t="str">
        <f t="shared" si="1"/>
        <v>2072 !</v>
      </c>
    </row>
    <row r="319" spans="18:27">
      <c r="R319" s="158" t="s">
        <v>13523</v>
      </c>
      <c r="T319" s="158" t="s">
        <v>4281</v>
      </c>
      <c r="AA319" s="158" t="str">
        <f t="shared" si="1"/>
        <v>2072 !</v>
      </c>
    </row>
    <row r="320" spans="18:27">
      <c r="R320" s="158" t="s">
        <v>13523</v>
      </c>
      <c r="T320" s="158" t="s">
        <v>4282</v>
      </c>
      <c r="AA320" s="158" t="str">
        <f t="shared" si="1"/>
        <v>2072 !</v>
      </c>
    </row>
    <row r="321" spans="18:27">
      <c r="R321" s="158" t="s">
        <v>13523</v>
      </c>
      <c r="T321" s="158" t="s">
        <v>4283</v>
      </c>
      <c r="AA321" s="158" t="str">
        <f t="shared" si="1"/>
        <v>2072 !</v>
      </c>
    </row>
    <row r="322" spans="18:27">
      <c r="R322" s="158" t="s">
        <v>13523</v>
      </c>
      <c r="T322" s="158" t="s">
        <v>4284</v>
      </c>
      <c r="AA322" s="158" t="str">
        <f t="shared" si="1"/>
        <v>2072 !</v>
      </c>
    </row>
    <row r="323" spans="18:27">
      <c r="R323" s="158" t="s">
        <v>13523</v>
      </c>
      <c r="T323" s="158" t="s">
        <v>4285</v>
      </c>
      <c r="AA323" s="158" t="str">
        <f t="shared" si="1"/>
        <v>2072 !</v>
      </c>
    </row>
    <row r="324" spans="18:27">
      <c r="R324" s="158" t="s">
        <v>13523</v>
      </c>
      <c r="T324" s="158" t="s">
        <v>3419</v>
      </c>
      <c r="AA324" s="158" t="str">
        <f t="shared" si="1"/>
        <v>2072 !</v>
      </c>
    </row>
    <row r="325" spans="18:27">
      <c r="R325" s="158" t="s">
        <v>13523</v>
      </c>
      <c r="T325" s="158" t="s">
        <v>4286</v>
      </c>
      <c r="AA325" s="158" t="str">
        <f t="shared" si="1"/>
        <v>2072 !</v>
      </c>
    </row>
    <row r="326" spans="18:27">
      <c r="R326" s="158" t="s">
        <v>13523</v>
      </c>
      <c r="T326" s="158" t="s">
        <v>4287</v>
      </c>
      <c r="AA326" s="158" t="str">
        <f t="shared" si="1"/>
        <v>2072 !</v>
      </c>
    </row>
    <row r="327" spans="18:27">
      <c r="AA327" s="158" t="s">
        <v>3420</v>
      </c>
    </row>
    <row r="328" spans="18:27">
      <c r="AA328" s="158" t="s">
        <v>3421</v>
      </c>
    </row>
    <row r="329" spans="18:27">
      <c r="AA329" s="158" t="s">
        <v>3422</v>
      </c>
    </row>
    <row r="330" spans="18:27">
      <c r="AA330" s="158" t="s">
        <v>3423</v>
      </c>
    </row>
    <row r="331" spans="18:27">
      <c r="AA331" s="158" t="s">
        <v>3424</v>
      </c>
    </row>
    <row r="332" spans="18:27">
      <c r="AA332" s="158" t="s">
        <v>3425</v>
      </c>
    </row>
    <row r="333" spans="18:27">
      <c r="AA333" s="158" t="s">
        <v>3426</v>
      </c>
    </row>
    <row r="334" spans="18:27">
      <c r="AA334" s="158" t="s">
        <v>3427</v>
      </c>
    </row>
    <row r="335" spans="18:27">
      <c r="AA335" s="158" t="s">
        <v>3428</v>
      </c>
    </row>
    <row r="336" spans="18:27">
      <c r="AA336" s="158" t="s">
        <v>3429</v>
      </c>
    </row>
    <row r="337" spans="27:27">
      <c r="AA337" s="158" t="s">
        <v>4288</v>
      </c>
    </row>
    <row r="338" spans="27:27">
      <c r="AA338" s="158" t="s">
        <v>4289</v>
      </c>
    </row>
    <row r="339" spans="27:27">
      <c r="AA339" s="158" t="s">
        <v>3430</v>
      </c>
    </row>
    <row r="340" spans="27:27">
      <c r="AA340" s="158" t="s">
        <v>3431</v>
      </c>
    </row>
    <row r="341" spans="27:27">
      <c r="AA341" s="158" t="s">
        <v>4290</v>
      </c>
    </row>
    <row r="342" spans="27:27">
      <c r="AA342" s="158" t="s">
        <v>4291</v>
      </c>
    </row>
    <row r="343" spans="27:27">
      <c r="AA343" s="158" t="s">
        <v>4292</v>
      </c>
    </row>
    <row r="344" spans="27:27">
      <c r="AA344" s="158" t="s">
        <v>4293</v>
      </c>
    </row>
    <row r="345" spans="27:27">
      <c r="AA345" s="158" t="s">
        <v>4294</v>
      </c>
    </row>
    <row r="346" spans="27:27">
      <c r="AA346" s="158" t="s">
        <v>3432</v>
      </c>
    </row>
    <row r="347" spans="27:27">
      <c r="AA347" s="158" t="s">
        <v>3433</v>
      </c>
    </row>
    <row r="348" spans="27:27">
      <c r="AA348" s="158" t="s">
        <v>4295</v>
      </c>
    </row>
    <row r="349" spans="27:27">
      <c r="AA349" s="158" t="s">
        <v>4296</v>
      </c>
    </row>
    <row r="350" spans="27:27">
      <c r="AA350" s="158" t="s">
        <v>4297</v>
      </c>
    </row>
    <row r="351" spans="27:27">
      <c r="AA351" s="158" t="s">
        <v>4298</v>
      </c>
    </row>
    <row r="352" spans="27:27">
      <c r="AA352" s="158" t="s">
        <v>4299</v>
      </c>
    </row>
    <row r="353" spans="27:27">
      <c r="AA353" s="158" t="s">
        <v>4300</v>
      </c>
    </row>
    <row r="354" spans="27:27">
      <c r="AA354" s="158" t="s">
        <v>4301</v>
      </c>
    </row>
    <row r="355" spans="27:27">
      <c r="AA355" s="158" t="s">
        <v>4302</v>
      </c>
    </row>
    <row r="356" spans="27:27">
      <c r="AA356" s="158" t="s">
        <v>1268</v>
      </c>
    </row>
    <row r="357" spans="27:27">
      <c r="AA357" s="158" t="s">
        <v>3434</v>
      </c>
    </row>
    <row r="358" spans="27:27">
      <c r="AA358" s="158" t="s">
        <v>4303</v>
      </c>
    </row>
    <row r="359" spans="27:27">
      <c r="AA359" s="158" t="s">
        <v>4304</v>
      </c>
    </row>
    <row r="360" spans="27:27">
      <c r="AA360" s="158" t="s">
        <v>4305</v>
      </c>
    </row>
    <row r="361" spans="27:27">
      <c r="AA361" s="158" t="s">
        <v>4306</v>
      </c>
    </row>
    <row r="362" spans="27:27">
      <c r="AA362" s="158" t="s">
        <v>4307</v>
      </c>
    </row>
    <row r="363" spans="27:27">
      <c r="AA363" s="158" t="s">
        <v>4308</v>
      </c>
    </row>
    <row r="364" spans="27:27">
      <c r="AA364" s="158" t="s">
        <v>4309</v>
      </c>
    </row>
    <row r="365" spans="27:27">
      <c r="AA365" s="158" t="s">
        <v>4310</v>
      </c>
    </row>
    <row r="366" spans="27:27">
      <c r="AA366" s="158" t="s">
        <v>4311</v>
      </c>
    </row>
    <row r="367" spans="27:27">
      <c r="AA367" s="158" t="s">
        <v>1269</v>
      </c>
    </row>
    <row r="368" spans="27:27">
      <c r="AA368" s="158" t="s">
        <v>3435</v>
      </c>
    </row>
    <row r="369" spans="27:27">
      <c r="AA369" s="158" t="s">
        <v>4312</v>
      </c>
    </row>
    <row r="370" spans="27:27">
      <c r="AA370" s="158" t="s">
        <v>4313</v>
      </c>
    </row>
    <row r="371" spans="27:27">
      <c r="AA371" s="158" t="s">
        <v>4314</v>
      </c>
    </row>
    <row r="372" spans="27:27">
      <c r="AA372" s="158" t="s">
        <v>4315</v>
      </c>
    </row>
    <row r="373" spans="27:27">
      <c r="AA373" s="158" t="s">
        <v>4316</v>
      </c>
    </row>
    <row r="374" spans="27:27">
      <c r="AA374" s="158" t="s">
        <v>4317</v>
      </c>
    </row>
    <row r="375" spans="27:27">
      <c r="AA375" s="158" t="s">
        <v>4318</v>
      </c>
    </row>
    <row r="376" spans="27:27">
      <c r="AA376" s="158" t="s">
        <v>4319</v>
      </c>
    </row>
    <row r="377" spans="27:27">
      <c r="AA377" s="158" t="s">
        <v>1270</v>
      </c>
    </row>
    <row r="378" spans="27:27">
      <c r="AA378" s="158" t="s">
        <v>3436</v>
      </c>
    </row>
    <row r="379" spans="27:27">
      <c r="AA379" s="158" t="s">
        <v>4320</v>
      </c>
    </row>
    <row r="380" spans="27:27">
      <c r="AA380" s="158" t="s">
        <v>4321</v>
      </c>
    </row>
    <row r="381" spans="27:27">
      <c r="AA381" s="158" t="s">
        <v>4322</v>
      </c>
    </row>
    <row r="382" spans="27:27">
      <c r="AA382" s="158" t="s">
        <v>4323</v>
      </c>
    </row>
    <row r="383" spans="27:27">
      <c r="AA383" s="158" t="s">
        <v>4324</v>
      </c>
    </row>
    <row r="384" spans="27:27">
      <c r="AA384" s="158" t="s">
        <v>4325</v>
      </c>
    </row>
    <row r="385" spans="27:27">
      <c r="AA385" s="158" t="s">
        <v>4326</v>
      </c>
    </row>
    <row r="386" spans="27:27">
      <c r="AA386" s="158" t="s">
        <v>4327</v>
      </c>
    </row>
    <row r="387" spans="27:27">
      <c r="AA387" s="158" t="s">
        <v>1271</v>
      </c>
    </row>
    <row r="388" spans="27:27">
      <c r="AA388" s="158" t="s">
        <v>3437</v>
      </c>
    </row>
    <row r="389" spans="27:27">
      <c r="AA389" s="158" t="s">
        <v>4328</v>
      </c>
    </row>
    <row r="390" spans="27:27">
      <c r="AA390" s="158" t="s">
        <v>4329</v>
      </c>
    </row>
    <row r="391" spans="27:27">
      <c r="AA391" s="158" t="s">
        <v>4330</v>
      </c>
    </row>
    <row r="392" spans="27:27">
      <c r="AA392" s="158" t="s">
        <v>4331</v>
      </c>
    </row>
    <row r="393" spans="27:27">
      <c r="AA393" s="158" t="s">
        <v>4332</v>
      </c>
    </row>
    <row r="394" spans="27:27">
      <c r="AA394" s="158" t="s">
        <v>4333</v>
      </c>
    </row>
    <row r="395" spans="27:27">
      <c r="AA395" s="158" t="s">
        <v>4334</v>
      </c>
    </row>
    <row r="396" spans="27:27">
      <c r="AA396" s="158" t="s">
        <v>4335</v>
      </c>
    </row>
    <row r="397" spans="27:27">
      <c r="AA397" s="158" t="s">
        <v>1272</v>
      </c>
    </row>
    <row r="398" spans="27:27">
      <c r="AA398" s="158" t="s">
        <v>3438</v>
      </c>
    </row>
    <row r="399" spans="27:27">
      <c r="AA399" s="158" t="s">
        <v>4336</v>
      </c>
    </row>
    <row r="400" spans="27:27">
      <c r="AA400" s="158" t="s">
        <v>4337</v>
      </c>
    </row>
    <row r="401" spans="27:27">
      <c r="AA401" s="158" t="s">
        <v>4338</v>
      </c>
    </row>
    <row r="402" spans="27:27">
      <c r="AA402" s="158" t="s">
        <v>4339</v>
      </c>
    </row>
    <row r="403" spans="27:27">
      <c r="AA403" s="158" t="s">
        <v>4340</v>
      </c>
    </row>
    <row r="404" spans="27:27">
      <c r="AA404" s="158" t="s">
        <v>4341</v>
      </c>
    </row>
    <row r="405" spans="27:27">
      <c r="AA405" s="158" t="s">
        <v>4342</v>
      </c>
    </row>
    <row r="406" spans="27:27">
      <c r="AA406" s="158" t="s">
        <v>1273</v>
      </c>
    </row>
    <row r="407" spans="27:27">
      <c r="AA407" s="158" t="s">
        <v>3439</v>
      </c>
    </row>
    <row r="408" spans="27:27">
      <c r="AA408" s="158" t="s">
        <v>4343</v>
      </c>
    </row>
    <row r="409" spans="27:27">
      <c r="AA409" s="158" t="s">
        <v>4344</v>
      </c>
    </row>
    <row r="410" spans="27:27">
      <c r="AA410" s="158" t="s">
        <v>4345</v>
      </c>
    </row>
    <row r="411" spans="27:27">
      <c r="AA411" s="158" t="s">
        <v>1274</v>
      </c>
    </row>
    <row r="412" spans="27:27">
      <c r="AA412" s="158" t="s">
        <v>3440</v>
      </c>
    </row>
    <row r="413" spans="27:27">
      <c r="AA413" s="158" t="s">
        <v>4346</v>
      </c>
    </row>
    <row r="414" spans="27:27">
      <c r="AA414" s="158" t="s">
        <v>4347</v>
      </c>
    </row>
    <row r="415" spans="27:27">
      <c r="AA415" s="158" t="s">
        <v>4348</v>
      </c>
    </row>
    <row r="416" spans="27:27">
      <c r="AA416" s="158" t="s">
        <v>4349</v>
      </c>
    </row>
    <row r="417" spans="27:27">
      <c r="AA417" s="158" t="s">
        <v>4350</v>
      </c>
    </row>
    <row r="418" spans="27:27">
      <c r="AA418" s="158" t="s">
        <v>4351</v>
      </c>
    </row>
    <row r="419" spans="27:27">
      <c r="AA419" s="158" t="s">
        <v>4352</v>
      </c>
    </row>
    <row r="420" spans="27:27">
      <c r="AA420" s="158" t="s">
        <v>3441</v>
      </c>
    </row>
    <row r="421" spans="27:27">
      <c r="AA421" s="158" t="s">
        <v>135</v>
      </c>
    </row>
    <row r="422" spans="27:27">
      <c r="AA422" s="158" t="s">
        <v>4353</v>
      </c>
    </row>
    <row r="423" spans="27:27">
      <c r="AA423" s="158" t="s">
        <v>4354</v>
      </c>
    </row>
    <row r="424" spans="27:27">
      <c r="AA424" s="158" t="s">
        <v>4355</v>
      </c>
    </row>
    <row r="425" spans="27:27">
      <c r="AA425" s="158" t="s">
        <v>4356</v>
      </c>
    </row>
    <row r="426" spans="27:27">
      <c r="AA426" s="158" t="s">
        <v>4357</v>
      </c>
    </row>
    <row r="427" spans="27:27">
      <c r="AA427" s="158" t="s">
        <v>4358</v>
      </c>
    </row>
    <row r="428" spans="27:27">
      <c r="AA428" s="158" t="s">
        <v>4359</v>
      </c>
    </row>
    <row r="429" spans="27:27">
      <c r="AA429" s="158" t="s">
        <v>4360</v>
      </c>
    </row>
    <row r="430" spans="27:27">
      <c r="AA430" s="158" t="s">
        <v>4361</v>
      </c>
    </row>
    <row r="431" spans="27:27">
      <c r="AA431" s="158" t="s">
        <v>4362</v>
      </c>
    </row>
    <row r="432" spans="27:27">
      <c r="AA432" s="158" t="s">
        <v>4363</v>
      </c>
    </row>
    <row r="433" spans="27:27">
      <c r="AA433" s="158" t="s">
        <v>4364</v>
      </c>
    </row>
    <row r="434" spans="27:27">
      <c r="AA434" s="158" t="s">
        <v>4365</v>
      </c>
    </row>
    <row r="435" spans="27:27">
      <c r="AA435" s="158" t="s">
        <v>4366</v>
      </c>
    </row>
    <row r="436" spans="27:27">
      <c r="AA436" s="158" t="s">
        <v>1275</v>
      </c>
    </row>
    <row r="437" spans="27:27">
      <c r="AA437" s="158" t="s">
        <v>1276</v>
      </c>
    </row>
    <row r="438" spans="27:27">
      <c r="AA438" s="158" t="s">
        <v>4367</v>
      </c>
    </row>
    <row r="439" spans="27:27">
      <c r="AA439" s="158" t="s">
        <v>1277</v>
      </c>
    </row>
    <row r="440" spans="27:27">
      <c r="AA440" s="158" t="s">
        <v>4368</v>
      </c>
    </row>
    <row r="441" spans="27:27">
      <c r="AA441" s="158" t="s">
        <v>4369</v>
      </c>
    </row>
    <row r="442" spans="27:27">
      <c r="AA442" s="158" t="s">
        <v>4370</v>
      </c>
    </row>
    <row r="443" spans="27:27">
      <c r="AA443" s="158" t="s">
        <v>4371</v>
      </c>
    </row>
    <row r="444" spans="27:27">
      <c r="AA444" s="158" t="s">
        <v>4372</v>
      </c>
    </row>
    <row r="445" spans="27:27">
      <c r="AA445" s="158" t="s">
        <v>4373</v>
      </c>
    </row>
    <row r="446" spans="27:27">
      <c r="AA446" s="158" t="s">
        <v>4374</v>
      </c>
    </row>
    <row r="447" spans="27:27">
      <c r="AA447" s="158" t="s">
        <v>4375</v>
      </c>
    </row>
    <row r="448" spans="27:27">
      <c r="AA448" s="158" t="s">
        <v>4376</v>
      </c>
    </row>
    <row r="449" spans="27:27">
      <c r="AA449" s="158" t="s">
        <v>4377</v>
      </c>
    </row>
    <row r="450" spans="27:27">
      <c r="AA450" s="158" t="s">
        <v>4378</v>
      </c>
    </row>
    <row r="451" spans="27:27">
      <c r="AA451" s="158" t="s">
        <v>4379</v>
      </c>
    </row>
    <row r="452" spans="27:27">
      <c r="AA452" s="158" t="s">
        <v>4380</v>
      </c>
    </row>
    <row r="453" spans="27:27">
      <c r="AA453" s="158" t="s">
        <v>4381</v>
      </c>
    </row>
    <row r="454" spans="27:27">
      <c r="AA454" s="158" t="s">
        <v>4382</v>
      </c>
    </row>
    <row r="455" spans="27:27">
      <c r="AA455" s="158" t="s">
        <v>4383</v>
      </c>
    </row>
    <row r="456" spans="27:27">
      <c r="AA456" s="158" t="s">
        <v>4384</v>
      </c>
    </row>
    <row r="457" spans="27:27">
      <c r="AA457" s="158" t="s">
        <v>4385</v>
      </c>
    </row>
    <row r="458" spans="27:27">
      <c r="AA458" s="158" t="s">
        <v>4386</v>
      </c>
    </row>
    <row r="459" spans="27:27">
      <c r="AA459" s="158" t="s">
        <v>4387</v>
      </c>
    </row>
    <row r="460" spans="27:27">
      <c r="AA460" s="158" t="s">
        <v>4388</v>
      </c>
    </row>
    <row r="461" spans="27:27">
      <c r="AA461" s="158" t="s">
        <v>4389</v>
      </c>
    </row>
    <row r="462" spans="27:27">
      <c r="AA462" s="158" t="s">
        <v>4390</v>
      </c>
    </row>
    <row r="463" spans="27:27">
      <c r="AA463" s="158" t="s">
        <v>1278</v>
      </c>
    </row>
    <row r="464" spans="27:27">
      <c r="AA464" s="158" t="s">
        <v>4391</v>
      </c>
    </row>
    <row r="465" spans="27:27">
      <c r="AA465" s="158" t="s">
        <v>1279</v>
      </c>
    </row>
    <row r="466" spans="27:27">
      <c r="AA466" s="158" t="s">
        <v>4392</v>
      </c>
    </row>
    <row r="467" spans="27:27">
      <c r="AA467" s="158" t="s">
        <v>4393</v>
      </c>
    </row>
    <row r="468" spans="27:27">
      <c r="AA468" s="158" t="s">
        <v>4394</v>
      </c>
    </row>
    <row r="469" spans="27:27">
      <c r="AA469" s="158" t="s">
        <v>4395</v>
      </c>
    </row>
    <row r="470" spans="27:27">
      <c r="AA470" s="158" t="s">
        <v>4396</v>
      </c>
    </row>
    <row r="471" spans="27:27">
      <c r="AA471" s="158" t="s">
        <v>4397</v>
      </c>
    </row>
    <row r="472" spans="27:27">
      <c r="AA472" s="158" t="s">
        <v>1280</v>
      </c>
    </row>
    <row r="473" spans="27:27">
      <c r="AA473" s="158" t="s">
        <v>4398</v>
      </c>
    </row>
    <row r="474" spans="27:27">
      <c r="AA474" s="158" t="s">
        <v>1281</v>
      </c>
    </row>
    <row r="475" spans="27:27">
      <c r="AA475" s="158" t="s">
        <v>4399</v>
      </c>
    </row>
    <row r="476" spans="27:27">
      <c r="AA476" s="158" t="s">
        <v>1282</v>
      </c>
    </row>
    <row r="477" spans="27:27">
      <c r="AA477" s="158" t="s">
        <v>4400</v>
      </c>
    </row>
    <row r="478" spans="27:27">
      <c r="AA478" s="158" t="s">
        <v>4401</v>
      </c>
    </row>
    <row r="479" spans="27:27">
      <c r="AA479" s="158" t="s">
        <v>4402</v>
      </c>
    </row>
    <row r="480" spans="27:27">
      <c r="AA480" s="158" t="s">
        <v>4403</v>
      </c>
    </row>
    <row r="481" spans="27:27">
      <c r="AA481" s="158" t="s">
        <v>4404</v>
      </c>
    </row>
    <row r="482" spans="27:27">
      <c r="AA482" s="158" t="s">
        <v>4405</v>
      </c>
    </row>
    <row r="483" spans="27:27">
      <c r="AA483" s="158" t="s">
        <v>4406</v>
      </c>
    </row>
    <row r="484" spans="27:27">
      <c r="AA484" s="158" t="s">
        <v>3442</v>
      </c>
    </row>
    <row r="485" spans="27:27">
      <c r="AA485" s="158" t="s">
        <v>4407</v>
      </c>
    </row>
    <row r="486" spans="27:27">
      <c r="AA486" s="158" t="s">
        <v>4408</v>
      </c>
    </row>
    <row r="487" spans="27:27">
      <c r="AA487" s="158" t="s">
        <v>4409</v>
      </c>
    </row>
    <row r="488" spans="27:27">
      <c r="AA488" s="158" t="s">
        <v>4410</v>
      </c>
    </row>
    <row r="489" spans="27:27">
      <c r="AA489" s="158" t="s">
        <v>4411</v>
      </c>
    </row>
    <row r="490" spans="27:27">
      <c r="AA490" s="158" t="s">
        <v>1283</v>
      </c>
    </row>
    <row r="491" spans="27:27">
      <c r="AA491" s="158" t="s">
        <v>4412</v>
      </c>
    </row>
    <row r="492" spans="27:27">
      <c r="AA492" s="158" t="s">
        <v>4413</v>
      </c>
    </row>
    <row r="493" spans="27:27">
      <c r="AA493" s="158" t="s">
        <v>4414</v>
      </c>
    </row>
    <row r="494" spans="27:27">
      <c r="AA494" s="158" t="s">
        <v>4415</v>
      </c>
    </row>
    <row r="495" spans="27:27">
      <c r="AA495" s="158" t="s">
        <v>4416</v>
      </c>
    </row>
    <row r="496" spans="27:27">
      <c r="AA496" s="158" t="s">
        <v>4417</v>
      </c>
    </row>
    <row r="497" spans="27:27">
      <c r="AA497" s="158" t="s">
        <v>4418</v>
      </c>
    </row>
    <row r="498" spans="27:27">
      <c r="AA498" s="158" t="s">
        <v>4419</v>
      </c>
    </row>
    <row r="499" spans="27:27">
      <c r="AA499" s="158" t="s">
        <v>4420</v>
      </c>
    </row>
    <row r="500" spans="27:27">
      <c r="AA500" s="158" t="s">
        <v>4421</v>
      </c>
    </row>
    <row r="501" spans="27:27">
      <c r="AA501" s="158" t="s">
        <v>4422</v>
      </c>
    </row>
    <row r="502" spans="27:27">
      <c r="AA502" s="158" t="s">
        <v>4423</v>
      </c>
    </row>
    <row r="503" spans="27:27">
      <c r="AA503" s="158" t="s">
        <v>4424</v>
      </c>
    </row>
    <row r="504" spans="27:27">
      <c r="AA504" s="158" t="s">
        <v>4425</v>
      </c>
    </row>
    <row r="505" spans="27:27">
      <c r="AA505" s="158" t="s">
        <v>4426</v>
      </c>
    </row>
    <row r="506" spans="27:27">
      <c r="AA506" s="158" t="s">
        <v>4427</v>
      </c>
    </row>
    <row r="507" spans="27:27">
      <c r="AA507" s="158" t="s">
        <v>4428</v>
      </c>
    </row>
    <row r="508" spans="27:27">
      <c r="AA508" s="158" t="s">
        <v>4429</v>
      </c>
    </row>
    <row r="509" spans="27:27">
      <c r="AA509" s="158" t="s">
        <v>3443</v>
      </c>
    </row>
    <row r="510" spans="27:27">
      <c r="AA510" s="158" t="s">
        <v>4430</v>
      </c>
    </row>
    <row r="511" spans="27:27">
      <c r="AA511" s="158" t="s">
        <v>4431</v>
      </c>
    </row>
    <row r="512" spans="27:27">
      <c r="AA512" s="158" t="s">
        <v>4432</v>
      </c>
    </row>
    <row r="513" spans="27:27">
      <c r="AA513" s="158" t="s">
        <v>4433</v>
      </c>
    </row>
    <row r="514" spans="27:27">
      <c r="AA514" s="158" t="s">
        <v>4434</v>
      </c>
    </row>
    <row r="515" spans="27:27">
      <c r="AA515" s="158" t="s">
        <v>4435</v>
      </c>
    </row>
    <row r="516" spans="27:27">
      <c r="AA516" s="158" t="s">
        <v>4436</v>
      </c>
    </row>
    <row r="517" spans="27:27">
      <c r="AA517" s="158" t="s">
        <v>4437</v>
      </c>
    </row>
    <row r="518" spans="27:27">
      <c r="AA518" s="158" t="s">
        <v>4438</v>
      </c>
    </row>
    <row r="519" spans="27:27">
      <c r="AA519" s="158" t="s">
        <v>4439</v>
      </c>
    </row>
    <row r="520" spans="27:27">
      <c r="AA520" s="158" t="s">
        <v>4440</v>
      </c>
    </row>
    <row r="521" spans="27:27">
      <c r="AA521" s="158" t="s">
        <v>4441</v>
      </c>
    </row>
    <row r="522" spans="27:27">
      <c r="AA522" s="158" t="s">
        <v>3444</v>
      </c>
    </row>
    <row r="523" spans="27:27">
      <c r="AA523" s="158" t="s">
        <v>4442</v>
      </c>
    </row>
    <row r="524" spans="27:27">
      <c r="AA524" s="158" t="s">
        <v>4443</v>
      </c>
    </row>
    <row r="525" spans="27:27">
      <c r="AA525" s="158" t="s">
        <v>4444</v>
      </c>
    </row>
    <row r="526" spans="27:27">
      <c r="AA526" s="158" t="s">
        <v>4445</v>
      </c>
    </row>
    <row r="527" spans="27:27">
      <c r="AA527" s="158" t="s">
        <v>3445</v>
      </c>
    </row>
    <row r="528" spans="27:27">
      <c r="AA528" s="158" t="s">
        <v>4446</v>
      </c>
    </row>
    <row r="529" spans="27:27">
      <c r="AA529" s="158" t="s">
        <v>4447</v>
      </c>
    </row>
    <row r="530" spans="27:27">
      <c r="AA530" s="158" t="s">
        <v>4448</v>
      </c>
    </row>
    <row r="531" spans="27:27">
      <c r="AA531" s="158" t="s">
        <v>4449</v>
      </c>
    </row>
    <row r="532" spans="27:27">
      <c r="AA532" s="158" t="s">
        <v>4450</v>
      </c>
    </row>
    <row r="533" spans="27:27">
      <c r="AA533" s="158" t="s">
        <v>4451</v>
      </c>
    </row>
    <row r="534" spans="27:27">
      <c r="AA534" s="158" t="s">
        <v>4452</v>
      </c>
    </row>
    <row r="535" spans="27:27">
      <c r="AA535" s="158" t="s">
        <v>4453</v>
      </c>
    </row>
    <row r="536" spans="27:27">
      <c r="AA536" s="158" t="s">
        <v>3446</v>
      </c>
    </row>
    <row r="537" spans="27:27">
      <c r="AA537" s="158" t="s">
        <v>4454</v>
      </c>
    </row>
    <row r="538" spans="27:27">
      <c r="AA538" s="158" t="s">
        <v>4455</v>
      </c>
    </row>
    <row r="539" spans="27:27">
      <c r="AA539" s="158" t="s">
        <v>4456</v>
      </c>
    </row>
    <row r="540" spans="27:27">
      <c r="AA540" s="158" t="s">
        <v>4457</v>
      </c>
    </row>
    <row r="541" spans="27:27">
      <c r="AA541" s="158" t="s">
        <v>4458</v>
      </c>
    </row>
    <row r="542" spans="27:27">
      <c r="AA542" s="158" t="s">
        <v>4459</v>
      </c>
    </row>
    <row r="543" spans="27:27">
      <c r="AA543" s="158" t="s">
        <v>4460</v>
      </c>
    </row>
    <row r="544" spans="27:27">
      <c r="AA544" s="158" t="s">
        <v>4461</v>
      </c>
    </row>
    <row r="545" spans="27:27">
      <c r="AA545" s="158" t="s">
        <v>4462</v>
      </c>
    </row>
    <row r="546" spans="27:27">
      <c r="AA546" s="158" t="s">
        <v>4463</v>
      </c>
    </row>
    <row r="547" spans="27:27">
      <c r="AA547" s="158" t="s">
        <v>4464</v>
      </c>
    </row>
    <row r="548" spans="27:27">
      <c r="AA548" s="158" t="s">
        <v>4465</v>
      </c>
    </row>
    <row r="549" spans="27:27">
      <c r="AA549" s="158" t="s">
        <v>4466</v>
      </c>
    </row>
    <row r="550" spans="27:27">
      <c r="AA550" s="158" t="s">
        <v>4467</v>
      </c>
    </row>
    <row r="551" spans="27:27">
      <c r="AA551" s="158" t="s">
        <v>4468</v>
      </c>
    </row>
    <row r="552" spans="27:27">
      <c r="AA552" s="158" t="s">
        <v>4469</v>
      </c>
    </row>
    <row r="553" spans="27:27">
      <c r="AA553" s="158" t="s">
        <v>4470</v>
      </c>
    </row>
    <row r="554" spans="27:27">
      <c r="AA554" s="158" t="s">
        <v>4471</v>
      </c>
    </row>
    <row r="555" spans="27:27">
      <c r="AA555" s="158" t="s">
        <v>4472</v>
      </c>
    </row>
    <row r="556" spans="27:27">
      <c r="AA556" s="158" t="s">
        <v>4473</v>
      </c>
    </row>
    <row r="557" spans="27:27">
      <c r="AA557" s="158" t="s">
        <v>4474</v>
      </c>
    </row>
    <row r="558" spans="27:27">
      <c r="AA558" s="158" t="s">
        <v>4475</v>
      </c>
    </row>
    <row r="559" spans="27:27">
      <c r="AA559" s="158" t="s">
        <v>4476</v>
      </c>
    </row>
    <row r="560" spans="27:27">
      <c r="AA560" s="158" t="s">
        <v>4477</v>
      </c>
    </row>
    <row r="561" spans="27:27">
      <c r="AA561" s="158" t="s">
        <v>4478</v>
      </c>
    </row>
    <row r="562" spans="27:27">
      <c r="AA562" s="158" t="s">
        <v>4479</v>
      </c>
    </row>
    <row r="563" spans="27:27">
      <c r="AA563" s="158" t="s">
        <v>4480</v>
      </c>
    </row>
    <row r="564" spans="27:27">
      <c r="AA564" s="158" t="s">
        <v>3447</v>
      </c>
    </row>
    <row r="565" spans="27:27">
      <c r="AA565" s="158" t="s">
        <v>4481</v>
      </c>
    </row>
    <row r="566" spans="27:27">
      <c r="AA566" s="158" t="s">
        <v>4482</v>
      </c>
    </row>
    <row r="567" spans="27:27">
      <c r="AA567" s="158" t="s">
        <v>4483</v>
      </c>
    </row>
    <row r="568" spans="27:27">
      <c r="AA568" s="158" t="s">
        <v>3448</v>
      </c>
    </row>
    <row r="569" spans="27:27">
      <c r="AA569" s="158" t="s">
        <v>4484</v>
      </c>
    </row>
    <row r="570" spans="27:27">
      <c r="AA570" s="158" t="s">
        <v>4485</v>
      </c>
    </row>
    <row r="571" spans="27:27">
      <c r="AA571" s="158" t="s">
        <v>4486</v>
      </c>
    </row>
    <row r="572" spans="27:27">
      <c r="AA572" s="158" t="s">
        <v>4487</v>
      </c>
    </row>
    <row r="573" spans="27:27">
      <c r="AA573" s="158" t="s">
        <v>4488</v>
      </c>
    </row>
    <row r="574" spans="27:27">
      <c r="AA574" s="158" t="s">
        <v>4489</v>
      </c>
    </row>
    <row r="575" spans="27:27">
      <c r="AA575" s="158" t="s">
        <v>4490</v>
      </c>
    </row>
    <row r="576" spans="27:27">
      <c r="AA576" s="158" t="s">
        <v>3449</v>
      </c>
    </row>
    <row r="577" spans="27:27">
      <c r="AA577" s="158" t="s">
        <v>4491</v>
      </c>
    </row>
    <row r="578" spans="27:27">
      <c r="AA578" s="158" t="s">
        <v>4492</v>
      </c>
    </row>
    <row r="579" spans="27:27">
      <c r="AA579" s="158" t="s">
        <v>4493</v>
      </c>
    </row>
    <row r="580" spans="27:27">
      <c r="AA580" s="158" t="s">
        <v>3450</v>
      </c>
    </row>
    <row r="581" spans="27:27">
      <c r="AA581" s="158" t="s">
        <v>4494</v>
      </c>
    </row>
    <row r="582" spans="27:27">
      <c r="AA582" s="158" t="s">
        <v>4495</v>
      </c>
    </row>
    <row r="583" spans="27:27">
      <c r="AA583" s="158" t="s">
        <v>1284</v>
      </c>
    </row>
    <row r="584" spans="27:27">
      <c r="AA584" s="158" t="s">
        <v>4496</v>
      </c>
    </row>
    <row r="585" spans="27:27">
      <c r="AA585" s="158" t="s">
        <v>3451</v>
      </c>
    </row>
    <row r="586" spans="27:27">
      <c r="AA586" s="158" t="s">
        <v>4497</v>
      </c>
    </row>
    <row r="587" spans="27:27">
      <c r="AA587" s="158" t="s">
        <v>4498</v>
      </c>
    </row>
    <row r="588" spans="27:27">
      <c r="AA588" s="158" t="s">
        <v>1285</v>
      </c>
    </row>
    <row r="589" spans="27:27">
      <c r="AA589" s="158" t="s">
        <v>4499</v>
      </c>
    </row>
    <row r="590" spans="27:27">
      <c r="AA590" s="158" t="s">
        <v>4500</v>
      </c>
    </row>
    <row r="591" spans="27:27">
      <c r="AA591" s="158" t="s">
        <v>3452</v>
      </c>
    </row>
    <row r="592" spans="27:27">
      <c r="AA592" s="158" t="s">
        <v>4501</v>
      </c>
    </row>
    <row r="593" spans="27:27">
      <c r="AA593" s="158" t="s">
        <v>4502</v>
      </c>
    </row>
    <row r="594" spans="27:27">
      <c r="AA594" s="158" t="s">
        <v>1286</v>
      </c>
    </row>
    <row r="595" spans="27:27">
      <c r="AA595" s="158" t="s">
        <v>4503</v>
      </c>
    </row>
    <row r="596" spans="27:27">
      <c r="AA596" s="158" t="s">
        <v>4504</v>
      </c>
    </row>
    <row r="597" spans="27:27">
      <c r="AA597" s="158" t="s">
        <v>3453</v>
      </c>
    </row>
    <row r="598" spans="27:27">
      <c r="AA598" s="158" t="s">
        <v>4505</v>
      </c>
    </row>
    <row r="599" spans="27:27">
      <c r="AA599" s="158" t="s">
        <v>4506</v>
      </c>
    </row>
    <row r="600" spans="27:27">
      <c r="AA600" s="158" t="s">
        <v>1287</v>
      </c>
    </row>
    <row r="601" spans="27:27">
      <c r="AA601" s="158" t="s">
        <v>4507</v>
      </c>
    </row>
    <row r="602" spans="27:27">
      <c r="AA602" s="158" t="s">
        <v>4508</v>
      </c>
    </row>
    <row r="603" spans="27:27">
      <c r="AA603" s="158" t="s">
        <v>4509</v>
      </c>
    </row>
    <row r="604" spans="27:27">
      <c r="AA604" s="158" t="s">
        <v>3454</v>
      </c>
    </row>
    <row r="605" spans="27:27">
      <c r="AA605" s="158" t="s">
        <v>4510</v>
      </c>
    </row>
    <row r="606" spans="27:27">
      <c r="AA606" s="158" t="s">
        <v>4511</v>
      </c>
    </row>
    <row r="607" spans="27:27">
      <c r="AA607" s="158" t="s">
        <v>1288</v>
      </c>
    </row>
    <row r="608" spans="27:27">
      <c r="AA608" s="158" t="s">
        <v>4512</v>
      </c>
    </row>
    <row r="609" spans="27:27">
      <c r="AA609" s="158" t="s">
        <v>1289</v>
      </c>
    </row>
    <row r="610" spans="27:27">
      <c r="AA610" s="158" t="s">
        <v>4513</v>
      </c>
    </row>
    <row r="611" spans="27:27">
      <c r="AA611" s="158" t="s">
        <v>4514</v>
      </c>
    </row>
    <row r="612" spans="27:27">
      <c r="AA612" s="158" t="s">
        <v>4515</v>
      </c>
    </row>
    <row r="613" spans="27:27">
      <c r="AA613" s="158" t="s">
        <v>4516</v>
      </c>
    </row>
    <row r="614" spans="27:27">
      <c r="AA614" s="158" t="s">
        <v>4517</v>
      </c>
    </row>
    <row r="615" spans="27:27">
      <c r="AA615" s="158" t="s">
        <v>4518</v>
      </c>
    </row>
    <row r="616" spans="27:27">
      <c r="AA616" s="158" t="s">
        <v>4519</v>
      </c>
    </row>
    <row r="617" spans="27:27">
      <c r="AA617" s="158" t="s">
        <v>4520</v>
      </c>
    </row>
    <row r="618" spans="27:27">
      <c r="AA618" s="158" t="s">
        <v>3455</v>
      </c>
    </row>
    <row r="619" spans="27:27">
      <c r="AA619" s="158" t="s">
        <v>4521</v>
      </c>
    </row>
    <row r="620" spans="27:27">
      <c r="AA620" s="158" t="s">
        <v>4522</v>
      </c>
    </row>
    <row r="621" spans="27:27">
      <c r="AA621" s="158" t="s">
        <v>1290</v>
      </c>
    </row>
    <row r="622" spans="27:27">
      <c r="AA622" s="158" t="s">
        <v>4523</v>
      </c>
    </row>
    <row r="623" spans="27:27">
      <c r="AA623" s="158" t="s">
        <v>1291</v>
      </c>
    </row>
    <row r="624" spans="27:27">
      <c r="AA624" s="158" t="s">
        <v>3456</v>
      </c>
    </row>
    <row r="625" spans="27:27">
      <c r="AA625" s="158" t="s">
        <v>4524</v>
      </c>
    </row>
    <row r="626" spans="27:27">
      <c r="AA626" s="158" t="s">
        <v>4525</v>
      </c>
    </row>
    <row r="627" spans="27:27">
      <c r="AA627" s="158" t="s">
        <v>1292</v>
      </c>
    </row>
    <row r="628" spans="27:27">
      <c r="AA628" s="158" t="s">
        <v>4526</v>
      </c>
    </row>
    <row r="629" spans="27:27">
      <c r="AA629" s="158" t="s">
        <v>1293</v>
      </c>
    </row>
    <row r="630" spans="27:27">
      <c r="AA630" s="158" t="s">
        <v>4527</v>
      </c>
    </row>
    <row r="631" spans="27:27">
      <c r="AA631" s="158" t="s">
        <v>4528</v>
      </c>
    </row>
    <row r="632" spans="27:27">
      <c r="AA632" s="158" t="s">
        <v>4529</v>
      </c>
    </row>
    <row r="633" spans="27:27">
      <c r="AA633" s="158" t="s">
        <v>4530</v>
      </c>
    </row>
    <row r="634" spans="27:27">
      <c r="AA634" s="158" t="s">
        <v>4531</v>
      </c>
    </row>
    <row r="635" spans="27:27">
      <c r="AA635" s="158" t="s">
        <v>4532</v>
      </c>
    </row>
    <row r="636" spans="27:27">
      <c r="AA636" s="158" t="s">
        <v>4533</v>
      </c>
    </row>
    <row r="637" spans="27:27">
      <c r="AA637" s="158" t="s">
        <v>4534</v>
      </c>
    </row>
    <row r="638" spans="27:27">
      <c r="AA638" s="158" t="s">
        <v>4535</v>
      </c>
    </row>
    <row r="639" spans="27:27">
      <c r="AA639" s="158" t="s">
        <v>4536</v>
      </c>
    </row>
    <row r="640" spans="27:27">
      <c r="AA640" s="158" t="s">
        <v>4537</v>
      </c>
    </row>
    <row r="641" spans="27:27">
      <c r="AA641" s="158" t="s">
        <v>4538</v>
      </c>
    </row>
    <row r="642" spans="27:27">
      <c r="AA642" s="158" t="s">
        <v>4539</v>
      </c>
    </row>
    <row r="643" spans="27:27">
      <c r="AA643" s="158" t="s">
        <v>4540</v>
      </c>
    </row>
    <row r="644" spans="27:27">
      <c r="AA644" s="158" t="s">
        <v>4541</v>
      </c>
    </row>
    <row r="645" spans="27:27">
      <c r="AA645" s="158" t="s">
        <v>4542</v>
      </c>
    </row>
    <row r="646" spans="27:27">
      <c r="AA646" s="158" t="s">
        <v>4543</v>
      </c>
    </row>
    <row r="647" spans="27:27">
      <c r="AA647" s="158" t="s">
        <v>1294</v>
      </c>
    </row>
    <row r="648" spans="27:27">
      <c r="AA648" s="158" t="s">
        <v>3457</v>
      </c>
    </row>
    <row r="649" spans="27:27">
      <c r="AA649" s="158" t="s">
        <v>4544</v>
      </c>
    </row>
    <row r="650" spans="27:27">
      <c r="AA650" s="158" t="s">
        <v>4545</v>
      </c>
    </row>
    <row r="651" spans="27:27">
      <c r="AA651" s="158" t="s">
        <v>1295</v>
      </c>
    </row>
    <row r="652" spans="27:27">
      <c r="AA652" s="158" t="s">
        <v>4546</v>
      </c>
    </row>
    <row r="653" spans="27:27">
      <c r="AA653" s="158" t="s">
        <v>1296</v>
      </c>
    </row>
    <row r="654" spans="27:27">
      <c r="AA654" s="158" t="s">
        <v>3458</v>
      </c>
    </row>
    <row r="655" spans="27:27">
      <c r="AA655" s="158" t="s">
        <v>4547</v>
      </c>
    </row>
    <row r="656" spans="27:27">
      <c r="AA656" s="158" t="s">
        <v>4548</v>
      </c>
    </row>
    <row r="657" spans="27:27">
      <c r="AA657" s="158" t="s">
        <v>1297</v>
      </c>
    </row>
    <row r="658" spans="27:27">
      <c r="AA658" s="158" t="s">
        <v>4549</v>
      </c>
    </row>
    <row r="659" spans="27:27">
      <c r="AA659" s="158" t="s">
        <v>1298</v>
      </c>
    </row>
    <row r="660" spans="27:27">
      <c r="AA660" s="158" t="s">
        <v>4550</v>
      </c>
    </row>
    <row r="661" spans="27:27">
      <c r="AA661" s="158" t="s">
        <v>4551</v>
      </c>
    </row>
    <row r="662" spans="27:27">
      <c r="AA662" s="158" t="s">
        <v>1299</v>
      </c>
    </row>
    <row r="663" spans="27:27">
      <c r="AA663" s="158" t="s">
        <v>4552</v>
      </c>
    </row>
    <row r="664" spans="27:27">
      <c r="AA664" s="158" t="s">
        <v>4553</v>
      </c>
    </row>
    <row r="665" spans="27:27">
      <c r="AA665" s="158" t="s">
        <v>1300</v>
      </c>
    </row>
    <row r="666" spans="27:27">
      <c r="AA666" s="158" t="s">
        <v>3459</v>
      </c>
    </row>
    <row r="667" spans="27:27">
      <c r="AA667" s="158" t="s">
        <v>4554</v>
      </c>
    </row>
    <row r="668" spans="27:27">
      <c r="AA668" s="158" t="s">
        <v>4555</v>
      </c>
    </row>
    <row r="669" spans="27:27">
      <c r="AA669" s="158" t="s">
        <v>1301</v>
      </c>
    </row>
    <row r="670" spans="27:27">
      <c r="AA670" s="158" t="s">
        <v>4556</v>
      </c>
    </row>
    <row r="671" spans="27:27">
      <c r="AA671" s="158" t="s">
        <v>1302</v>
      </c>
    </row>
    <row r="672" spans="27:27">
      <c r="AA672" s="158" t="s">
        <v>4557</v>
      </c>
    </row>
    <row r="673" spans="27:27">
      <c r="AA673" s="158" t="s">
        <v>1303</v>
      </c>
    </row>
    <row r="674" spans="27:27">
      <c r="AA674" s="158" t="s">
        <v>4558</v>
      </c>
    </row>
    <row r="675" spans="27:27">
      <c r="AA675" s="158" t="s">
        <v>1304</v>
      </c>
    </row>
    <row r="676" spans="27:27">
      <c r="AA676" s="158" t="s">
        <v>4559</v>
      </c>
    </row>
    <row r="677" spans="27:27">
      <c r="AA677" s="158" t="s">
        <v>4560</v>
      </c>
    </row>
    <row r="678" spans="27:27">
      <c r="AA678" s="158" t="s">
        <v>4561</v>
      </c>
    </row>
    <row r="679" spans="27:27">
      <c r="AA679" s="158" t="s">
        <v>4562</v>
      </c>
    </row>
    <row r="680" spans="27:27">
      <c r="AA680" s="158" t="s">
        <v>4563</v>
      </c>
    </row>
    <row r="681" spans="27:27">
      <c r="AA681" s="158" t="s">
        <v>1305</v>
      </c>
    </row>
    <row r="682" spans="27:27">
      <c r="AA682" s="158" t="s">
        <v>4564</v>
      </c>
    </row>
    <row r="683" spans="27:27">
      <c r="AA683" s="158" t="s">
        <v>4565</v>
      </c>
    </row>
    <row r="684" spans="27:27">
      <c r="AA684" s="158" t="s">
        <v>4566</v>
      </c>
    </row>
    <row r="685" spans="27:27">
      <c r="AA685" s="158" t="s">
        <v>1306</v>
      </c>
    </row>
    <row r="686" spans="27:27">
      <c r="AA686" s="158" t="s">
        <v>4567</v>
      </c>
    </row>
    <row r="687" spans="27:27">
      <c r="AA687" s="158" t="s">
        <v>4568</v>
      </c>
    </row>
    <row r="688" spans="27:27">
      <c r="AA688" s="158" t="s">
        <v>1307</v>
      </c>
    </row>
    <row r="689" spans="27:27">
      <c r="AA689" s="158" t="s">
        <v>4569</v>
      </c>
    </row>
    <row r="690" spans="27:27">
      <c r="AA690" s="158" t="s">
        <v>1308</v>
      </c>
    </row>
    <row r="691" spans="27:27">
      <c r="AA691" s="158" t="s">
        <v>4570</v>
      </c>
    </row>
    <row r="692" spans="27:27">
      <c r="AA692" s="158" t="s">
        <v>4571</v>
      </c>
    </row>
    <row r="693" spans="27:27">
      <c r="AA693" s="158" t="s">
        <v>4572</v>
      </c>
    </row>
    <row r="694" spans="27:27">
      <c r="AA694" s="158" t="s">
        <v>4573</v>
      </c>
    </row>
    <row r="695" spans="27:27">
      <c r="AA695" s="158" t="s">
        <v>4574</v>
      </c>
    </row>
    <row r="696" spans="27:27">
      <c r="AA696" s="158" t="s">
        <v>4575</v>
      </c>
    </row>
    <row r="697" spans="27:27">
      <c r="AA697" s="158" t="s">
        <v>4576</v>
      </c>
    </row>
    <row r="698" spans="27:27">
      <c r="AA698" s="158" t="s">
        <v>4577</v>
      </c>
    </row>
    <row r="699" spans="27:27">
      <c r="AA699" s="158" t="s">
        <v>4578</v>
      </c>
    </row>
    <row r="700" spans="27:27">
      <c r="AA700" s="158" t="s">
        <v>4579</v>
      </c>
    </row>
    <row r="701" spans="27:27">
      <c r="AA701" s="158" t="s">
        <v>4580</v>
      </c>
    </row>
    <row r="702" spans="27:27">
      <c r="AA702" s="158" t="s">
        <v>4581</v>
      </c>
    </row>
    <row r="703" spans="27:27">
      <c r="AA703" s="158" t="s">
        <v>4582</v>
      </c>
    </row>
    <row r="704" spans="27:27">
      <c r="AA704" s="158" t="s">
        <v>1309</v>
      </c>
    </row>
    <row r="705" spans="27:27">
      <c r="AA705" s="158" t="s">
        <v>3460</v>
      </c>
    </row>
    <row r="706" spans="27:27">
      <c r="AA706" s="158" t="s">
        <v>4583</v>
      </c>
    </row>
    <row r="707" spans="27:27">
      <c r="AA707" s="158" t="s">
        <v>4584</v>
      </c>
    </row>
    <row r="708" spans="27:27">
      <c r="AA708" s="158" t="s">
        <v>4585</v>
      </c>
    </row>
    <row r="709" spans="27:27">
      <c r="AA709" s="158" t="s">
        <v>4586</v>
      </c>
    </row>
    <row r="710" spans="27:27">
      <c r="AA710" s="158" t="s">
        <v>4587</v>
      </c>
    </row>
    <row r="711" spans="27:27">
      <c r="AA711" s="158" t="s">
        <v>4588</v>
      </c>
    </row>
    <row r="712" spans="27:27">
      <c r="AA712" s="158" t="s">
        <v>4589</v>
      </c>
    </row>
    <row r="713" spans="27:27">
      <c r="AA713" s="158" t="s">
        <v>4590</v>
      </c>
    </row>
    <row r="714" spans="27:27">
      <c r="AA714" s="158" t="s">
        <v>4591</v>
      </c>
    </row>
    <row r="715" spans="27:27">
      <c r="AA715" s="158" t="s">
        <v>4592</v>
      </c>
    </row>
    <row r="716" spans="27:27">
      <c r="AA716" s="158" t="s">
        <v>4593</v>
      </c>
    </row>
    <row r="717" spans="27:27">
      <c r="AA717" s="158" t="s">
        <v>4594</v>
      </c>
    </row>
    <row r="718" spans="27:27">
      <c r="AA718" s="158" t="s">
        <v>4595</v>
      </c>
    </row>
    <row r="719" spans="27:27">
      <c r="AA719" s="158" t="s">
        <v>4596</v>
      </c>
    </row>
    <row r="720" spans="27:27">
      <c r="AA720" s="158" t="s">
        <v>1310</v>
      </c>
    </row>
    <row r="721" spans="27:27">
      <c r="AA721" s="158" t="s">
        <v>1311</v>
      </c>
    </row>
    <row r="722" spans="27:27">
      <c r="AA722" s="158" t="s">
        <v>4597</v>
      </c>
    </row>
    <row r="723" spans="27:27">
      <c r="AA723" s="158" t="s">
        <v>1312</v>
      </c>
    </row>
    <row r="724" spans="27:27">
      <c r="AA724" s="158" t="s">
        <v>1313</v>
      </c>
    </row>
    <row r="725" spans="27:27">
      <c r="AA725" s="158" t="s">
        <v>4598</v>
      </c>
    </row>
    <row r="726" spans="27:27">
      <c r="AA726" s="158" t="s">
        <v>4599</v>
      </c>
    </row>
    <row r="727" spans="27:27">
      <c r="AA727" s="158" t="s">
        <v>4600</v>
      </c>
    </row>
    <row r="728" spans="27:27">
      <c r="AA728" s="158" t="s">
        <v>4601</v>
      </c>
    </row>
    <row r="729" spans="27:27">
      <c r="AA729" s="158" t="s">
        <v>1314</v>
      </c>
    </row>
    <row r="730" spans="27:27">
      <c r="AA730" s="158" t="s">
        <v>3461</v>
      </c>
    </row>
    <row r="731" spans="27:27">
      <c r="AA731" s="158" t="s">
        <v>1315</v>
      </c>
    </row>
    <row r="732" spans="27:27">
      <c r="AA732" s="158" t="s">
        <v>3462</v>
      </c>
    </row>
    <row r="733" spans="27:27">
      <c r="AA733" s="158" t="s">
        <v>4602</v>
      </c>
    </row>
    <row r="734" spans="27:27">
      <c r="AA734" s="158" t="s">
        <v>4603</v>
      </c>
    </row>
    <row r="735" spans="27:27">
      <c r="AA735" s="158" t="s">
        <v>4604</v>
      </c>
    </row>
    <row r="736" spans="27:27">
      <c r="AA736" s="158" t="s">
        <v>4605</v>
      </c>
    </row>
    <row r="737" spans="27:27">
      <c r="AA737" s="158" t="s">
        <v>3463</v>
      </c>
    </row>
    <row r="738" spans="27:27">
      <c r="AA738" s="158" t="s">
        <v>4606</v>
      </c>
    </row>
    <row r="739" spans="27:27">
      <c r="AA739" s="158" t="s">
        <v>4607</v>
      </c>
    </row>
    <row r="740" spans="27:27">
      <c r="AA740" s="158" t="s">
        <v>4608</v>
      </c>
    </row>
    <row r="741" spans="27:27">
      <c r="AA741" s="158" t="s">
        <v>4609</v>
      </c>
    </row>
    <row r="742" spans="27:27">
      <c r="AA742" s="158" t="s">
        <v>4610</v>
      </c>
    </row>
    <row r="743" spans="27:27">
      <c r="AA743" s="158" t="s">
        <v>3464</v>
      </c>
    </row>
    <row r="744" spans="27:27">
      <c r="AA744" s="158" t="s">
        <v>4611</v>
      </c>
    </row>
    <row r="745" spans="27:27">
      <c r="AA745" s="158" t="s">
        <v>4612</v>
      </c>
    </row>
    <row r="746" spans="27:27">
      <c r="AA746" s="158" t="s">
        <v>4613</v>
      </c>
    </row>
    <row r="747" spans="27:27">
      <c r="AA747" s="158" t="s">
        <v>4614</v>
      </c>
    </row>
    <row r="748" spans="27:27">
      <c r="AA748" s="158" t="s">
        <v>4615</v>
      </c>
    </row>
    <row r="749" spans="27:27">
      <c r="AA749" s="158" t="s">
        <v>3465</v>
      </c>
    </row>
    <row r="750" spans="27:27">
      <c r="AA750" s="158" t="s">
        <v>4616</v>
      </c>
    </row>
    <row r="751" spans="27:27">
      <c r="AA751" s="158" t="s">
        <v>4617</v>
      </c>
    </row>
    <row r="752" spans="27:27">
      <c r="AA752" s="158" t="s">
        <v>4618</v>
      </c>
    </row>
    <row r="753" spans="27:27">
      <c r="AA753" s="158" t="s">
        <v>4619</v>
      </c>
    </row>
    <row r="754" spans="27:27">
      <c r="AA754" s="158" t="s">
        <v>4620</v>
      </c>
    </row>
    <row r="755" spans="27:27">
      <c r="AA755" s="158" t="s">
        <v>4621</v>
      </c>
    </row>
    <row r="756" spans="27:27">
      <c r="AA756" s="158" t="s">
        <v>1316</v>
      </c>
    </row>
    <row r="757" spans="27:27">
      <c r="AA757" s="158" t="s">
        <v>3466</v>
      </c>
    </row>
    <row r="758" spans="27:27">
      <c r="AA758" s="158" t="s">
        <v>4622</v>
      </c>
    </row>
    <row r="759" spans="27:27">
      <c r="AA759" s="158" t="s">
        <v>1317</v>
      </c>
    </row>
    <row r="760" spans="27:27">
      <c r="AA760" s="158" t="s">
        <v>4623</v>
      </c>
    </row>
    <row r="761" spans="27:27">
      <c r="AA761" s="158" t="s">
        <v>4624</v>
      </c>
    </row>
    <row r="762" spans="27:27">
      <c r="AA762" s="158" t="s">
        <v>4625</v>
      </c>
    </row>
    <row r="763" spans="27:27">
      <c r="AA763" s="158" t="s">
        <v>1318</v>
      </c>
    </row>
    <row r="764" spans="27:27">
      <c r="AA764" s="158" t="s">
        <v>3467</v>
      </c>
    </row>
    <row r="765" spans="27:27">
      <c r="AA765" s="158" t="s">
        <v>1319</v>
      </c>
    </row>
    <row r="766" spans="27:27">
      <c r="AA766" s="158" t="s">
        <v>3468</v>
      </c>
    </row>
    <row r="767" spans="27:27">
      <c r="AA767" s="158" t="s">
        <v>4626</v>
      </c>
    </row>
    <row r="768" spans="27:27">
      <c r="AA768" s="158" t="s">
        <v>4627</v>
      </c>
    </row>
    <row r="769" spans="27:27">
      <c r="AA769" s="158" t="s">
        <v>4628</v>
      </c>
    </row>
    <row r="770" spans="27:27">
      <c r="AA770" s="158" t="s">
        <v>4629</v>
      </c>
    </row>
    <row r="771" spans="27:27">
      <c r="AA771" s="158" t="s">
        <v>4630</v>
      </c>
    </row>
    <row r="772" spans="27:27">
      <c r="AA772" s="158" t="s">
        <v>4631</v>
      </c>
    </row>
    <row r="773" spans="27:27">
      <c r="AA773" s="158" t="s">
        <v>4632</v>
      </c>
    </row>
    <row r="774" spans="27:27">
      <c r="AA774" s="158" t="s">
        <v>4633</v>
      </c>
    </row>
    <row r="775" spans="27:27">
      <c r="AA775" s="158" t="s">
        <v>1320</v>
      </c>
    </row>
    <row r="776" spans="27:27">
      <c r="AA776" s="158" t="s">
        <v>3469</v>
      </c>
    </row>
    <row r="777" spans="27:27">
      <c r="AA777" s="158" t="s">
        <v>4634</v>
      </c>
    </row>
    <row r="778" spans="27:27">
      <c r="AA778" s="158" t="s">
        <v>4635</v>
      </c>
    </row>
    <row r="779" spans="27:27">
      <c r="AA779" s="158" t="s">
        <v>4636</v>
      </c>
    </row>
    <row r="780" spans="27:27">
      <c r="AA780" s="158" t="s">
        <v>4637</v>
      </c>
    </row>
    <row r="781" spans="27:27">
      <c r="AA781" s="158" t="s">
        <v>4638</v>
      </c>
    </row>
    <row r="782" spans="27:27">
      <c r="AA782" s="158" t="s">
        <v>4639</v>
      </c>
    </row>
    <row r="783" spans="27:27">
      <c r="AA783" s="158" t="s">
        <v>4640</v>
      </c>
    </row>
    <row r="784" spans="27:27">
      <c r="AA784" s="158" t="s">
        <v>4641</v>
      </c>
    </row>
    <row r="785" spans="27:27">
      <c r="AA785" s="158" t="s">
        <v>1321</v>
      </c>
    </row>
    <row r="786" spans="27:27">
      <c r="AA786" s="158" t="s">
        <v>3470</v>
      </c>
    </row>
    <row r="787" spans="27:27">
      <c r="AA787" s="158" t="s">
        <v>4642</v>
      </c>
    </row>
    <row r="788" spans="27:27">
      <c r="AA788" s="158" t="s">
        <v>4643</v>
      </c>
    </row>
    <row r="789" spans="27:27">
      <c r="AA789" s="158" t="s">
        <v>4644</v>
      </c>
    </row>
    <row r="790" spans="27:27">
      <c r="AA790" s="158" t="s">
        <v>4645</v>
      </c>
    </row>
    <row r="791" spans="27:27">
      <c r="AA791" s="158" t="s">
        <v>4646</v>
      </c>
    </row>
    <row r="792" spans="27:27">
      <c r="AA792" s="158" t="s">
        <v>4647</v>
      </c>
    </row>
    <row r="793" spans="27:27">
      <c r="AA793" s="158" t="s">
        <v>4648</v>
      </c>
    </row>
    <row r="794" spans="27:27">
      <c r="AA794" s="158" t="s">
        <v>4649</v>
      </c>
    </row>
    <row r="795" spans="27:27">
      <c r="AA795" s="158" t="s">
        <v>4650</v>
      </c>
    </row>
    <row r="796" spans="27:27">
      <c r="AA796" s="158" t="s">
        <v>4651</v>
      </c>
    </row>
    <row r="797" spans="27:27">
      <c r="AA797" s="158" t="s">
        <v>4652</v>
      </c>
    </row>
    <row r="798" spans="27:27">
      <c r="AA798" s="158" t="s">
        <v>4653</v>
      </c>
    </row>
    <row r="799" spans="27:27">
      <c r="AA799" s="158" t="s">
        <v>4654</v>
      </c>
    </row>
    <row r="800" spans="27:27">
      <c r="AA800" s="158" t="s">
        <v>4655</v>
      </c>
    </row>
    <row r="801" spans="27:27">
      <c r="AA801" s="158" t="s">
        <v>4656</v>
      </c>
    </row>
    <row r="802" spans="27:27">
      <c r="AA802" s="158" t="s">
        <v>4657</v>
      </c>
    </row>
    <row r="803" spans="27:27">
      <c r="AA803" s="158" t="s">
        <v>4658</v>
      </c>
    </row>
    <row r="804" spans="27:27">
      <c r="AA804" s="158" t="s">
        <v>4659</v>
      </c>
    </row>
    <row r="805" spans="27:27">
      <c r="AA805" s="158" t="s">
        <v>4660</v>
      </c>
    </row>
    <row r="806" spans="27:27">
      <c r="AA806" s="158" t="s">
        <v>4661</v>
      </c>
    </row>
    <row r="807" spans="27:27">
      <c r="AA807" s="158" t="s">
        <v>4662</v>
      </c>
    </row>
    <row r="808" spans="27:27">
      <c r="AA808" s="158" t="s">
        <v>4663</v>
      </c>
    </row>
    <row r="809" spans="27:27">
      <c r="AA809" s="158" t="s">
        <v>4664</v>
      </c>
    </row>
    <row r="810" spans="27:27">
      <c r="AA810" s="158" t="s">
        <v>1322</v>
      </c>
    </row>
    <row r="811" spans="27:27">
      <c r="AA811" s="158" t="s">
        <v>3471</v>
      </c>
    </row>
    <row r="812" spans="27:27">
      <c r="AA812" s="158" t="s">
        <v>1323</v>
      </c>
    </row>
    <row r="813" spans="27:27">
      <c r="AA813" s="158" t="s">
        <v>4665</v>
      </c>
    </row>
    <row r="814" spans="27:27">
      <c r="AA814" s="158" t="s">
        <v>4666</v>
      </c>
    </row>
    <row r="815" spans="27:27">
      <c r="AA815" s="158" t="s">
        <v>4667</v>
      </c>
    </row>
    <row r="816" spans="27:27">
      <c r="AA816" s="158" t="s">
        <v>4668</v>
      </c>
    </row>
    <row r="817" spans="27:27">
      <c r="AA817" s="158" t="s">
        <v>4669</v>
      </c>
    </row>
    <row r="818" spans="27:27">
      <c r="AA818" s="158" t="s">
        <v>4670</v>
      </c>
    </row>
    <row r="819" spans="27:27">
      <c r="AA819" s="158" t="s">
        <v>4671</v>
      </c>
    </row>
    <row r="820" spans="27:27">
      <c r="AA820" s="158" t="s">
        <v>4672</v>
      </c>
    </row>
    <row r="821" spans="27:27">
      <c r="AA821" s="158" t="s">
        <v>4673</v>
      </c>
    </row>
    <row r="822" spans="27:27">
      <c r="AA822" s="158" t="s">
        <v>4674</v>
      </c>
    </row>
    <row r="823" spans="27:27">
      <c r="AA823" s="158" t="s">
        <v>4675</v>
      </c>
    </row>
    <row r="824" spans="27:27">
      <c r="AA824" s="158" t="s">
        <v>4676</v>
      </c>
    </row>
    <row r="825" spans="27:27">
      <c r="AA825" s="158" t="s">
        <v>4677</v>
      </c>
    </row>
    <row r="826" spans="27:27">
      <c r="AA826" s="158" t="s">
        <v>4678</v>
      </c>
    </row>
    <row r="827" spans="27:27">
      <c r="AA827" s="158" t="s">
        <v>4679</v>
      </c>
    </row>
    <row r="828" spans="27:27">
      <c r="AA828" s="158" t="s">
        <v>4680</v>
      </c>
    </row>
    <row r="829" spans="27:27">
      <c r="AA829" s="158" t="s">
        <v>4681</v>
      </c>
    </row>
    <row r="830" spans="27:27">
      <c r="AA830" s="158" t="s">
        <v>4682</v>
      </c>
    </row>
    <row r="831" spans="27:27">
      <c r="AA831" s="158" t="s">
        <v>4683</v>
      </c>
    </row>
    <row r="832" spans="27:27">
      <c r="AA832" s="158" t="s">
        <v>4684</v>
      </c>
    </row>
    <row r="833" spans="27:27">
      <c r="AA833" s="158" t="s">
        <v>4685</v>
      </c>
    </row>
    <row r="834" spans="27:27">
      <c r="AA834" s="158" t="s">
        <v>4686</v>
      </c>
    </row>
    <row r="835" spans="27:27">
      <c r="AA835" s="158" t="s">
        <v>4687</v>
      </c>
    </row>
    <row r="836" spans="27:27">
      <c r="AA836" s="158" t="s">
        <v>4688</v>
      </c>
    </row>
    <row r="837" spans="27:27">
      <c r="AA837" s="158" t="s">
        <v>4689</v>
      </c>
    </row>
    <row r="838" spans="27:27">
      <c r="AA838" s="158" t="s">
        <v>4690</v>
      </c>
    </row>
    <row r="839" spans="27:27">
      <c r="AA839" s="158" t="s">
        <v>4691</v>
      </c>
    </row>
    <row r="840" spans="27:27">
      <c r="AA840" s="158" t="s">
        <v>4692</v>
      </c>
    </row>
    <row r="841" spans="27:27">
      <c r="AA841" s="158" t="s">
        <v>4693</v>
      </c>
    </row>
    <row r="842" spans="27:27">
      <c r="AA842" s="158" t="s">
        <v>4694</v>
      </c>
    </row>
    <row r="843" spans="27:27">
      <c r="AA843" s="158" t="s">
        <v>4695</v>
      </c>
    </row>
    <row r="844" spans="27:27">
      <c r="AA844" s="158" t="s">
        <v>4696</v>
      </c>
    </row>
    <row r="845" spans="27:27">
      <c r="AA845" s="158" t="s">
        <v>4697</v>
      </c>
    </row>
    <row r="846" spans="27:27">
      <c r="AA846" s="158" t="s">
        <v>4698</v>
      </c>
    </row>
    <row r="847" spans="27:27">
      <c r="AA847" s="158" t="s">
        <v>4699</v>
      </c>
    </row>
    <row r="848" spans="27:27">
      <c r="AA848" s="158" t="s">
        <v>1324</v>
      </c>
    </row>
    <row r="849" spans="27:27">
      <c r="AA849" s="158" t="s">
        <v>4700</v>
      </c>
    </row>
    <row r="850" spans="27:27">
      <c r="AA850" s="158" t="s">
        <v>3472</v>
      </c>
    </row>
    <row r="851" spans="27:27">
      <c r="AA851" s="158" t="s">
        <v>4701</v>
      </c>
    </row>
    <row r="852" spans="27:27">
      <c r="AA852" s="158" t="s">
        <v>4702</v>
      </c>
    </row>
    <row r="853" spans="27:27">
      <c r="AA853" s="158" t="s">
        <v>4703</v>
      </c>
    </row>
    <row r="854" spans="27:27">
      <c r="AA854" s="158" t="s">
        <v>4704</v>
      </c>
    </row>
    <row r="855" spans="27:27">
      <c r="AA855" s="158" t="s">
        <v>4705</v>
      </c>
    </row>
    <row r="856" spans="27:27">
      <c r="AA856" s="158" t="s">
        <v>4706</v>
      </c>
    </row>
    <row r="857" spans="27:27">
      <c r="AA857" s="158" t="s">
        <v>4707</v>
      </c>
    </row>
    <row r="858" spans="27:27">
      <c r="AA858" s="158" t="s">
        <v>4708</v>
      </c>
    </row>
    <row r="859" spans="27:27">
      <c r="AA859" s="158" t="s">
        <v>4709</v>
      </c>
    </row>
    <row r="860" spans="27:27">
      <c r="AA860" s="158" t="s">
        <v>4710</v>
      </c>
    </row>
    <row r="861" spans="27:27">
      <c r="AA861" s="158" t="s">
        <v>4711</v>
      </c>
    </row>
    <row r="862" spans="27:27">
      <c r="AA862" s="158" t="s">
        <v>4712</v>
      </c>
    </row>
    <row r="863" spans="27:27">
      <c r="AA863" s="158" t="s">
        <v>4713</v>
      </c>
    </row>
    <row r="864" spans="27:27">
      <c r="AA864" s="158" t="s">
        <v>4714</v>
      </c>
    </row>
    <row r="865" spans="27:27">
      <c r="AA865" s="158" t="s">
        <v>4715</v>
      </c>
    </row>
    <row r="866" spans="27:27">
      <c r="AA866" s="158" t="s">
        <v>3473</v>
      </c>
    </row>
    <row r="867" spans="27:27">
      <c r="AA867" s="158" t="s">
        <v>4716</v>
      </c>
    </row>
    <row r="868" spans="27:27">
      <c r="AA868" s="158" t="s">
        <v>4717</v>
      </c>
    </row>
    <row r="869" spans="27:27">
      <c r="AA869" s="158" t="s">
        <v>4718</v>
      </c>
    </row>
    <row r="870" spans="27:27">
      <c r="AA870" s="158" t="s">
        <v>4719</v>
      </c>
    </row>
    <row r="871" spans="27:27">
      <c r="AA871" s="158" t="s">
        <v>4720</v>
      </c>
    </row>
    <row r="872" spans="27:27">
      <c r="AA872" s="158" t="s">
        <v>3474</v>
      </c>
    </row>
    <row r="873" spans="27:27">
      <c r="AA873" s="158" t="s">
        <v>4721</v>
      </c>
    </row>
    <row r="874" spans="27:27">
      <c r="AA874" s="158" t="s">
        <v>4722</v>
      </c>
    </row>
    <row r="875" spans="27:27">
      <c r="AA875" s="158" t="s">
        <v>4723</v>
      </c>
    </row>
    <row r="876" spans="27:27">
      <c r="AA876" s="158" t="s">
        <v>4724</v>
      </c>
    </row>
    <row r="877" spans="27:27">
      <c r="AA877" s="158" t="s">
        <v>4725</v>
      </c>
    </row>
    <row r="878" spans="27:27">
      <c r="AA878" s="158" t="s">
        <v>4726</v>
      </c>
    </row>
    <row r="879" spans="27:27">
      <c r="AA879" s="158" t="s">
        <v>4727</v>
      </c>
    </row>
    <row r="880" spans="27:27">
      <c r="AA880" s="158" t="s">
        <v>4728</v>
      </c>
    </row>
    <row r="881" spans="27:27">
      <c r="AA881" s="158" t="s">
        <v>4729</v>
      </c>
    </row>
    <row r="882" spans="27:27">
      <c r="AA882" s="158" t="s">
        <v>4730</v>
      </c>
    </row>
    <row r="883" spans="27:27">
      <c r="AA883" s="158" t="s">
        <v>4731</v>
      </c>
    </row>
    <row r="884" spans="27:27">
      <c r="AA884" s="158" t="s">
        <v>4732</v>
      </c>
    </row>
    <row r="885" spans="27:27">
      <c r="AA885" s="158" t="s">
        <v>4733</v>
      </c>
    </row>
    <row r="886" spans="27:27">
      <c r="AA886" s="158" t="s">
        <v>4734</v>
      </c>
    </row>
    <row r="887" spans="27:27">
      <c r="AA887" s="158" t="s">
        <v>3475</v>
      </c>
    </row>
    <row r="888" spans="27:27">
      <c r="AA888" s="158" t="s">
        <v>4735</v>
      </c>
    </row>
    <row r="889" spans="27:27">
      <c r="AA889" s="158" t="s">
        <v>4736</v>
      </c>
    </row>
    <row r="890" spans="27:27">
      <c r="AA890" s="158" t="s">
        <v>4737</v>
      </c>
    </row>
    <row r="891" spans="27:27">
      <c r="AA891" s="158" t="s">
        <v>4738</v>
      </c>
    </row>
    <row r="892" spans="27:27">
      <c r="AA892" s="158" t="s">
        <v>4739</v>
      </c>
    </row>
    <row r="893" spans="27:27">
      <c r="AA893" s="158" t="s">
        <v>4740</v>
      </c>
    </row>
    <row r="894" spans="27:27">
      <c r="AA894" s="158" t="s">
        <v>4741</v>
      </c>
    </row>
    <row r="895" spans="27:27">
      <c r="AA895" s="158" t="s">
        <v>4742</v>
      </c>
    </row>
    <row r="896" spans="27:27">
      <c r="AA896" s="158" t="s">
        <v>4743</v>
      </c>
    </row>
    <row r="897" spans="27:27">
      <c r="AA897" s="158" t="s">
        <v>4744</v>
      </c>
    </row>
    <row r="898" spans="27:27">
      <c r="AA898" s="158" t="s">
        <v>1325</v>
      </c>
    </row>
    <row r="899" spans="27:27">
      <c r="AA899" s="158" t="s">
        <v>4745</v>
      </c>
    </row>
    <row r="900" spans="27:27">
      <c r="AA900" s="158" t="s">
        <v>4746</v>
      </c>
    </row>
    <row r="901" spans="27:27">
      <c r="AA901" s="158" t="s">
        <v>4747</v>
      </c>
    </row>
    <row r="902" spans="27:27">
      <c r="AA902" s="158" t="s">
        <v>1326</v>
      </c>
    </row>
    <row r="903" spans="27:27">
      <c r="AA903" s="158" t="s">
        <v>3476</v>
      </c>
    </row>
    <row r="904" spans="27:27">
      <c r="AA904" s="158" t="s">
        <v>1327</v>
      </c>
    </row>
    <row r="905" spans="27:27">
      <c r="AA905" s="158" t="s">
        <v>3477</v>
      </c>
    </row>
    <row r="906" spans="27:27">
      <c r="AA906" s="158" t="s">
        <v>4748</v>
      </c>
    </row>
    <row r="907" spans="27:27">
      <c r="AA907" s="158" t="s">
        <v>4749</v>
      </c>
    </row>
    <row r="908" spans="27:27">
      <c r="AA908" s="158" t="s">
        <v>4750</v>
      </c>
    </row>
    <row r="909" spans="27:27">
      <c r="AA909" s="158" t="s">
        <v>4751</v>
      </c>
    </row>
    <row r="910" spans="27:27">
      <c r="AA910" s="158" t="s">
        <v>4752</v>
      </c>
    </row>
    <row r="911" spans="27:27">
      <c r="AA911" s="158" t="s">
        <v>4753</v>
      </c>
    </row>
    <row r="912" spans="27:27">
      <c r="AA912" s="158" t="s">
        <v>4754</v>
      </c>
    </row>
    <row r="913" spans="27:27">
      <c r="AA913" s="158" t="s">
        <v>4755</v>
      </c>
    </row>
    <row r="914" spans="27:27">
      <c r="AA914" s="158" t="s">
        <v>4756</v>
      </c>
    </row>
    <row r="915" spans="27:27">
      <c r="AA915" s="158" t="s">
        <v>4757</v>
      </c>
    </row>
    <row r="916" spans="27:27">
      <c r="AA916" s="158" t="s">
        <v>4758</v>
      </c>
    </row>
    <row r="917" spans="27:27">
      <c r="AA917" s="158" t="s">
        <v>4759</v>
      </c>
    </row>
    <row r="918" spans="27:27">
      <c r="AA918" s="158" t="s">
        <v>4760</v>
      </c>
    </row>
    <row r="919" spans="27:27">
      <c r="AA919" s="158" t="s">
        <v>4761</v>
      </c>
    </row>
    <row r="920" spans="27:27">
      <c r="AA920" s="158" t="s">
        <v>4762</v>
      </c>
    </row>
    <row r="921" spans="27:27">
      <c r="AA921" s="158" t="s">
        <v>4763</v>
      </c>
    </row>
    <row r="922" spans="27:27">
      <c r="AA922" s="158" t="s">
        <v>4764</v>
      </c>
    </row>
    <row r="923" spans="27:27">
      <c r="AA923" s="158" t="s">
        <v>4765</v>
      </c>
    </row>
    <row r="924" spans="27:27">
      <c r="AA924" s="158" t="s">
        <v>4766</v>
      </c>
    </row>
    <row r="925" spans="27:27">
      <c r="AA925" s="158" t="s">
        <v>3478</v>
      </c>
    </row>
    <row r="926" spans="27:27">
      <c r="AA926" s="158" t="s">
        <v>1328</v>
      </c>
    </row>
    <row r="927" spans="27:27">
      <c r="AA927" s="158" t="s">
        <v>4767</v>
      </c>
    </row>
    <row r="928" spans="27:27">
      <c r="AA928" s="158" t="s">
        <v>4768</v>
      </c>
    </row>
    <row r="929" spans="27:27">
      <c r="AA929" s="158" t="s">
        <v>4769</v>
      </c>
    </row>
    <row r="930" spans="27:27">
      <c r="AA930" s="158" t="s">
        <v>4770</v>
      </c>
    </row>
    <row r="931" spans="27:27">
      <c r="AA931" s="158" t="s">
        <v>4771</v>
      </c>
    </row>
    <row r="932" spans="27:27">
      <c r="AA932" s="158" t="s">
        <v>4772</v>
      </c>
    </row>
    <row r="933" spans="27:27">
      <c r="AA933" s="158" t="s">
        <v>4773</v>
      </c>
    </row>
    <row r="934" spans="27:27">
      <c r="AA934" s="158" t="s">
        <v>4774</v>
      </c>
    </row>
    <row r="935" spans="27:27">
      <c r="AA935" s="158" t="s">
        <v>4775</v>
      </c>
    </row>
    <row r="936" spans="27:27">
      <c r="AA936" s="158" t="s">
        <v>4776</v>
      </c>
    </row>
    <row r="937" spans="27:27">
      <c r="AA937" s="158" t="s">
        <v>4777</v>
      </c>
    </row>
    <row r="938" spans="27:27">
      <c r="AA938" s="158" t="s">
        <v>4778</v>
      </c>
    </row>
    <row r="939" spans="27:27">
      <c r="AA939" s="158" t="s">
        <v>4779</v>
      </c>
    </row>
    <row r="940" spans="27:27">
      <c r="AA940" s="158" t="s">
        <v>1329</v>
      </c>
    </row>
    <row r="941" spans="27:27">
      <c r="AA941" s="158" t="s">
        <v>3479</v>
      </c>
    </row>
    <row r="942" spans="27:27">
      <c r="AA942" s="158" t="s">
        <v>1330</v>
      </c>
    </row>
    <row r="943" spans="27:27">
      <c r="AA943" s="158" t="s">
        <v>4780</v>
      </c>
    </row>
    <row r="944" spans="27:27">
      <c r="AA944" s="158" t="s">
        <v>4781</v>
      </c>
    </row>
    <row r="945" spans="27:27">
      <c r="AA945" s="158" t="s">
        <v>4782</v>
      </c>
    </row>
    <row r="946" spans="27:27">
      <c r="AA946" s="158" t="s">
        <v>4783</v>
      </c>
    </row>
    <row r="947" spans="27:27">
      <c r="AA947" s="158" t="s">
        <v>4784</v>
      </c>
    </row>
    <row r="948" spans="27:27">
      <c r="AA948" s="158" t="s">
        <v>4785</v>
      </c>
    </row>
    <row r="949" spans="27:27">
      <c r="AA949" s="158" t="s">
        <v>4786</v>
      </c>
    </row>
    <row r="950" spans="27:27">
      <c r="AA950" s="158" t="s">
        <v>4787</v>
      </c>
    </row>
    <row r="951" spans="27:27">
      <c r="AA951" s="158" t="s">
        <v>4788</v>
      </c>
    </row>
    <row r="952" spans="27:27">
      <c r="AA952" s="158" t="s">
        <v>4789</v>
      </c>
    </row>
    <row r="953" spans="27:27">
      <c r="AA953" s="158" t="s">
        <v>4790</v>
      </c>
    </row>
    <row r="954" spans="27:27">
      <c r="AA954" s="158" t="s">
        <v>1331</v>
      </c>
    </row>
    <row r="955" spans="27:27">
      <c r="AA955" s="158" t="s">
        <v>3480</v>
      </c>
    </row>
    <row r="956" spans="27:27">
      <c r="AA956" s="158" t="s">
        <v>1332</v>
      </c>
    </row>
    <row r="957" spans="27:27">
      <c r="AA957" s="158" t="s">
        <v>4791</v>
      </c>
    </row>
    <row r="958" spans="27:27">
      <c r="AA958" s="158" t="s">
        <v>4792</v>
      </c>
    </row>
    <row r="959" spans="27:27">
      <c r="AA959" s="158" t="s">
        <v>4793</v>
      </c>
    </row>
    <row r="960" spans="27:27">
      <c r="AA960" s="158" t="s">
        <v>4794</v>
      </c>
    </row>
    <row r="961" spans="27:27">
      <c r="AA961" s="158" t="s">
        <v>3481</v>
      </c>
    </row>
    <row r="962" spans="27:27">
      <c r="AA962" s="158" t="s">
        <v>4795</v>
      </c>
    </row>
    <row r="963" spans="27:27">
      <c r="AA963" s="158" t="s">
        <v>4796</v>
      </c>
    </row>
    <row r="964" spans="27:27">
      <c r="AA964" s="158" t="s">
        <v>4797</v>
      </c>
    </row>
    <row r="965" spans="27:27">
      <c r="AA965" s="158" t="s">
        <v>4798</v>
      </c>
    </row>
    <row r="966" spans="27:27">
      <c r="AA966" s="158" t="s">
        <v>4799</v>
      </c>
    </row>
    <row r="967" spans="27:27">
      <c r="AA967" s="158" t="s">
        <v>4800</v>
      </c>
    </row>
    <row r="968" spans="27:27">
      <c r="AA968" s="158" t="s">
        <v>4801</v>
      </c>
    </row>
    <row r="969" spans="27:27">
      <c r="AA969" s="158" t="s">
        <v>4802</v>
      </c>
    </row>
    <row r="970" spans="27:27">
      <c r="AA970" s="158" t="s">
        <v>4803</v>
      </c>
    </row>
    <row r="971" spans="27:27">
      <c r="AA971" s="158" t="s">
        <v>4804</v>
      </c>
    </row>
    <row r="972" spans="27:27">
      <c r="AA972" s="158" t="s">
        <v>1333</v>
      </c>
    </row>
    <row r="973" spans="27:27">
      <c r="AA973" s="158" t="s">
        <v>3482</v>
      </c>
    </row>
    <row r="974" spans="27:27">
      <c r="AA974" s="158" t="s">
        <v>1334</v>
      </c>
    </row>
    <row r="975" spans="27:27">
      <c r="AA975" s="158" t="s">
        <v>4805</v>
      </c>
    </row>
    <row r="976" spans="27:27">
      <c r="AA976" s="158" t="s">
        <v>4806</v>
      </c>
    </row>
    <row r="977" spans="27:27">
      <c r="AA977" s="158" t="s">
        <v>4807</v>
      </c>
    </row>
    <row r="978" spans="27:27">
      <c r="AA978" s="158" t="s">
        <v>4808</v>
      </c>
    </row>
    <row r="979" spans="27:27">
      <c r="AA979" s="158" t="s">
        <v>4809</v>
      </c>
    </row>
    <row r="980" spans="27:27">
      <c r="AA980" s="158" t="s">
        <v>4810</v>
      </c>
    </row>
    <row r="981" spans="27:27">
      <c r="AA981" s="158" t="s">
        <v>1335</v>
      </c>
    </row>
    <row r="982" spans="27:27">
      <c r="AA982" s="158" t="s">
        <v>3483</v>
      </c>
    </row>
    <row r="983" spans="27:27">
      <c r="AA983" s="158" t="s">
        <v>1336</v>
      </c>
    </row>
    <row r="984" spans="27:27">
      <c r="AA984" s="158" t="s">
        <v>4811</v>
      </c>
    </row>
    <row r="985" spans="27:27">
      <c r="AA985" s="158" t="s">
        <v>4812</v>
      </c>
    </row>
    <row r="986" spans="27:27">
      <c r="AA986" s="158" t="s">
        <v>4813</v>
      </c>
    </row>
    <row r="987" spans="27:27">
      <c r="AA987" s="158" t="s">
        <v>4814</v>
      </c>
    </row>
    <row r="988" spans="27:27">
      <c r="AA988" s="158" t="s">
        <v>4815</v>
      </c>
    </row>
    <row r="989" spans="27:27">
      <c r="AA989" s="158" t="s">
        <v>4816</v>
      </c>
    </row>
    <row r="990" spans="27:27">
      <c r="AA990" s="158" t="s">
        <v>4817</v>
      </c>
    </row>
    <row r="991" spans="27:27">
      <c r="AA991" s="158" t="s">
        <v>4818</v>
      </c>
    </row>
    <row r="992" spans="27:27">
      <c r="AA992" s="158" t="s">
        <v>4819</v>
      </c>
    </row>
    <row r="993" spans="27:27">
      <c r="AA993" s="158" t="s">
        <v>4820</v>
      </c>
    </row>
    <row r="994" spans="27:27">
      <c r="AA994" s="158" t="s">
        <v>4821</v>
      </c>
    </row>
    <row r="995" spans="27:27">
      <c r="AA995" s="158" t="s">
        <v>4822</v>
      </c>
    </row>
    <row r="996" spans="27:27">
      <c r="AA996" s="158" t="s">
        <v>4823</v>
      </c>
    </row>
    <row r="997" spans="27:27">
      <c r="AA997" s="158" t="s">
        <v>1337</v>
      </c>
    </row>
    <row r="998" spans="27:27">
      <c r="AA998" s="158" t="s">
        <v>3484</v>
      </c>
    </row>
    <row r="999" spans="27:27">
      <c r="AA999" s="158" t="s">
        <v>4824</v>
      </c>
    </row>
    <row r="1000" spans="27:27">
      <c r="AA1000" s="158" t="s">
        <v>3485</v>
      </c>
    </row>
    <row r="1001" spans="27:27">
      <c r="AA1001" s="158" t="s">
        <v>4825</v>
      </c>
    </row>
    <row r="1002" spans="27:27">
      <c r="AA1002" s="158" t="s">
        <v>4826</v>
      </c>
    </row>
    <row r="1003" spans="27:27">
      <c r="AA1003" s="158" t="s">
        <v>4827</v>
      </c>
    </row>
    <row r="1004" spans="27:27">
      <c r="AA1004" s="158" t="s">
        <v>4828</v>
      </c>
    </row>
    <row r="1005" spans="27:27">
      <c r="AA1005" s="158" t="s">
        <v>1338</v>
      </c>
    </row>
    <row r="1006" spans="27:27">
      <c r="AA1006" s="158" t="s">
        <v>4829</v>
      </c>
    </row>
    <row r="1007" spans="27:27">
      <c r="AA1007" s="158" t="s">
        <v>4830</v>
      </c>
    </row>
    <row r="1008" spans="27:27">
      <c r="AA1008" s="158" t="s">
        <v>4831</v>
      </c>
    </row>
    <row r="1009" spans="27:27">
      <c r="AA1009" s="158" t="s">
        <v>3486</v>
      </c>
    </row>
    <row r="1010" spans="27:27">
      <c r="AA1010" s="158" t="s">
        <v>4832</v>
      </c>
    </row>
    <row r="1011" spans="27:27">
      <c r="AA1011" s="158" t="s">
        <v>4833</v>
      </c>
    </row>
    <row r="1012" spans="27:27">
      <c r="AA1012" s="158" t="s">
        <v>1339</v>
      </c>
    </row>
    <row r="1013" spans="27:27">
      <c r="AA1013" s="158" t="s">
        <v>4834</v>
      </c>
    </row>
    <row r="1014" spans="27:27">
      <c r="AA1014" s="158" t="s">
        <v>4835</v>
      </c>
    </row>
    <row r="1015" spans="27:27">
      <c r="AA1015" s="158" t="s">
        <v>1340</v>
      </c>
    </row>
    <row r="1016" spans="27:27">
      <c r="AA1016" s="158" t="s">
        <v>3487</v>
      </c>
    </row>
    <row r="1017" spans="27:27">
      <c r="AA1017" s="158" t="s">
        <v>1341</v>
      </c>
    </row>
    <row r="1018" spans="27:27">
      <c r="AA1018" s="158" t="s">
        <v>3488</v>
      </c>
    </row>
    <row r="1019" spans="27:27">
      <c r="AA1019" s="158" t="s">
        <v>1342</v>
      </c>
    </row>
    <row r="1020" spans="27:27">
      <c r="AA1020" s="158" t="s">
        <v>4836</v>
      </c>
    </row>
    <row r="1021" spans="27:27">
      <c r="AA1021" s="158" t="s">
        <v>4837</v>
      </c>
    </row>
    <row r="1022" spans="27:27">
      <c r="AA1022" s="158" t="s">
        <v>4838</v>
      </c>
    </row>
    <row r="1023" spans="27:27">
      <c r="AA1023" s="158" t="s">
        <v>4839</v>
      </c>
    </row>
    <row r="1024" spans="27:27">
      <c r="AA1024" s="158" t="s">
        <v>4840</v>
      </c>
    </row>
    <row r="1025" spans="27:27">
      <c r="AA1025" s="158" t="s">
        <v>4841</v>
      </c>
    </row>
    <row r="1026" spans="27:27">
      <c r="AA1026" s="158" t="s">
        <v>4842</v>
      </c>
    </row>
    <row r="1027" spans="27:27">
      <c r="AA1027" s="158" t="s">
        <v>4843</v>
      </c>
    </row>
    <row r="1028" spans="27:27">
      <c r="AA1028" s="158" t="s">
        <v>4844</v>
      </c>
    </row>
    <row r="1029" spans="27:27">
      <c r="AA1029" s="158" t="s">
        <v>4845</v>
      </c>
    </row>
    <row r="1030" spans="27:27">
      <c r="AA1030" s="158" t="s">
        <v>4846</v>
      </c>
    </row>
    <row r="1031" spans="27:27">
      <c r="AA1031" s="158" t="s">
        <v>3489</v>
      </c>
    </row>
    <row r="1032" spans="27:27">
      <c r="AA1032" s="158" t="s">
        <v>4847</v>
      </c>
    </row>
    <row r="1033" spans="27:27">
      <c r="AA1033" s="158" t="s">
        <v>1343</v>
      </c>
    </row>
    <row r="1034" spans="27:27">
      <c r="AA1034" s="158" t="s">
        <v>3490</v>
      </c>
    </row>
    <row r="1035" spans="27:27">
      <c r="AA1035" s="158" t="s">
        <v>1344</v>
      </c>
    </row>
    <row r="1036" spans="27:27">
      <c r="AA1036" s="158" t="s">
        <v>4848</v>
      </c>
    </row>
    <row r="1037" spans="27:27">
      <c r="AA1037" s="158" t="s">
        <v>4849</v>
      </c>
    </row>
    <row r="1038" spans="27:27">
      <c r="AA1038" s="158" t="s">
        <v>4850</v>
      </c>
    </row>
    <row r="1039" spans="27:27">
      <c r="AA1039" s="158" t="s">
        <v>4851</v>
      </c>
    </row>
    <row r="1040" spans="27:27">
      <c r="AA1040" s="158" t="s">
        <v>4852</v>
      </c>
    </row>
    <row r="1041" spans="27:27">
      <c r="AA1041" s="158" t="s">
        <v>4853</v>
      </c>
    </row>
    <row r="1042" spans="27:27">
      <c r="AA1042" s="158" t="s">
        <v>4854</v>
      </c>
    </row>
    <row r="1043" spans="27:27">
      <c r="AA1043" s="158" t="s">
        <v>4855</v>
      </c>
    </row>
    <row r="1044" spans="27:27">
      <c r="AA1044" s="158" t="s">
        <v>4856</v>
      </c>
    </row>
    <row r="1045" spans="27:27">
      <c r="AA1045" s="158" t="s">
        <v>4857</v>
      </c>
    </row>
    <row r="1046" spans="27:27">
      <c r="AA1046" s="158" t="s">
        <v>1345</v>
      </c>
    </row>
    <row r="1047" spans="27:27">
      <c r="AA1047" s="158" t="s">
        <v>4858</v>
      </c>
    </row>
    <row r="1048" spans="27:27">
      <c r="AA1048" s="158" t="s">
        <v>4859</v>
      </c>
    </row>
    <row r="1049" spans="27:27">
      <c r="AA1049" s="158" t="s">
        <v>1346</v>
      </c>
    </row>
    <row r="1050" spans="27:27">
      <c r="AA1050" s="158" t="s">
        <v>4860</v>
      </c>
    </row>
    <row r="1051" spans="27:27">
      <c r="AA1051" s="158" t="s">
        <v>4861</v>
      </c>
    </row>
    <row r="1052" spans="27:27">
      <c r="AA1052" s="158" t="s">
        <v>4862</v>
      </c>
    </row>
    <row r="1053" spans="27:27">
      <c r="AA1053" s="158" t="s">
        <v>3491</v>
      </c>
    </row>
    <row r="1054" spans="27:27">
      <c r="AA1054" s="158" t="s">
        <v>1347</v>
      </c>
    </row>
    <row r="1055" spans="27:27">
      <c r="AA1055" s="158" t="s">
        <v>3492</v>
      </c>
    </row>
    <row r="1056" spans="27:27">
      <c r="AA1056" s="158" t="s">
        <v>4863</v>
      </c>
    </row>
    <row r="1057" spans="27:27">
      <c r="AA1057" s="158" t="s">
        <v>4864</v>
      </c>
    </row>
    <row r="1058" spans="27:27">
      <c r="AA1058" s="158" t="s">
        <v>4865</v>
      </c>
    </row>
    <row r="1059" spans="27:27">
      <c r="AA1059" s="158" t="s">
        <v>3493</v>
      </c>
    </row>
    <row r="1060" spans="27:27">
      <c r="AA1060" s="158" t="s">
        <v>4866</v>
      </c>
    </row>
    <row r="1061" spans="27:27">
      <c r="AA1061" s="158" t="s">
        <v>4867</v>
      </c>
    </row>
    <row r="1062" spans="27:27">
      <c r="AA1062" s="158" t="s">
        <v>4868</v>
      </c>
    </row>
    <row r="1063" spans="27:27">
      <c r="AA1063" s="158" t="s">
        <v>4869</v>
      </c>
    </row>
    <row r="1064" spans="27:27">
      <c r="AA1064" s="158" t="s">
        <v>4870</v>
      </c>
    </row>
    <row r="1065" spans="27:27">
      <c r="AA1065" s="158" t="s">
        <v>4871</v>
      </c>
    </row>
    <row r="1066" spans="27:27">
      <c r="AA1066" s="158" t="s">
        <v>4872</v>
      </c>
    </row>
    <row r="1067" spans="27:27">
      <c r="AA1067" s="158" t="s">
        <v>4873</v>
      </c>
    </row>
    <row r="1068" spans="27:27">
      <c r="AA1068" s="158" t="s">
        <v>4874</v>
      </c>
    </row>
    <row r="1069" spans="27:27">
      <c r="AA1069" s="158" t="s">
        <v>4875</v>
      </c>
    </row>
    <row r="1070" spans="27:27">
      <c r="AA1070" s="158" t="s">
        <v>4876</v>
      </c>
    </row>
    <row r="1071" spans="27:27">
      <c r="AA1071" s="158" t="s">
        <v>1348</v>
      </c>
    </row>
    <row r="1072" spans="27:27">
      <c r="AA1072" s="158" t="s">
        <v>4877</v>
      </c>
    </row>
    <row r="1073" spans="27:27">
      <c r="AA1073" s="158" t="s">
        <v>4878</v>
      </c>
    </row>
    <row r="1074" spans="27:27">
      <c r="AA1074" s="158" t="s">
        <v>1349</v>
      </c>
    </row>
    <row r="1075" spans="27:27">
      <c r="AA1075" s="158" t="s">
        <v>3494</v>
      </c>
    </row>
    <row r="1076" spans="27:27">
      <c r="AA1076" s="158" t="s">
        <v>4879</v>
      </c>
    </row>
    <row r="1077" spans="27:27">
      <c r="AA1077" s="158" t="s">
        <v>4880</v>
      </c>
    </row>
    <row r="1078" spans="27:27">
      <c r="AA1078" s="158" t="s">
        <v>1350</v>
      </c>
    </row>
    <row r="1079" spans="27:27">
      <c r="AA1079" s="158" t="s">
        <v>4881</v>
      </c>
    </row>
    <row r="1080" spans="27:27">
      <c r="AA1080" s="158" t="s">
        <v>4882</v>
      </c>
    </row>
    <row r="1081" spans="27:27">
      <c r="AA1081" s="158" t="s">
        <v>4883</v>
      </c>
    </row>
    <row r="1082" spans="27:27">
      <c r="AA1082" s="158" t="s">
        <v>4884</v>
      </c>
    </row>
    <row r="1083" spans="27:27">
      <c r="AA1083" s="158" t="s">
        <v>4885</v>
      </c>
    </row>
    <row r="1084" spans="27:27">
      <c r="AA1084" s="158" t="s">
        <v>4886</v>
      </c>
    </row>
    <row r="1085" spans="27:27">
      <c r="AA1085" s="158" t="s">
        <v>3495</v>
      </c>
    </row>
    <row r="1086" spans="27:27">
      <c r="AA1086" s="158" t="s">
        <v>4887</v>
      </c>
    </row>
    <row r="1087" spans="27:27">
      <c r="AA1087" s="158" t="s">
        <v>4888</v>
      </c>
    </row>
    <row r="1088" spans="27:27">
      <c r="AA1088" s="158" t="s">
        <v>4889</v>
      </c>
    </row>
    <row r="1089" spans="27:27">
      <c r="AA1089" s="158" t="s">
        <v>4890</v>
      </c>
    </row>
    <row r="1090" spans="27:27">
      <c r="AA1090" s="158" t="s">
        <v>4891</v>
      </c>
    </row>
    <row r="1091" spans="27:27">
      <c r="AA1091" s="158" t="s">
        <v>1351</v>
      </c>
    </row>
    <row r="1092" spans="27:27">
      <c r="AA1092" s="158" t="s">
        <v>4892</v>
      </c>
    </row>
    <row r="1093" spans="27:27">
      <c r="AA1093" s="158" t="s">
        <v>4893</v>
      </c>
    </row>
    <row r="1094" spans="27:27">
      <c r="AA1094" s="158" t="s">
        <v>4894</v>
      </c>
    </row>
    <row r="1095" spans="27:27">
      <c r="AA1095" s="158" t="s">
        <v>4895</v>
      </c>
    </row>
    <row r="1096" spans="27:27">
      <c r="AA1096" s="158" t="s">
        <v>4896</v>
      </c>
    </row>
    <row r="1097" spans="27:27">
      <c r="AA1097" s="158" t="s">
        <v>1352</v>
      </c>
    </row>
    <row r="1098" spans="27:27">
      <c r="AA1098" s="158" t="s">
        <v>3496</v>
      </c>
    </row>
    <row r="1099" spans="27:27">
      <c r="AA1099" s="158" t="s">
        <v>4897</v>
      </c>
    </row>
    <row r="1100" spans="27:27">
      <c r="AA1100" s="158" t="s">
        <v>4898</v>
      </c>
    </row>
    <row r="1101" spans="27:27">
      <c r="AA1101" s="158" t="s">
        <v>4899</v>
      </c>
    </row>
    <row r="1102" spans="27:27">
      <c r="AA1102" s="158" t="s">
        <v>4900</v>
      </c>
    </row>
    <row r="1103" spans="27:27">
      <c r="AA1103" s="158" t="s">
        <v>4901</v>
      </c>
    </row>
    <row r="1104" spans="27:27">
      <c r="AA1104" s="158" t="s">
        <v>4902</v>
      </c>
    </row>
    <row r="1105" spans="27:27">
      <c r="AA1105" s="158" t="s">
        <v>4903</v>
      </c>
    </row>
    <row r="1106" spans="27:27">
      <c r="AA1106" s="158" t="s">
        <v>4904</v>
      </c>
    </row>
    <row r="1107" spans="27:27">
      <c r="AA1107" s="158" t="s">
        <v>4905</v>
      </c>
    </row>
    <row r="1108" spans="27:27">
      <c r="AA1108" s="158" t="s">
        <v>4906</v>
      </c>
    </row>
    <row r="1109" spans="27:27">
      <c r="AA1109" s="158" t="s">
        <v>4907</v>
      </c>
    </row>
    <row r="1110" spans="27:27">
      <c r="AA1110" s="158" t="s">
        <v>4908</v>
      </c>
    </row>
    <row r="1111" spans="27:27">
      <c r="AA1111" s="158" t="s">
        <v>4909</v>
      </c>
    </row>
    <row r="1112" spans="27:27">
      <c r="AA1112" s="158" t="s">
        <v>4910</v>
      </c>
    </row>
    <row r="1113" spans="27:27">
      <c r="AA1113" s="158" t="s">
        <v>4911</v>
      </c>
    </row>
    <row r="1114" spans="27:27">
      <c r="AA1114" s="158" t="s">
        <v>4912</v>
      </c>
    </row>
    <row r="1115" spans="27:27">
      <c r="AA1115" s="158" t="s">
        <v>4913</v>
      </c>
    </row>
    <row r="1116" spans="27:27">
      <c r="AA1116" s="158" t="s">
        <v>4914</v>
      </c>
    </row>
    <row r="1117" spans="27:27">
      <c r="AA1117" s="158" t="s">
        <v>4915</v>
      </c>
    </row>
    <row r="1118" spans="27:27">
      <c r="AA1118" s="158" t="s">
        <v>4916</v>
      </c>
    </row>
    <row r="1119" spans="27:27">
      <c r="AA1119" s="158" t="s">
        <v>4917</v>
      </c>
    </row>
    <row r="1120" spans="27:27">
      <c r="AA1120" s="158" t="s">
        <v>4918</v>
      </c>
    </row>
    <row r="1121" spans="27:27">
      <c r="AA1121" s="158" t="s">
        <v>4919</v>
      </c>
    </row>
    <row r="1122" spans="27:27">
      <c r="AA1122" s="158" t="s">
        <v>4920</v>
      </c>
    </row>
    <row r="1123" spans="27:27">
      <c r="AA1123" s="158" t="s">
        <v>4921</v>
      </c>
    </row>
    <row r="1124" spans="27:27">
      <c r="AA1124" s="158" t="s">
        <v>1353</v>
      </c>
    </row>
    <row r="1125" spans="27:27">
      <c r="AA1125" s="158" t="s">
        <v>3497</v>
      </c>
    </row>
    <row r="1126" spans="27:27">
      <c r="AA1126" s="158" t="s">
        <v>4922</v>
      </c>
    </row>
    <row r="1127" spans="27:27">
      <c r="AA1127" s="158" t="s">
        <v>4923</v>
      </c>
    </row>
    <row r="1128" spans="27:27">
      <c r="AA1128" s="158" t="s">
        <v>4924</v>
      </c>
    </row>
    <row r="1129" spans="27:27">
      <c r="AA1129" s="158" t="s">
        <v>4925</v>
      </c>
    </row>
    <row r="1130" spans="27:27">
      <c r="AA1130" s="158" t="s">
        <v>4926</v>
      </c>
    </row>
    <row r="1131" spans="27:27">
      <c r="AA1131" s="158" t="s">
        <v>4927</v>
      </c>
    </row>
    <row r="1132" spans="27:27">
      <c r="AA1132" s="158" t="s">
        <v>4928</v>
      </c>
    </row>
    <row r="1133" spans="27:27">
      <c r="AA1133" s="158" t="s">
        <v>4929</v>
      </c>
    </row>
    <row r="1134" spans="27:27">
      <c r="AA1134" s="158" t="s">
        <v>1354</v>
      </c>
    </row>
    <row r="1135" spans="27:27">
      <c r="AA1135" s="158" t="s">
        <v>4930</v>
      </c>
    </row>
    <row r="1136" spans="27:27">
      <c r="AA1136" s="158" t="s">
        <v>1355</v>
      </c>
    </row>
    <row r="1137" spans="27:27">
      <c r="AA1137" s="158" t="s">
        <v>4931</v>
      </c>
    </row>
    <row r="1138" spans="27:27">
      <c r="AA1138" s="158" t="s">
        <v>1356</v>
      </c>
    </row>
    <row r="1139" spans="27:27">
      <c r="AA1139" s="158" t="s">
        <v>4932</v>
      </c>
    </row>
    <row r="1140" spans="27:27">
      <c r="AA1140" s="158" t="s">
        <v>4933</v>
      </c>
    </row>
    <row r="1141" spans="27:27">
      <c r="AA1141" s="158" t="s">
        <v>4934</v>
      </c>
    </row>
    <row r="1142" spans="27:27">
      <c r="AA1142" s="158" t="s">
        <v>4935</v>
      </c>
    </row>
    <row r="1143" spans="27:27">
      <c r="AA1143" s="158" t="s">
        <v>4936</v>
      </c>
    </row>
    <row r="1144" spans="27:27">
      <c r="AA1144" s="158" t="s">
        <v>4937</v>
      </c>
    </row>
    <row r="1145" spans="27:27">
      <c r="AA1145" s="158" t="s">
        <v>4938</v>
      </c>
    </row>
    <row r="1146" spans="27:27">
      <c r="AA1146" s="158" t="s">
        <v>4939</v>
      </c>
    </row>
    <row r="1147" spans="27:27">
      <c r="AA1147" s="158" t="s">
        <v>4940</v>
      </c>
    </row>
    <row r="1148" spans="27:27">
      <c r="AA1148" s="158" t="s">
        <v>4941</v>
      </c>
    </row>
    <row r="1149" spans="27:27">
      <c r="AA1149" s="158" t="s">
        <v>4942</v>
      </c>
    </row>
    <row r="1150" spans="27:27">
      <c r="AA1150" s="158" t="s">
        <v>4943</v>
      </c>
    </row>
    <row r="1151" spans="27:27">
      <c r="AA1151" s="158" t="s">
        <v>4944</v>
      </c>
    </row>
    <row r="1152" spans="27:27">
      <c r="AA1152" s="158" t="s">
        <v>4945</v>
      </c>
    </row>
    <row r="1153" spans="27:27">
      <c r="AA1153" s="158" t="s">
        <v>1357</v>
      </c>
    </row>
    <row r="1154" spans="27:27">
      <c r="AA1154" s="158" t="s">
        <v>4946</v>
      </c>
    </row>
    <row r="1155" spans="27:27">
      <c r="AA1155" s="158" t="s">
        <v>4947</v>
      </c>
    </row>
    <row r="1156" spans="27:27">
      <c r="AA1156" s="158" t="s">
        <v>4948</v>
      </c>
    </row>
    <row r="1157" spans="27:27">
      <c r="AA1157" s="158" t="s">
        <v>1358</v>
      </c>
    </row>
    <row r="1158" spans="27:27">
      <c r="AA1158" s="158" t="s">
        <v>4949</v>
      </c>
    </row>
    <row r="1159" spans="27:27">
      <c r="AA1159" s="158" t="s">
        <v>4950</v>
      </c>
    </row>
    <row r="1160" spans="27:27">
      <c r="AA1160" s="158" t="s">
        <v>4951</v>
      </c>
    </row>
    <row r="1161" spans="27:27">
      <c r="AA1161" s="158" t="s">
        <v>4952</v>
      </c>
    </row>
    <row r="1162" spans="27:27">
      <c r="AA1162" s="158" t="s">
        <v>1359</v>
      </c>
    </row>
    <row r="1163" spans="27:27">
      <c r="AA1163" s="158" t="s">
        <v>3498</v>
      </c>
    </row>
    <row r="1164" spans="27:27">
      <c r="AA1164" s="158" t="s">
        <v>4953</v>
      </c>
    </row>
    <row r="1165" spans="27:27">
      <c r="AA1165" s="158" t="s">
        <v>4954</v>
      </c>
    </row>
    <row r="1166" spans="27:27">
      <c r="AA1166" s="158" t="s">
        <v>1360</v>
      </c>
    </row>
    <row r="1167" spans="27:27">
      <c r="AA1167" s="158" t="s">
        <v>4955</v>
      </c>
    </row>
    <row r="1168" spans="27:27">
      <c r="AA1168" s="158" t="s">
        <v>4956</v>
      </c>
    </row>
    <row r="1169" spans="27:27">
      <c r="AA1169" s="158" t="s">
        <v>1361</v>
      </c>
    </row>
    <row r="1170" spans="27:27">
      <c r="AA1170" s="158" t="s">
        <v>3499</v>
      </c>
    </row>
    <row r="1171" spans="27:27">
      <c r="AA1171" s="158" t="s">
        <v>1362</v>
      </c>
    </row>
    <row r="1172" spans="27:27">
      <c r="AA1172" s="158" t="s">
        <v>3500</v>
      </c>
    </row>
    <row r="1173" spans="27:27">
      <c r="AA1173" s="158" t="s">
        <v>4957</v>
      </c>
    </row>
    <row r="1174" spans="27:27">
      <c r="AA1174" s="158" t="s">
        <v>4958</v>
      </c>
    </row>
    <row r="1175" spans="27:27">
      <c r="AA1175" s="158" t="s">
        <v>1363</v>
      </c>
    </row>
    <row r="1176" spans="27:27">
      <c r="AA1176" s="158" t="s">
        <v>3501</v>
      </c>
    </row>
    <row r="1177" spans="27:27">
      <c r="AA1177" s="158" t="s">
        <v>4959</v>
      </c>
    </row>
    <row r="1178" spans="27:27">
      <c r="AA1178" s="158" t="s">
        <v>1364</v>
      </c>
    </row>
    <row r="1179" spans="27:27">
      <c r="AA1179" s="158" t="s">
        <v>4960</v>
      </c>
    </row>
    <row r="1180" spans="27:27">
      <c r="AA1180" s="158" t="s">
        <v>4961</v>
      </c>
    </row>
    <row r="1181" spans="27:27">
      <c r="AA1181" s="158" t="s">
        <v>4962</v>
      </c>
    </row>
    <row r="1182" spans="27:27">
      <c r="AA1182" s="158" t="s">
        <v>4963</v>
      </c>
    </row>
    <row r="1183" spans="27:27">
      <c r="AA1183" s="158" t="s">
        <v>4964</v>
      </c>
    </row>
    <row r="1184" spans="27:27">
      <c r="AA1184" s="158" t="s">
        <v>4965</v>
      </c>
    </row>
    <row r="1185" spans="27:27">
      <c r="AA1185" s="158" t="s">
        <v>4966</v>
      </c>
    </row>
    <row r="1186" spans="27:27">
      <c r="AA1186" s="158" t="s">
        <v>4967</v>
      </c>
    </row>
    <row r="1187" spans="27:27">
      <c r="AA1187" s="158" t="s">
        <v>4968</v>
      </c>
    </row>
    <row r="1188" spans="27:27">
      <c r="AA1188" s="158" t="s">
        <v>4969</v>
      </c>
    </row>
    <row r="1189" spans="27:27">
      <c r="AA1189" s="158" t="s">
        <v>1365</v>
      </c>
    </row>
    <row r="1190" spans="27:27">
      <c r="AA1190" s="158" t="s">
        <v>3502</v>
      </c>
    </row>
    <row r="1191" spans="27:27">
      <c r="AA1191" s="158" t="s">
        <v>1366</v>
      </c>
    </row>
    <row r="1192" spans="27:27">
      <c r="AA1192" s="158" t="s">
        <v>4970</v>
      </c>
    </row>
    <row r="1193" spans="27:27">
      <c r="AA1193" s="158" t="s">
        <v>4971</v>
      </c>
    </row>
    <row r="1194" spans="27:27">
      <c r="AA1194" s="158" t="s">
        <v>4972</v>
      </c>
    </row>
    <row r="1195" spans="27:27">
      <c r="AA1195" s="158" t="s">
        <v>4973</v>
      </c>
    </row>
    <row r="1196" spans="27:27">
      <c r="AA1196" s="158" t="s">
        <v>4974</v>
      </c>
    </row>
    <row r="1197" spans="27:27">
      <c r="AA1197" s="158" t="s">
        <v>4975</v>
      </c>
    </row>
    <row r="1198" spans="27:27">
      <c r="AA1198" s="158" t="s">
        <v>4976</v>
      </c>
    </row>
    <row r="1199" spans="27:27">
      <c r="AA1199" s="158" t="s">
        <v>4977</v>
      </c>
    </row>
    <row r="1200" spans="27:27">
      <c r="AA1200" s="158" t="s">
        <v>4978</v>
      </c>
    </row>
    <row r="1201" spans="27:27">
      <c r="AA1201" s="158" t="s">
        <v>1367</v>
      </c>
    </row>
    <row r="1202" spans="27:27">
      <c r="AA1202" s="158" t="s">
        <v>3503</v>
      </c>
    </row>
    <row r="1203" spans="27:27">
      <c r="AA1203" s="158" t="s">
        <v>1368</v>
      </c>
    </row>
    <row r="1204" spans="27:27">
      <c r="AA1204" s="158" t="s">
        <v>4979</v>
      </c>
    </row>
    <row r="1205" spans="27:27">
      <c r="AA1205" s="158" t="s">
        <v>4980</v>
      </c>
    </row>
    <row r="1206" spans="27:27">
      <c r="AA1206" s="158" t="s">
        <v>4981</v>
      </c>
    </row>
    <row r="1207" spans="27:27">
      <c r="AA1207" s="158" t="s">
        <v>4982</v>
      </c>
    </row>
    <row r="1208" spans="27:27">
      <c r="AA1208" s="158" t="s">
        <v>4983</v>
      </c>
    </row>
    <row r="1209" spans="27:27">
      <c r="AA1209" s="158" t="s">
        <v>4984</v>
      </c>
    </row>
    <row r="1210" spans="27:27">
      <c r="AA1210" s="158" t="s">
        <v>4985</v>
      </c>
    </row>
    <row r="1211" spans="27:27">
      <c r="AA1211" s="158" t="s">
        <v>4986</v>
      </c>
    </row>
    <row r="1212" spans="27:27">
      <c r="AA1212" s="158" t="s">
        <v>1369</v>
      </c>
    </row>
    <row r="1213" spans="27:27">
      <c r="AA1213" s="158" t="s">
        <v>3504</v>
      </c>
    </row>
    <row r="1214" spans="27:27">
      <c r="AA1214" s="158" t="s">
        <v>1370</v>
      </c>
    </row>
    <row r="1215" spans="27:27">
      <c r="AA1215" s="158" t="s">
        <v>4987</v>
      </c>
    </row>
    <row r="1216" spans="27:27">
      <c r="AA1216" s="158" t="s">
        <v>4988</v>
      </c>
    </row>
    <row r="1217" spans="27:27">
      <c r="AA1217" s="158" t="s">
        <v>4989</v>
      </c>
    </row>
    <row r="1218" spans="27:27">
      <c r="AA1218" s="158" t="s">
        <v>4990</v>
      </c>
    </row>
    <row r="1219" spans="27:27">
      <c r="AA1219" s="158" t="s">
        <v>4991</v>
      </c>
    </row>
    <row r="1220" spans="27:27">
      <c r="AA1220" s="158" t="s">
        <v>4992</v>
      </c>
    </row>
    <row r="1221" spans="27:27">
      <c r="AA1221" s="158" t="s">
        <v>4993</v>
      </c>
    </row>
    <row r="1222" spans="27:27">
      <c r="AA1222" s="158" t="s">
        <v>4994</v>
      </c>
    </row>
    <row r="1223" spans="27:27">
      <c r="AA1223" s="158" t="s">
        <v>4995</v>
      </c>
    </row>
    <row r="1224" spans="27:27">
      <c r="AA1224" s="158" t="s">
        <v>4996</v>
      </c>
    </row>
    <row r="1225" spans="27:27">
      <c r="AA1225" s="158" t="s">
        <v>4997</v>
      </c>
    </row>
    <row r="1226" spans="27:27">
      <c r="AA1226" s="158" t="s">
        <v>4998</v>
      </c>
    </row>
    <row r="1227" spans="27:27">
      <c r="AA1227" s="158" t="s">
        <v>4999</v>
      </c>
    </row>
    <row r="1228" spans="27:27">
      <c r="AA1228" s="158" t="s">
        <v>5000</v>
      </c>
    </row>
    <row r="1229" spans="27:27">
      <c r="AA1229" s="158" t="s">
        <v>5001</v>
      </c>
    </row>
    <row r="1230" spans="27:27">
      <c r="AA1230" s="158" t="s">
        <v>5002</v>
      </c>
    </row>
    <row r="1231" spans="27:27">
      <c r="AA1231" s="158" t="s">
        <v>5003</v>
      </c>
    </row>
    <row r="1232" spans="27:27">
      <c r="AA1232" s="158" t="s">
        <v>5004</v>
      </c>
    </row>
    <row r="1233" spans="27:27">
      <c r="AA1233" s="158" t="s">
        <v>5005</v>
      </c>
    </row>
    <row r="1234" spans="27:27">
      <c r="AA1234" s="158" t="s">
        <v>5006</v>
      </c>
    </row>
    <row r="1235" spans="27:27">
      <c r="AA1235" s="158" t="s">
        <v>5007</v>
      </c>
    </row>
    <row r="1236" spans="27:27">
      <c r="AA1236" s="158" t="s">
        <v>5008</v>
      </c>
    </row>
    <row r="1237" spans="27:27">
      <c r="AA1237" s="158" t="s">
        <v>5009</v>
      </c>
    </row>
    <row r="1238" spans="27:27">
      <c r="AA1238" s="158" t="s">
        <v>5010</v>
      </c>
    </row>
    <row r="1239" spans="27:27">
      <c r="AA1239" s="158" t="s">
        <v>5011</v>
      </c>
    </row>
    <row r="1240" spans="27:27">
      <c r="AA1240" s="158" t="s">
        <v>5012</v>
      </c>
    </row>
    <row r="1241" spans="27:27">
      <c r="AA1241" s="158" t="s">
        <v>5013</v>
      </c>
    </row>
    <row r="1242" spans="27:27">
      <c r="AA1242" s="158" t="s">
        <v>5014</v>
      </c>
    </row>
    <row r="1243" spans="27:27">
      <c r="AA1243" s="158" t="s">
        <v>5015</v>
      </c>
    </row>
    <row r="1244" spans="27:27">
      <c r="AA1244" s="158" t="s">
        <v>5016</v>
      </c>
    </row>
    <row r="1245" spans="27:27">
      <c r="AA1245" s="158" t="s">
        <v>5017</v>
      </c>
    </row>
    <row r="1246" spans="27:27">
      <c r="AA1246" s="158" t="s">
        <v>5018</v>
      </c>
    </row>
    <row r="1247" spans="27:27">
      <c r="AA1247" s="158" t="s">
        <v>5019</v>
      </c>
    </row>
    <row r="1248" spans="27:27">
      <c r="AA1248" s="158" t="s">
        <v>5020</v>
      </c>
    </row>
    <row r="1249" spans="27:27">
      <c r="AA1249" s="158" t="s">
        <v>5021</v>
      </c>
    </row>
    <row r="1250" spans="27:27">
      <c r="AA1250" s="158" t="s">
        <v>5022</v>
      </c>
    </row>
    <row r="1251" spans="27:27">
      <c r="AA1251" s="158" t="s">
        <v>5023</v>
      </c>
    </row>
    <row r="1252" spans="27:27">
      <c r="AA1252" s="158" t="s">
        <v>5024</v>
      </c>
    </row>
    <row r="1253" spans="27:27">
      <c r="AA1253" s="158" t="s">
        <v>5025</v>
      </c>
    </row>
    <row r="1254" spans="27:27">
      <c r="AA1254" s="158" t="s">
        <v>5026</v>
      </c>
    </row>
    <row r="1255" spans="27:27">
      <c r="AA1255" s="158" t="s">
        <v>5027</v>
      </c>
    </row>
    <row r="1256" spans="27:27">
      <c r="AA1256" s="158" t="s">
        <v>5028</v>
      </c>
    </row>
    <row r="1257" spans="27:27">
      <c r="AA1257" s="158" t="s">
        <v>5029</v>
      </c>
    </row>
    <row r="1258" spans="27:27">
      <c r="AA1258" s="158" t="s">
        <v>3505</v>
      </c>
    </row>
    <row r="1259" spans="27:27">
      <c r="AA1259" s="158" t="s">
        <v>5030</v>
      </c>
    </row>
    <row r="1260" spans="27:27">
      <c r="AA1260" s="158" t="s">
        <v>5031</v>
      </c>
    </row>
    <row r="1261" spans="27:27">
      <c r="AA1261" s="158" t="s">
        <v>5032</v>
      </c>
    </row>
    <row r="1262" spans="27:27">
      <c r="AA1262" s="158" t="s">
        <v>5033</v>
      </c>
    </row>
    <row r="1263" spans="27:27">
      <c r="AA1263" s="158" t="s">
        <v>5034</v>
      </c>
    </row>
    <row r="1264" spans="27:27">
      <c r="AA1264" s="158" t="s">
        <v>5035</v>
      </c>
    </row>
    <row r="1265" spans="27:27">
      <c r="AA1265" s="158" t="s">
        <v>1371</v>
      </c>
    </row>
    <row r="1266" spans="27:27">
      <c r="AA1266" s="158" t="s">
        <v>3506</v>
      </c>
    </row>
    <row r="1267" spans="27:27">
      <c r="AA1267" s="158" t="s">
        <v>5036</v>
      </c>
    </row>
    <row r="1268" spans="27:27">
      <c r="AA1268" s="158" t="s">
        <v>5037</v>
      </c>
    </row>
    <row r="1269" spans="27:27">
      <c r="AA1269" s="158" t="s">
        <v>5038</v>
      </c>
    </row>
    <row r="1270" spans="27:27">
      <c r="AA1270" s="158" t="s">
        <v>3507</v>
      </c>
    </row>
    <row r="1271" spans="27:27">
      <c r="AA1271" s="158" t="s">
        <v>5039</v>
      </c>
    </row>
    <row r="1272" spans="27:27">
      <c r="AA1272" s="158" t="s">
        <v>5040</v>
      </c>
    </row>
    <row r="1273" spans="27:27">
      <c r="AA1273" s="158" t="s">
        <v>5041</v>
      </c>
    </row>
    <row r="1274" spans="27:27">
      <c r="AA1274" s="158" t="s">
        <v>5042</v>
      </c>
    </row>
    <row r="1275" spans="27:27">
      <c r="AA1275" s="158" t="s">
        <v>5043</v>
      </c>
    </row>
    <row r="1276" spans="27:27">
      <c r="AA1276" s="158" t="s">
        <v>5044</v>
      </c>
    </row>
    <row r="1277" spans="27:27">
      <c r="AA1277" s="158" t="s">
        <v>3508</v>
      </c>
    </row>
    <row r="1278" spans="27:27">
      <c r="AA1278" s="158" t="s">
        <v>5045</v>
      </c>
    </row>
    <row r="1279" spans="27:27">
      <c r="AA1279" s="158" t="s">
        <v>5046</v>
      </c>
    </row>
    <row r="1280" spans="27:27">
      <c r="AA1280" s="158" t="s">
        <v>5047</v>
      </c>
    </row>
    <row r="1281" spans="27:27">
      <c r="AA1281" s="158" t="s">
        <v>5048</v>
      </c>
    </row>
    <row r="1282" spans="27:27">
      <c r="AA1282" s="158" t="s">
        <v>5049</v>
      </c>
    </row>
    <row r="1283" spans="27:27">
      <c r="AA1283" s="158" t="s">
        <v>5050</v>
      </c>
    </row>
    <row r="1284" spans="27:27">
      <c r="AA1284" s="158" t="s">
        <v>5051</v>
      </c>
    </row>
    <row r="1285" spans="27:27">
      <c r="AA1285" s="158" t="s">
        <v>5052</v>
      </c>
    </row>
    <row r="1286" spans="27:27">
      <c r="AA1286" s="158" t="s">
        <v>5053</v>
      </c>
    </row>
    <row r="1287" spans="27:27">
      <c r="AA1287" s="158" t="s">
        <v>1372</v>
      </c>
    </row>
    <row r="1288" spans="27:27">
      <c r="AA1288" s="158" t="s">
        <v>3509</v>
      </c>
    </row>
    <row r="1289" spans="27:27">
      <c r="AA1289" s="158" t="s">
        <v>5054</v>
      </c>
    </row>
    <row r="1290" spans="27:27">
      <c r="AA1290" s="158" t="s">
        <v>5055</v>
      </c>
    </row>
    <row r="1291" spans="27:27">
      <c r="AA1291" s="158" t="s">
        <v>5056</v>
      </c>
    </row>
    <row r="1292" spans="27:27">
      <c r="AA1292" s="158" t="s">
        <v>5057</v>
      </c>
    </row>
    <row r="1293" spans="27:27">
      <c r="AA1293" s="158" t="s">
        <v>5058</v>
      </c>
    </row>
    <row r="1294" spans="27:27">
      <c r="AA1294" s="158" t="s">
        <v>5059</v>
      </c>
    </row>
    <row r="1295" spans="27:27">
      <c r="AA1295" s="158" t="s">
        <v>5060</v>
      </c>
    </row>
    <row r="1296" spans="27:27">
      <c r="AA1296" s="158" t="s">
        <v>5061</v>
      </c>
    </row>
    <row r="1297" spans="27:27">
      <c r="AA1297" s="158" t="s">
        <v>5062</v>
      </c>
    </row>
    <row r="1298" spans="27:27">
      <c r="AA1298" s="158" t="s">
        <v>5063</v>
      </c>
    </row>
    <row r="1299" spans="27:27">
      <c r="AA1299" s="158" t="s">
        <v>5064</v>
      </c>
    </row>
    <row r="1300" spans="27:27">
      <c r="AA1300" s="158" t="s">
        <v>5065</v>
      </c>
    </row>
    <row r="1301" spans="27:27">
      <c r="AA1301" s="158" t="s">
        <v>5066</v>
      </c>
    </row>
    <row r="1302" spans="27:27">
      <c r="AA1302" s="158" t="s">
        <v>1373</v>
      </c>
    </row>
    <row r="1303" spans="27:27">
      <c r="AA1303" s="158" t="s">
        <v>3510</v>
      </c>
    </row>
    <row r="1304" spans="27:27">
      <c r="AA1304" s="158" t="s">
        <v>1374</v>
      </c>
    </row>
    <row r="1305" spans="27:27">
      <c r="AA1305" s="158" t="s">
        <v>3511</v>
      </c>
    </row>
    <row r="1306" spans="27:27">
      <c r="AA1306" s="158" t="s">
        <v>3512</v>
      </c>
    </row>
    <row r="1307" spans="27:27">
      <c r="AA1307" s="158" t="s">
        <v>136</v>
      </c>
    </row>
    <row r="1308" spans="27:27">
      <c r="AA1308" s="158" t="s">
        <v>137</v>
      </c>
    </row>
    <row r="1309" spans="27:27">
      <c r="AA1309" s="158" t="s">
        <v>1375</v>
      </c>
    </row>
    <row r="1310" spans="27:27">
      <c r="AA1310" s="158" t="s">
        <v>5067</v>
      </c>
    </row>
    <row r="1311" spans="27:27">
      <c r="AA1311" s="158" t="s">
        <v>1376</v>
      </c>
    </row>
    <row r="1312" spans="27:27">
      <c r="AA1312" s="158" t="s">
        <v>5068</v>
      </c>
    </row>
    <row r="1313" spans="27:27">
      <c r="AA1313" s="158" t="s">
        <v>5069</v>
      </c>
    </row>
    <row r="1314" spans="27:27">
      <c r="AA1314" s="158" t="s">
        <v>5070</v>
      </c>
    </row>
    <row r="1315" spans="27:27">
      <c r="AA1315" s="158" t="s">
        <v>5071</v>
      </c>
    </row>
    <row r="1316" spans="27:27">
      <c r="AA1316" s="158" t="s">
        <v>1377</v>
      </c>
    </row>
    <row r="1317" spans="27:27">
      <c r="AA1317" s="158" t="s">
        <v>3513</v>
      </c>
    </row>
    <row r="1318" spans="27:27">
      <c r="AA1318" s="158" t="s">
        <v>1378</v>
      </c>
    </row>
    <row r="1319" spans="27:27">
      <c r="AA1319" s="158" t="s">
        <v>3514</v>
      </c>
    </row>
    <row r="1320" spans="27:27">
      <c r="AA1320" s="158" t="s">
        <v>138</v>
      </c>
    </row>
    <row r="1321" spans="27:27">
      <c r="AA1321" s="158" t="s">
        <v>5072</v>
      </c>
    </row>
    <row r="1322" spans="27:27">
      <c r="AA1322" s="158" t="s">
        <v>5073</v>
      </c>
    </row>
    <row r="1323" spans="27:27">
      <c r="AA1323" s="158" t="s">
        <v>5074</v>
      </c>
    </row>
    <row r="1324" spans="27:27">
      <c r="AA1324" s="158" t="s">
        <v>5075</v>
      </c>
    </row>
    <row r="1325" spans="27:27">
      <c r="AA1325" s="158" t="s">
        <v>5076</v>
      </c>
    </row>
    <row r="1326" spans="27:27">
      <c r="AA1326" s="158" t="s">
        <v>5077</v>
      </c>
    </row>
    <row r="1327" spans="27:27">
      <c r="AA1327" s="158" t="s">
        <v>5078</v>
      </c>
    </row>
    <row r="1328" spans="27:27">
      <c r="AA1328" s="158" t="s">
        <v>5079</v>
      </c>
    </row>
    <row r="1329" spans="27:27">
      <c r="AA1329" s="158" t="s">
        <v>5080</v>
      </c>
    </row>
    <row r="1330" spans="27:27">
      <c r="AA1330" s="158" t="s">
        <v>5081</v>
      </c>
    </row>
    <row r="1331" spans="27:27">
      <c r="AA1331" s="158" t="s">
        <v>5082</v>
      </c>
    </row>
    <row r="1332" spans="27:27">
      <c r="AA1332" s="158" t="s">
        <v>5083</v>
      </c>
    </row>
    <row r="1333" spans="27:27">
      <c r="AA1333" s="158" t="s">
        <v>5084</v>
      </c>
    </row>
    <row r="1334" spans="27:27">
      <c r="AA1334" s="158" t="s">
        <v>5085</v>
      </c>
    </row>
    <row r="1335" spans="27:27">
      <c r="AA1335" s="158" t="s">
        <v>5086</v>
      </c>
    </row>
    <row r="1336" spans="27:27">
      <c r="AA1336" s="158" t="s">
        <v>5087</v>
      </c>
    </row>
    <row r="1337" spans="27:27">
      <c r="AA1337" s="158" t="s">
        <v>5088</v>
      </c>
    </row>
    <row r="1338" spans="27:27">
      <c r="AA1338" s="158" t="s">
        <v>5089</v>
      </c>
    </row>
    <row r="1339" spans="27:27">
      <c r="AA1339" s="158" t="s">
        <v>5090</v>
      </c>
    </row>
    <row r="1340" spans="27:27">
      <c r="AA1340" s="158" t="s">
        <v>5091</v>
      </c>
    </row>
    <row r="1341" spans="27:27">
      <c r="AA1341" s="158" t="s">
        <v>5092</v>
      </c>
    </row>
    <row r="1342" spans="27:27">
      <c r="AA1342" s="158" t="s">
        <v>5093</v>
      </c>
    </row>
    <row r="1343" spans="27:27">
      <c r="AA1343" s="158" t="s">
        <v>5094</v>
      </c>
    </row>
    <row r="1344" spans="27:27">
      <c r="AA1344" s="158" t="s">
        <v>5095</v>
      </c>
    </row>
    <row r="1345" spans="27:27">
      <c r="AA1345" s="158" t="s">
        <v>5096</v>
      </c>
    </row>
    <row r="1346" spans="27:27">
      <c r="AA1346" s="158" t="s">
        <v>1379</v>
      </c>
    </row>
    <row r="1347" spans="27:27">
      <c r="AA1347" s="158" t="s">
        <v>3515</v>
      </c>
    </row>
    <row r="1348" spans="27:27">
      <c r="AA1348" s="158" t="s">
        <v>5097</v>
      </c>
    </row>
    <row r="1349" spans="27:27">
      <c r="AA1349" s="158" t="s">
        <v>1380</v>
      </c>
    </row>
    <row r="1350" spans="27:27">
      <c r="AA1350" s="158" t="s">
        <v>5098</v>
      </c>
    </row>
    <row r="1351" spans="27:27">
      <c r="AA1351" s="158" t="s">
        <v>5099</v>
      </c>
    </row>
    <row r="1352" spans="27:27">
      <c r="AA1352" s="158" t="s">
        <v>5100</v>
      </c>
    </row>
    <row r="1353" spans="27:27">
      <c r="AA1353" s="158" t="s">
        <v>5101</v>
      </c>
    </row>
    <row r="1354" spans="27:27">
      <c r="AA1354" s="158" t="s">
        <v>5102</v>
      </c>
    </row>
    <row r="1355" spans="27:27">
      <c r="AA1355" s="158" t="s">
        <v>5103</v>
      </c>
    </row>
    <row r="1356" spans="27:27">
      <c r="AA1356" s="158" t="s">
        <v>1381</v>
      </c>
    </row>
    <row r="1357" spans="27:27">
      <c r="AA1357" s="158" t="s">
        <v>5104</v>
      </c>
    </row>
    <row r="1358" spans="27:27">
      <c r="AA1358" s="158" t="s">
        <v>1382</v>
      </c>
    </row>
    <row r="1359" spans="27:27">
      <c r="AA1359" s="158" t="s">
        <v>5105</v>
      </c>
    </row>
    <row r="1360" spans="27:27">
      <c r="AA1360" s="158" t="s">
        <v>1383</v>
      </c>
    </row>
    <row r="1361" spans="27:27">
      <c r="AA1361" s="158" t="s">
        <v>1384</v>
      </c>
    </row>
    <row r="1362" spans="27:27">
      <c r="AA1362" s="158" t="s">
        <v>3516</v>
      </c>
    </row>
    <row r="1363" spans="27:27">
      <c r="AA1363" s="158" t="s">
        <v>5106</v>
      </c>
    </row>
    <row r="1364" spans="27:27">
      <c r="AA1364" s="158" t="s">
        <v>5107</v>
      </c>
    </row>
    <row r="1365" spans="27:27">
      <c r="AA1365" s="158" t="s">
        <v>5108</v>
      </c>
    </row>
    <row r="1366" spans="27:27">
      <c r="AA1366" s="158" t="s">
        <v>139</v>
      </c>
    </row>
    <row r="1367" spans="27:27">
      <c r="AA1367" s="158" t="s">
        <v>5109</v>
      </c>
    </row>
    <row r="1368" spans="27:27">
      <c r="AA1368" s="158" t="s">
        <v>5110</v>
      </c>
    </row>
    <row r="1369" spans="27:27">
      <c r="AA1369" s="158" t="s">
        <v>5111</v>
      </c>
    </row>
    <row r="1370" spans="27:27">
      <c r="AA1370" s="158" t="s">
        <v>5112</v>
      </c>
    </row>
    <row r="1371" spans="27:27">
      <c r="AA1371" s="158" t="s">
        <v>5113</v>
      </c>
    </row>
    <row r="1372" spans="27:27">
      <c r="AA1372" s="158" t="s">
        <v>5114</v>
      </c>
    </row>
    <row r="1373" spans="27:27">
      <c r="AA1373" s="158" t="s">
        <v>5115</v>
      </c>
    </row>
    <row r="1374" spans="27:27">
      <c r="AA1374" s="158" t="s">
        <v>5116</v>
      </c>
    </row>
    <row r="1375" spans="27:27">
      <c r="AA1375" s="158" t="s">
        <v>5117</v>
      </c>
    </row>
    <row r="1376" spans="27:27">
      <c r="AA1376" s="158" t="s">
        <v>5118</v>
      </c>
    </row>
    <row r="1377" spans="27:27">
      <c r="AA1377" s="158" t="s">
        <v>5119</v>
      </c>
    </row>
    <row r="1378" spans="27:27">
      <c r="AA1378" s="158" t="s">
        <v>5120</v>
      </c>
    </row>
    <row r="1379" spans="27:27">
      <c r="AA1379" s="158" t="s">
        <v>5121</v>
      </c>
    </row>
    <row r="1380" spans="27:27">
      <c r="AA1380" s="158" t="s">
        <v>5122</v>
      </c>
    </row>
    <row r="1381" spans="27:27">
      <c r="AA1381" s="158" t="s">
        <v>140</v>
      </c>
    </row>
    <row r="1382" spans="27:27">
      <c r="AA1382" s="158" t="s">
        <v>3517</v>
      </c>
    </row>
    <row r="1383" spans="27:27">
      <c r="AA1383" s="158" t="s">
        <v>5123</v>
      </c>
    </row>
    <row r="1384" spans="27:27">
      <c r="AA1384" s="158" t="s">
        <v>1385</v>
      </c>
    </row>
    <row r="1385" spans="27:27">
      <c r="AA1385" s="158" t="s">
        <v>5124</v>
      </c>
    </row>
    <row r="1386" spans="27:27">
      <c r="AA1386" s="158" t="s">
        <v>5125</v>
      </c>
    </row>
    <row r="1387" spans="27:27">
      <c r="AA1387" s="158" t="s">
        <v>5126</v>
      </c>
    </row>
    <row r="1388" spans="27:27">
      <c r="AA1388" s="158" t="s">
        <v>5127</v>
      </c>
    </row>
    <row r="1389" spans="27:27">
      <c r="AA1389" s="158" t="s">
        <v>5128</v>
      </c>
    </row>
    <row r="1390" spans="27:27">
      <c r="AA1390" s="158" t="s">
        <v>5129</v>
      </c>
    </row>
    <row r="1391" spans="27:27">
      <c r="AA1391" s="158" t="s">
        <v>5130</v>
      </c>
    </row>
    <row r="1392" spans="27:27">
      <c r="AA1392" s="158" t="s">
        <v>5131</v>
      </c>
    </row>
    <row r="1393" spans="27:27">
      <c r="AA1393" s="158" t="s">
        <v>5132</v>
      </c>
    </row>
    <row r="1394" spans="27:27">
      <c r="AA1394" s="158" t="s">
        <v>5133</v>
      </c>
    </row>
    <row r="1395" spans="27:27">
      <c r="AA1395" s="158" t="s">
        <v>5134</v>
      </c>
    </row>
    <row r="1396" spans="27:27">
      <c r="AA1396" s="158" t="s">
        <v>1386</v>
      </c>
    </row>
    <row r="1397" spans="27:27">
      <c r="AA1397" s="158" t="s">
        <v>5135</v>
      </c>
    </row>
    <row r="1398" spans="27:27">
      <c r="AA1398" s="158" t="s">
        <v>1387</v>
      </c>
    </row>
    <row r="1399" spans="27:27">
      <c r="AA1399" s="158" t="s">
        <v>5136</v>
      </c>
    </row>
    <row r="1400" spans="27:27">
      <c r="AA1400" s="158" t="s">
        <v>1388</v>
      </c>
    </row>
    <row r="1401" spans="27:27">
      <c r="AA1401" s="158" t="s">
        <v>3518</v>
      </c>
    </row>
    <row r="1402" spans="27:27">
      <c r="AA1402" s="158" t="s">
        <v>5137</v>
      </c>
    </row>
    <row r="1403" spans="27:27">
      <c r="AA1403" s="158" t="s">
        <v>5138</v>
      </c>
    </row>
    <row r="1404" spans="27:27">
      <c r="AA1404" s="158" t="s">
        <v>5139</v>
      </c>
    </row>
    <row r="1405" spans="27:27">
      <c r="AA1405" s="158" t="s">
        <v>5140</v>
      </c>
    </row>
    <row r="1406" spans="27:27">
      <c r="AA1406" s="158" t="s">
        <v>5141</v>
      </c>
    </row>
    <row r="1407" spans="27:27">
      <c r="AA1407" s="158" t="s">
        <v>5142</v>
      </c>
    </row>
    <row r="1408" spans="27:27">
      <c r="AA1408" s="158" t="s">
        <v>5143</v>
      </c>
    </row>
    <row r="1409" spans="27:27">
      <c r="AA1409" s="158" t="s">
        <v>5144</v>
      </c>
    </row>
    <row r="1410" spans="27:27">
      <c r="AA1410" s="158" t="s">
        <v>5145</v>
      </c>
    </row>
    <row r="1411" spans="27:27">
      <c r="AA1411" s="158" t="s">
        <v>5146</v>
      </c>
    </row>
    <row r="1412" spans="27:27">
      <c r="AA1412" s="158" t="s">
        <v>5147</v>
      </c>
    </row>
    <row r="1413" spans="27:27">
      <c r="AA1413" s="158" t="s">
        <v>5148</v>
      </c>
    </row>
    <row r="1414" spans="27:27">
      <c r="AA1414" s="158" t="s">
        <v>5149</v>
      </c>
    </row>
    <row r="1415" spans="27:27">
      <c r="AA1415" s="158" t="s">
        <v>5150</v>
      </c>
    </row>
    <row r="1416" spans="27:27">
      <c r="AA1416" s="158" t="s">
        <v>5151</v>
      </c>
    </row>
    <row r="1417" spans="27:27">
      <c r="AA1417" s="158" t="s">
        <v>5152</v>
      </c>
    </row>
    <row r="1418" spans="27:27">
      <c r="AA1418" s="158" t="s">
        <v>5153</v>
      </c>
    </row>
    <row r="1419" spans="27:27">
      <c r="AA1419" s="158" t="s">
        <v>5154</v>
      </c>
    </row>
    <row r="1420" spans="27:27">
      <c r="AA1420" s="158" t="s">
        <v>5155</v>
      </c>
    </row>
    <row r="1421" spans="27:27">
      <c r="AA1421" s="158" t="s">
        <v>5156</v>
      </c>
    </row>
    <row r="1422" spans="27:27">
      <c r="AA1422" s="158" t="s">
        <v>5157</v>
      </c>
    </row>
    <row r="1423" spans="27:27">
      <c r="AA1423" s="158" t="s">
        <v>5158</v>
      </c>
    </row>
    <row r="1424" spans="27:27">
      <c r="AA1424" s="158" t="s">
        <v>5159</v>
      </c>
    </row>
    <row r="1425" spans="27:27">
      <c r="AA1425" s="158" t="s">
        <v>5160</v>
      </c>
    </row>
    <row r="1426" spans="27:27">
      <c r="AA1426" s="158" t="s">
        <v>5161</v>
      </c>
    </row>
    <row r="1427" spans="27:27">
      <c r="AA1427" s="158" t="s">
        <v>5162</v>
      </c>
    </row>
    <row r="1428" spans="27:27">
      <c r="AA1428" s="158" t="s">
        <v>5163</v>
      </c>
    </row>
    <row r="1429" spans="27:27">
      <c r="AA1429" s="158" t="s">
        <v>5164</v>
      </c>
    </row>
    <row r="1430" spans="27:27">
      <c r="AA1430" s="158" t="s">
        <v>5165</v>
      </c>
    </row>
    <row r="1431" spans="27:27">
      <c r="AA1431" s="158" t="s">
        <v>5166</v>
      </c>
    </row>
    <row r="1432" spans="27:27">
      <c r="AA1432" s="158" t="s">
        <v>5167</v>
      </c>
    </row>
    <row r="1433" spans="27:27">
      <c r="AA1433" s="158" t="s">
        <v>5168</v>
      </c>
    </row>
    <row r="1434" spans="27:27">
      <c r="AA1434" s="158" t="s">
        <v>5169</v>
      </c>
    </row>
    <row r="1435" spans="27:27">
      <c r="AA1435" s="158" t="s">
        <v>5170</v>
      </c>
    </row>
    <row r="1436" spans="27:27">
      <c r="AA1436" s="158" t="s">
        <v>5171</v>
      </c>
    </row>
    <row r="1437" spans="27:27">
      <c r="AA1437" s="158" t="s">
        <v>5172</v>
      </c>
    </row>
    <row r="1438" spans="27:27">
      <c r="AA1438" s="158" t="s">
        <v>5173</v>
      </c>
    </row>
    <row r="1439" spans="27:27">
      <c r="AA1439" s="158" t="s">
        <v>5174</v>
      </c>
    </row>
    <row r="1440" spans="27:27">
      <c r="AA1440" s="158" t="s">
        <v>5175</v>
      </c>
    </row>
    <row r="1441" spans="27:27">
      <c r="AA1441" s="158" t="s">
        <v>5176</v>
      </c>
    </row>
    <row r="1442" spans="27:27">
      <c r="AA1442" s="158" t="s">
        <v>5177</v>
      </c>
    </row>
    <row r="1443" spans="27:27">
      <c r="AA1443" s="158" t="s">
        <v>1389</v>
      </c>
    </row>
    <row r="1444" spans="27:27">
      <c r="AA1444" s="158" t="s">
        <v>3519</v>
      </c>
    </row>
    <row r="1445" spans="27:27">
      <c r="AA1445" s="158" t="s">
        <v>5178</v>
      </c>
    </row>
    <row r="1446" spans="27:27">
      <c r="AA1446" s="158" t="s">
        <v>5179</v>
      </c>
    </row>
    <row r="1447" spans="27:27">
      <c r="AA1447" s="158" t="s">
        <v>5180</v>
      </c>
    </row>
    <row r="1448" spans="27:27">
      <c r="AA1448" s="158" t="s">
        <v>5181</v>
      </c>
    </row>
    <row r="1449" spans="27:27">
      <c r="AA1449" s="158" t="s">
        <v>5182</v>
      </c>
    </row>
    <row r="1450" spans="27:27">
      <c r="AA1450" s="158" t="s">
        <v>5183</v>
      </c>
    </row>
    <row r="1451" spans="27:27">
      <c r="AA1451" s="158" t="s">
        <v>5184</v>
      </c>
    </row>
    <row r="1452" spans="27:27">
      <c r="AA1452" s="158" t="s">
        <v>5185</v>
      </c>
    </row>
    <row r="1453" spans="27:27">
      <c r="AA1453" s="158" t="s">
        <v>5186</v>
      </c>
    </row>
    <row r="1454" spans="27:27">
      <c r="AA1454" s="158" t="s">
        <v>1390</v>
      </c>
    </row>
    <row r="1455" spans="27:27">
      <c r="AA1455" s="158" t="s">
        <v>5187</v>
      </c>
    </row>
    <row r="1456" spans="27:27">
      <c r="AA1456" s="158" t="s">
        <v>1391</v>
      </c>
    </row>
    <row r="1457" spans="27:27">
      <c r="AA1457" s="158" t="s">
        <v>5188</v>
      </c>
    </row>
    <row r="1458" spans="27:27">
      <c r="AA1458" s="158" t="s">
        <v>1392</v>
      </c>
    </row>
    <row r="1459" spans="27:27">
      <c r="AA1459" s="158" t="s">
        <v>5189</v>
      </c>
    </row>
    <row r="1460" spans="27:27">
      <c r="AA1460" s="158" t="s">
        <v>1393</v>
      </c>
    </row>
    <row r="1461" spans="27:27">
      <c r="AA1461" s="158" t="s">
        <v>3520</v>
      </c>
    </row>
    <row r="1462" spans="27:27">
      <c r="AA1462" s="158" t="s">
        <v>1394</v>
      </c>
    </row>
    <row r="1463" spans="27:27">
      <c r="AA1463" s="158" t="s">
        <v>5190</v>
      </c>
    </row>
    <row r="1464" spans="27:27">
      <c r="AA1464" s="158" t="s">
        <v>5191</v>
      </c>
    </row>
    <row r="1465" spans="27:27">
      <c r="AA1465" s="158" t="s">
        <v>5192</v>
      </c>
    </row>
    <row r="1466" spans="27:27">
      <c r="AA1466" s="158" t="s">
        <v>5193</v>
      </c>
    </row>
    <row r="1467" spans="27:27">
      <c r="AA1467" s="158" t="s">
        <v>5194</v>
      </c>
    </row>
    <row r="1468" spans="27:27">
      <c r="AA1468" s="158" t="s">
        <v>5195</v>
      </c>
    </row>
    <row r="1469" spans="27:27">
      <c r="AA1469" s="158" t="s">
        <v>5196</v>
      </c>
    </row>
    <row r="1470" spans="27:27">
      <c r="AA1470" s="158" t="s">
        <v>5197</v>
      </c>
    </row>
    <row r="1471" spans="27:27">
      <c r="AA1471" s="158" t="s">
        <v>5198</v>
      </c>
    </row>
    <row r="1472" spans="27:27">
      <c r="AA1472" s="158" t="s">
        <v>5199</v>
      </c>
    </row>
    <row r="1473" spans="27:27">
      <c r="AA1473" s="158" t="s">
        <v>5200</v>
      </c>
    </row>
    <row r="1474" spans="27:27">
      <c r="AA1474" s="158" t="s">
        <v>5201</v>
      </c>
    </row>
    <row r="1475" spans="27:27">
      <c r="AA1475" s="158" t="s">
        <v>5202</v>
      </c>
    </row>
    <row r="1476" spans="27:27">
      <c r="AA1476" s="158" t="s">
        <v>5203</v>
      </c>
    </row>
    <row r="1477" spans="27:27">
      <c r="AA1477" s="158" t="s">
        <v>5204</v>
      </c>
    </row>
    <row r="1478" spans="27:27">
      <c r="AA1478" s="158" t="s">
        <v>5205</v>
      </c>
    </row>
    <row r="1479" spans="27:27">
      <c r="AA1479" s="158" t="s">
        <v>5206</v>
      </c>
    </row>
    <row r="1480" spans="27:27">
      <c r="AA1480" s="158" t="s">
        <v>5207</v>
      </c>
    </row>
    <row r="1481" spans="27:27">
      <c r="AA1481" s="158" t="s">
        <v>5208</v>
      </c>
    </row>
    <row r="1482" spans="27:27">
      <c r="AA1482" s="158" t="s">
        <v>5209</v>
      </c>
    </row>
    <row r="1483" spans="27:27">
      <c r="AA1483" s="158" t="s">
        <v>1395</v>
      </c>
    </row>
    <row r="1484" spans="27:27">
      <c r="AA1484" s="158" t="s">
        <v>5210</v>
      </c>
    </row>
    <row r="1485" spans="27:27">
      <c r="AA1485" s="158" t="s">
        <v>1396</v>
      </c>
    </row>
    <row r="1486" spans="27:27">
      <c r="AA1486" s="158" t="s">
        <v>3521</v>
      </c>
    </row>
    <row r="1487" spans="27:27">
      <c r="AA1487" s="158" t="s">
        <v>5211</v>
      </c>
    </row>
    <row r="1488" spans="27:27">
      <c r="AA1488" s="158" t="s">
        <v>5212</v>
      </c>
    </row>
    <row r="1489" spans="27:27">
      <c r="AA1489" s="158" t="s">
        <v>5213</v>
      </c>
    </row>
    <row r="1490" spans="27:27">
      <c r="AA1490" s="158" t="s">
        <v>5214</v>
      </c>
    </row>
    <row r="1491" spans="27:27">
      <c r="AA1491" s="158" t="s">
        <v>5215</v>
      </c>
    </row>
    <row r="1492" spans="27:27">
      <c r="AA1492" s="158" t="s">
        <v>5216</v>
      </c>
    </row>
    <row r="1493" spans="27:27">
      <c r="AA1493" s="158" t="s">
        <v>5217</v>
      </c>
    </row>
    <row r="1494" spans="27:27">
      <c r="AA1494" s="158" t="s">
        <v>5218</v>
      </c>
    </row>
    <row r="1495" spans="27:27">
      <c r="AA1495" s="158" t="s">
        <v>5219</v>
      </c>
    </row>
    <row r="1496" spans="27:27">
      <c r="AA1496" s="158" t="s">
        <v>5220</v>
      </c>
    </row>
    <row r="1497" spans="27:27">
      <c r="AA1497" s="158" t="s">
        <v>5221</v>
      </c>
    </row>
    <row r="1498" spans="27:27">
      <c r="AA1498" s="158" t="s">
        <v>5222</v>
      </c>
    </row>
    <row r="1499" spans="27:27">
      <c r="AA1499" s="158" t="s">
        <v>5223</v>
      </c>
    </row>
    <row r="1500" spans="27:27">
      <c r="AA1500" s="158" t="s">
        <v>5224</v>
      </c>
    </row>
    <row r="1501" spans="27:27">
      <c r="AA1501" s="158" t="s">
        <v>5225</v>
      </c>
    </row>
    <row r="1502" spans="27:27">
      <c r="AA1502" s="158" t="s">
        <v>5226</v>
      </c>
    </row>
    <row r="1503" spans="27:27">
      <c r="AA1503" s="158" t="s">
        <v>5227</v>
      </c>
    </row>
    <row r="1504" spans="27:27">
      <c r="AA1504" s="158" t="s">
        <v>5228</v>
      </c>
    </row>
    <row r="1505" spans="27:27">
      <c r="AA1505" s="158" t="s">
        <v>1397</v>
      </c>
    </row>
    <row r="1506" spans="27:27">
      <c r="AA1506" s="158" t="s">
        <v>5229</v>
      </c>
    </row>
    <row r="1507" spans="27:27">
      <c r="AA1507" s="158" t="s">
        <v>5230</v>
      </c>
    </row>
    <row r="1508" spans="27:27">
      <c r="AA1508" s="158" t="s">
        <v>5231</v>
      </c>
    </row>
    <row r="1509" spans="27:27">
      <c r="AA1509" s="158" t="s">
        <v>5232</v>
      </c>
    </row>
    <row r="1510" spans="27:27">
      <c r="AA1510" s="158" t="s">
        <v>1398</v>
      </c>
    </row>
    <row r="1511" spans="27:27">
      <c r="AA1511" s="158" t="s">
        <v>5233</v>
      </c>
    </row>
    <row r="1512" spans="27:27">
      <c r="AA1512" s="158" t="s">
        <v>1399</v>
      </c>
    </row>
    <row r="1513" spans="27:27">
      <c r="AA1513" s="158" t="s">
        <v>5234</v>
      </c>
    </row>
    <row r="1514" spans="27:27">
      <c r="AA1514" s="158" t="s">
        <v>5235</v>
      </c>
    </row>
    <row r="1515" spans="27:27">
      <c r="AA1515" s="158" t="s">
        <v>5236</v>
      </c>
    </row>
    <row r="1516" spans="27:27">
      <c r="AA1516" s="158" t="s">
        <v>1400</v>
      </c>
    </row>
    <row r="1517" spans="27:27">
      <c r="AA1517" s="158" t="s">
        <v>3522</v>
      </c>
    </row>
    <row r="1518" spans="27:27">
      <c r="AA1518" s="158" t="s">
        <v>1401</v>
      </c>
    </row>
    <row r="1519" spans="27:27">
      <c r="AA1519" s="158" t="s">
        <v>3523</v>
      </c>
    </row>
    <row r="1520" spans="27:27">
      <c r="AA1520" s="158" t="s">
        <v>5237</v>
      </c>
    </row>
    <row r="1521" spans="27:27">
      <c r="AA1521" s="158" t="s">
        <v>5238</v>
      </c>
    </row>
    <row r="1522" spans="27:27">
      <c r="AA1522" s="158" t="s">
        <v>1402</v>
      </c>
    </row>
    <row r="1523" spans="27:27">
      <c r="AA1523" s="158" t="s">
        <v>5239</v>
      </c>
    </row>
    <row r="1524" spans="27:27">
      <c r="AA1524" s="158" t="s">
        <v>5240</v>
      </c>
    </row>
    <row r="1525" spans="27:27">
      <c r="AA1525" s="158" t="s">
        <v>1403</v>
      </c>
    </row>
    <row r="1526" spans="27:27">
      <c r="AA1526" s="158" t="s">
        <v>5241</v>
      </c>
    </row>
    <row r="1527" spans="27:27">
      <c r="AA1527" s="158" t="s">
        <v>5242</v>
      </c>
    </row>
    <row r="1528" spans="27:27">
      <c r="AA1528" s="158" t="s">
        <v>5243</v>
      </c>
    </row>
    <row r="1529" spans="27:27">
      <c r="AA1529" s="158" t="s">
        <v>5244</v>
      </c>
    </row>
    <row r="1530" spans="27:27">
      <c r="AA1530" s="158" t="s">
        <v>5245</v>
      </c>
    </row>
    <row r="1531" spans="27:27">
      <c r="AA1531" s="158" t="s">
        <v>5246</v>
      </c>
    </row>
    <row r="1532" spans="27:27">
      <c r="AA1532" s="158" t="s">
        <v>1404</v>
      </c>
    </row>
    <row r="1533" spans="27:27">
      <c r="AA1533" s="158" t="s">
        <v>5247</v>
      </c>
    </row>
    <row r="1534" spans="27:27">
      <c r="AA1534" s="158" t="s">
        <v>1405</v>
      </c>
    </row>
    <row r="1535" spans="27:27">
      <c r="AA1535" s="158" t="s">
        <v>5248</v>
      </c>
    </row>
    <row r="1536" spans="27:27">
      <c r="AA1536" s="158" t="s">
        <v>5249</v>
      </c>
    </row>
    <row r="1537" spans="27:27">
      <c r="AA1537" s="158" t="s">
        <v>5250</v>
      </c>
    </row>
    <row r="1538" spans="27:27">
      <c r="AA1538" s="158" t="s">
        <v>5251</v>
      </c>
    </row>
    <row r="1539" spans="27:27">
      <c r="AA1539" s="158" t="s">
        <v>1406</v>
      </c>
    </row>
    <row r="1540" spans="27:27">
      <c r="AA1540" s="158" t="s">
        <v>5252</v>
      </c>
    </row>
    <row r="1541" spans="27:27">
      <c r="AA1541" s="158" t="s">
        <v>1407</v>
      </c>
    </row>
    <row r="1542" spans="27:27">
      <c r="AA1542" s="158" t="s">
        <v>5253</v>
      </c>
    </row>
    <row r="1543" spans="27:27">
      <c r="AA1543" s="158" t="s">
        <v>1408</v>
      </c>
    </row>
    <row r="1544" spans="27:27">
      <c r="AA1544" s="158" t="s">
        <v>5254</v>
      </c>
    </row>
    <row r="1545" spans="27:27">
      <c r="AA1545" s="158" t="s">
        <v>5255</v>
      </c>
    </row>
    <row r="1546" spans="27:27">
      <c r="AA1546" s="158" t="s">
        <v>5256</v>
      </c>
    </row>
    <row r="1547" spans="27:27">
      <c r="AA1547" s="158" t="s">
        <v>5257</v>
      </c>
    </row>
    <row r="1548" spans="27:27">
      <c r="AA1548" s="158" t="s">
        <v>1409</v>
      </c>
    </row>
    <row r="1549" spans="27:27">
      <c r="AA1549" s="158" t="s">
        <v>3524</v>
      </c>
    </row>
    <row r="1550" spans="27:27">
      <c r="AA1550" s="158" t="s">
        <v>1410</v>
      </c>
    </row>
    <row r="1551" spans="27:27">
      <c r="AA1551" s="158" t="s">
        <v>3525</v>
      </c>
    </row>
    <row r="1552" spans="27:27">
      <c r="AA1552" s="158" t="s">
        <v>1411</v>
      </c>
    </row>
    <row r="1553" spans="27:27">
      <c r="AA1553" s="158" t="s">
        <v>5258</v>
      </c>
    </row>
    <row r="1554" spans="27:27">
      <c r="AA1554" s="158" t="s">
        <v>5259</v>
      </c>
    </row>
    <row r="1555" spans="27:27">
      <c r="AA1555" s="158" t="s">
        <v>5260</v>
      </c>
    </row>
    <row r="1556" spans="27:27">
      <c r="AA1556" s="158" t="s">
        <v>5261</v>
      </c>
    </row>
    <row r="1557" spans="27:27">
      <c r="AA1557" s="158" t="s">
        <v>5262</v>
      </c>
    </row>
    <row r="1558" spans="27:27">
      <c r="AA1558" s="158" t="s">
        <v>5263</v>
      </c>
    </row>
    <row r="1559" spans="27:27">
      <c r="AA1559" s="158" t="s">
        <v>5264</v>
      </c>
    </row>
    <row r="1560" spans="27:27">
      <c r="AA1560" s="158" t="s">
        <v>5265</v>
      </c>
    </row>
    <row r="1561" spans="27:27">
      <c r="AA1561" s="158" t="s">
        <v>5266</v>
      </c>
    </row>
    <row r="1562" spans="27:27">
      <c r="AA1562" s="158" t="s">
        <v>5267</v>
      </c>
    </row>
    <row r="1563" spans="27:27">
      <c r="AA1563" s="158" t="s">
        <v>5268</v>
      </c>
    </row>
    <row r="1564" spans="27:27">
      <c r="AA1564" s="158" t="s">
        <v>5269</v>
      </c>
    </row>
    <row r="1565" spans="27:27">
      <c r="AA1565" s="158" t="s">
        <v>5270</v>
      </c>
    </row>
    <row r="1566" spans="27:27">
      <c r="AA1566" s="158" t="s">
        <v>5271</v>
      </c>
    </row>
    <row r="1567" spans="27:27">
      <c r="AA1567" s="158" t="s">
        <v>5272</v>
      </c>
    </row>
    <row r="1568" spans="27:27">
      <c r="AA1568" s="158" t="s">
        <v>5273</v>
      </c>
    </row>
    <row r="1569" spans="27:27">
      <c r="AA1569" s="158" t="s">
        <v>5274</v>
      </c>
    </row>
    <row r="1570" spans="27:27">
      <c r="AA1570" s="158" t="s">
        <v>5275</v>
      </c>
    </row>
    <row r="1571" spans="27:27">
      <c r="AA1571" s="158" t="s">
        <v>5276</v>
      </c>
    </row>
    <row r="1572" spans="27:27">
      <c r="AA1572" s="158" t="s">
        <v>5277</v>
      </c>
    </row>
    <row r="1573" spans="27:27">
      <c r="AA1573" s="158" t="s">
        <v>5278</v>
      </c>
    </row>
    <row r="1574" spans="27:27">
      <c r="AA1574" s="158" t="s">
        <v>1412</v>
      </c>
    </row>
    <row r="1575" spans="27:27">
      <c r="AA1575" s="158" t="s">
        <v>5279</v>
      </c>
    </row>
    <row r="1576" spans="27:27">
      <c r="AA1576" s="158" t="s">
        <v>5280</v>
      </c>
    </row>
    <row r="1577" spans="27:27">
      <c r="AA1577" s="158" t="s">
        <v>5281</v>
      </c>
    </row>
    <row r="1578" spans="27:27">
      <c r="AA1578" s="158" t="s">
        <v>1413</v>
      </c>
    </row>
    <row r="1579" spans="27:27">
      <c r="AA1579" s="158" t="s">
        <v>5282</v>
      </c>
    </row>
    <row r="1580" spans="27:27">
      <c r="AA1580" s="158" t="s">
        <v>1414</v>
      </c>
    </row>
    <row r="1581" spans="27:27">
      <c r="AA1581" s="158" t="s">
        <v>3526</v>
      </c>
    </row>
    <row r="1582" spans="27:27">
      <c r="AA1582" s="158" t="s">
        <v>5283</v>
      </c>
    </row>
    <row r="1583" spans="27:27">
      <c r="AA1583" s="158" t="s">
        <v>5284</v>
      </c>
    </row>
    <row r="1584" spans="27:27">
      <c r="AA1584" s="158" t="s">
        <v>5285</v>
      </c>
    </row>
    <row r="1585" spans="27:27">
      <c r="AA1585" s="158" t="s">
        <v>5286</v>
      </c>
    </row>
    <row r="1586" spans="27:27">
      <c r="AA1586" s="158" t="s">
        <v>5287</v>
      </c>
    </row>
    <row r="1587" spans="27:27">
      <c r="AA1587" s="158" t="s">
        <v>5288</v>
      </c>
    </row>
    <row r="1588" spans="27:27">
      <c r="AA1588" s="158" t="s">
        <v>5289</v>
      </c>
    </row>
    <row r="1589" spans="27:27">
      <c r="AA1589" s="158" t="s">
        <v>5290</v>
      </c>
    </row>
    <row r="1590" spans="27:27">
      <c r="AA1590" s="158" t="s">
        <v>5291</v>
      </c>
    </row>
    <row r="1591" spans="27:27">
      <c r="AA1591" s="158" t="s">
        <v>5292</v>
      </c>
    </row>
    <row r="1592" spans="27:27">
      <c r="AA1592" s="158" t="s">
        <v>5293</v>
      </c>
    </row>
    <row r="1593" spans="27:27">
      <c r="AA1593" s="158" t="s">
        <v>5294</v>
      </c>
    </row>
    <row r="1594" spans="27:27">
      <c r="AA1594" s="158" t="s">
        <v>5295</v>
      </c>
    </row>
    <row r="1595" spans="27:27">
      <c r="AA1595" s="158" t="s">
        <v>5296</v>
      </c>
    </row>
    <row r="1596" spans="27:27">
      <c r="AA1596" s="158" t="s">
        <v>5297</v>
      </c>
    </row>
    <row r="1597" spans="27:27">
      <c r="AA1597" s="158" t="s">
        <v>5298</v>
      </c>
    </row>
    <row r="1598" spans="27:27">
      <c r="AA1598" s="158" t="s">
        <v>1415</v>
      </c>
    </row>
    <row r="1599" spans="27:27">
      <c r="AA1599" s="158" t="s">
        <v>5299</v>
      </c>
    </row>
    <row r="1600" spans="27:27">
      <c r="AA1600" s="158" t="s">
        <v>5300</v>
      </c>
    </row>
    <row r="1601" spans="27:27">
      <c r="AA1601" s="158" t="s">
        <v>5301</v>
      </c>
    </row>
    <row r="1602" spans="27:27">
      <c r="AA1602" s="158" t="s">
        <v>1416</v>
      </c>
    </row>
    <row r="1603" spans="27:27">
      <c r="AA1603" s="158" t="s">
        <v>5302</v>
      </c>
    </row>
    <row r="1604" spans="27:27">
      <c r="AA1604" s="158" t="s">
        <v>1417</v>
      </c>
    </row>
    <row r="1605" spans="27:27">
      <c r="AA1605" s="158" t="s">
        <v>3527</v>
      </c>
    </row>
    <row r="1606" spans="27:27">
      <c r="AA1606" s="158" t="s">
        <v>5303</v>
      </c>
    </row>
    <row r="1607" spans="27:27">
      <c r="AA1607" s="158" t="s">
        <v>5304</v>
      </c>
    </row>
    <row r="1608" spans="27:27">
      <c r="AA1608" s="158" t="s">
        <v>5305</v>
      </c>
    </row>
    <row r="1609" spans="27:27">
      <c r="AA1609" s="158" t="s">
        <v>5306</v>
      </c>
    </row>
    <row r="1610" spans="27:27">
      <c r="AA1610" s="158" t="s">
        <v>5307</v>
      </c>
    </row>
    <row r="1611" spans="27:27">
      <c r="AA1611" s="158" t="s">
        <v>5308</v>
      </c>
    </row>
    <row r="1612" spans="27:27">
      <c r="AA1612" s="158" t="s">
        <v>5309</v>
      </c>
    </row>
    <row r="1613" spans="27:27">
      <c r="AA1613" s="158" t="s">
        <v>5310</v>
      </c>
    </row>
    <row r="1614" spans="27:27">
      <c r="AA1614" s="158" t="s">
        <v>5311</v>
      </c>
    </row>
    <row r="1615" spans="27:27">
      <c r="AA1615" s="158" t="s">
        <v>5312</v>
      </c>
    </row>
    <row r="1616" spans="27:27">
      <c r="AA1616" s="158" t="s">
        <v>5313</v>
      </c>
    </row>
    <row r="1617" spans="27:27">
      <c r="AA1617" s="158" t="s">
        <v>5314</v>
      </c>
    </row>
    <row r="1618" spans="27:27">
      <c r="AA1618" s="158" t="s">
        <v>5315</v>
      </c>
    </row>
    <row r="1619" spans="27:27">
      <c r="AA1619" s="158" t="s">
        <v>5316</v>
      </c>
    </row>
    <row r="1620" spans="27:27">
      <c r="AA1620" s="158" t="s">
        <v>5317</v>
      </c>
    </row>
    <row r="1621" spans="27:27">
      <c r="AA1621" s="158" t="s">
        <v>5318</v>
      </c>
    </row>
    <row r="1622" spans="27:27">
      <c r="AA1622" s="158" t="s">
        <v>5319</v>
      </c>
    </row>
    <row r="1623" spans="27:27">
      <c r="AA1623" s="158" t="s">
        <v>5320</v>
      </c>
    </row>
    <row r="1624" spans="27:27">
      <c r="AA1624" s="158" t="s">
        <v>5321</v>
      </c>
    </row>
    <row r="1625" spans="27:27">
      <c r="AA1625" s="158" t="s">
        <v>5322</v>
      </c>
    </row>
    <row r="1626" spans="27:27">
      <c r="AA1626" s="158" t="s">
        <v>5323</v>
      </c>
    </row>
    <row r="1627" spans="27:27">
      <c r="AA1627" s="158" t="s">
        <v>5324</v>
      </c>
    </row>
    <row r="1628" spans="27:27">
      <c r="AA1628" s="158" t="s">
        <v>5325</v>
      </c>
    </row>
    <row r="1629" spans="27:27">
      <c r="AA1629" s="158" t="s">
        <v>5326</v>
      </c>
    </row>
    <row r="1630" spans="27:27">
      <c r="AA1630" s="158" t="s">
        <v>5327</v>
      </c>
    </row>
    <row r="1631" spans="27:27">
      <c r="AA1631" s="158" t="s">
        <v>5328</v>
      </c>
    </row>
    <row r="1632" spans="27:27">
      <c r="AA1632" s="158" t="s">
        <v>5329</v>
      </c>
    </row>
    <row r="1633" spans="27:27">
      <c r="AA1633" s="158" t="s">
        <v>5330</v>
      </c>
    </row>
    <row r="1634" spans="27:27">
      <c r="AA1634" s="158" t="s">
        <v>5331</v>
      </c>
    </row>
    <row r="1635" spans="27:27">
      <c r="AA1635" s="158" t="s">
        <v>5332</v>
      </c>
    </row>
    <row r="1636" spans="27:27">
      <c r="AA1636" s="158" t="s">
        <v>5333</v>
      </c>
    </row>
    <row r="1637" spans="27:27">
      <c r="AA1637" s="158" t="s">
        <v>5334</v>
      </c>
    </row>
    <row r="1638" spans="27:27">
      <c r="AA1638" s="158" t="s">
        <v>5335</v>
      </c>
    </row>
    <row r="1639" spans="27:27">
      <c r="AA1639" s="158" t="s">
        <v>5336</v>
      </c>
    </row>
    <row r="1640" spans="27:27">
      <c r="AA1640" s="158" t="s">
        <v>5337</v>
      </c>
    </row>
    <row r="1641" spans="27:27">
      <c r="AA1641" s="158" t="s">
        <v>5338</v>
      </c>
    </row>
    <row r="1642" spans="27:27">
      <c r="AA1642" s="158" t="s">
        <v>1418</v>
      </c>
    </row>
    <row r="1643" spans="27:27">
      <c r="AA1643" s="158" t="s">
        <v>3528</v>
      </c>
    </row>
    <row r="1644" spans="27:27">
      <c r="AA1644" s="158" t="s">
        <v>5339</v>
      </c>
    </row>
    <row r="1645" spans="27:27">
      <c r="AA1645" s="158" t="s">
        <v>5340</v>
      </c>
    </row>
    <row r="1646" spans="27:27">
      <c r="AA1646" s="158" t="s">
        <v>5341</v>
      </c>
    </row>
    <row r="1647" spans="27:27">
      <c r="AA1647" s="158" t="s">
        <v>1419</v>
      </c>
    </row>
    <row r="1648" spans="27:27">
      <c r="AA1648" s="158" t="s">
        <v>5342</v>
      </c>
    </row>
    <row r="1649" spans="27:27">
      <c r="AA1649" s="158" t="s">
        <v>1420</v>
      </c>
    </row>
    <row r="1650" spans="27:27">
      <c r="AA1650" s="158" t="s">
        <v>3529</v>
      </c>
    </row>
    <row r="1651" spans="27:27">
      <c r="AA1651" s="158" t="s">
        <v>5343</v>
      </c>
    </row>
    <row r="1652" spans="27:27">
      <c r="AA1652" s="158" t="s">
        <v>1421</v>
      </c>
    </row>
    <row r="1653" spans="27:27">
      <c r="AA1653" s="158" t="s">
        <v>3530</v>
      </c>
    </row>
    <row r="1654" spans="27:27">
      <c r="AA1654" s="158" t="s">
        <v>1422</v>
      </c>
    </row>
    <row r="1655" spans="27:27">
      <c r="AA1655" s="158" t="s">
        <v>5344</v>
      </c>
    </row>
    <row r="1656" spans="27:27">
      <c r="AA1656" s="158" t="s">
        <v>1423</v>
      </c>
    </row>
    <row r="1657" spans="27:27">
      <c r="AA1657" s="158" t="s">
        <v>5345</v>
      </c>
    </row>
    <row r="1658" spans="27:27">
      <c r="AA1658" s="158" t="s">
        <v>1424</v>
      </c>
    </row>
    <row r="1659" spans="27:27">
      <c r="AA1659" s="158" t="s">
        <v>5346</v>
      </c>
    </row>
    <row r="1660" spans="27:27">
      <c r="AA1660" s="158" t="s">
        <v>5347</v>
      </c>
    </row>
    <row r="1661" spans="27:27">
      <c r="AA1661" s="158" t="s">
        <v>5348</v>
      </c>
    </row>
    <row r="1662" spans="27:27">
      <c r="AA1662" s="158" t="s">
        <v>5349</v>
      </c>
    </row>
    <row r="1663" spans="27:27">
      <c r="AA1663" s="158" t="s">
        <v>5350</v>
      </c>
    </row>
    <row r="1664" spans="27:27">
      <c r="AA1664" s="158" t="s">
        <v>1425</v>
      </c>
    </row>
    <row r="1665" spans="27:27">
      <c r="AA1665" s="158" t="s">
        <v>5351</v>
      </c>
    </row>
    <row r="1666" spans="27:27">
      <c r="AA1666" s="158" t="s">
        <v>1426</v>
      </c>
    </row>
    <row r="1667" spans="27:27">
      <c r="AA1667" s="158" t="s">
        <v>5352</v>
      </c>
    </row>
    <row r="1668" spans="27:27">
      <c r="AA1668" s="158" t="s">
        <v>5353</v>
      </c>
    </row>
    <row r="1669" spans="27:27">
      <c r="AA1669" s="158" t="s">
        <v>1427</v>
      </c>
    </row>
    <row r="1670" spans="27:27">
      <c r="AA1670" s="158" t="s">
        <v>5354</v>
      </c>
    </row>
    <row r="1671" spans="27:27">
      <c r="AA1671" s="158" t="s">
        <v>1428</v>
      </c>
    </row>
    <row r="1672" spans="27:27">
      <c r="AA1672" s="158" t="s">
        <v>5355</v>
      </c>
    </row>
    <row r="1673" spans="27:27">
      <c r="AA1673" s="158" t="s">
        <v>5356</v>
      </c>
    </row>
    <row r="1674" spans="27:27">
      <c r="AA1674" s="158" t="s">
        <v>5357</v>
      </c>
    </row>
    <row r="1675" spans="27:27">
      <c r="AA1675" s="158" t="s">
        <v>1429</v>
      </c>
    </row>
    <row r="1676" spans="27:27">
      <c r="AA1676" s="158" t="s">
        <v>5358</v>
      </c>
    </row>
    <row r="1677" spans="27:27">
      <c r="AA1677" s="158" t="s">
        <v>5359</v>
      </c>
    </row>
    <row r="1678" spans="27:27">
      <c r="AA1678" s="158" t="s">
        <v>141</v>
      </c>
    </row>
    <row r="1679" spans="27:27">
      <c r="AA1679" s="158" t="s">
        <v>5360</v>
      </c>
    </row>
    <row r="1680" spans="27:27">
      <c r="AA1680" s="158" t="s">
        <v>142</v>
      </c>
    </row>
    <row r="1681" spans="27:27">
      <c r="AA1681" s="158" t="s">
        <v>5361</v>
      </c>
    </row>
    <row r="1682" spans="27:27">
      <c r="AA1682" s="158" t="s">
        <v>1430</v>
      </c>
    </row>
    <row r="1683" spans="27:27">
      <c r="AA1683" s="158" t="s">
        <v>5362</v>
      </c>
    </row>
    <row r="1684" spans="27:27">
      <c r="AA1684" s="158" t="s">
        <v>5363</v>
      </c>
    </row>
    <row r="1685" spans="27:27">
      <c r="AA1685" s="158" t="s">
        <v>1431</v>
      </c>
    </row>
    <row r="1686" spans="27:27">
      <c r="AA1686" s="158" t="s">
        <v>3531</v>
      </c>
    </row>
    <row r="1687" spans="27:27">
      <c r="AA1687" s="158" t="s">
        <v>1432</v>
      </c>
    </row>
    <row r="1688" spans="27:27">
      <c r="AA1688" s="158" t="s">
        <v>3532</v>
      </c>
    </row>
    <row r="1689" spans="27:27">
      <c r="AA1689" s="158" t="s">
        <v>5364</v>
      </c>
    </row>
    <row r="1690" spans="27:27">
      <c r="AA1690" s="158" t="s">
        <v>5365</v>
      </c>
    </row>
    <row r="1691" spans="27:27">
      <c r="AA1691" s="158" t="s">
        <v>5366</v>
      </c>
    </row>
    <row r="1692" spans="27:27">
      <c r="AA1692" s="158" t="s">
        <v>5367</v>
      </c>
    </row>
    <row r="1693" spans="27:27">
      <c r="AA1693" s="158" t="s">
        <v>5368</v>
      </c>
    </row>
    <row r="1694" spans="27:27">
      <c r="AA1694" s="158" t="s">
        <v>5369</v>
      </c>
    </row>
    <row r="1695" spans="27:27">
      <c r="AA1695" s="158" t="s">
        <v>1433</v>
      </c>
    </row>
    <row r="1696" spans="27:27">
      <c r="AA1696" s="158" t="s">
        <v>5370</v>
      </c>
    </row>
    <row r="1697" spans="27:27">
      <c r="AA1697" s="158" t="s">
        <v>1434</v>
      </c>
    </row>
    <row r="1698" spans="27:27">
      <c r="AA1698" s="158" t="s">
        <v>3533</v>
      </c>
    </row>
    <row r="1699" spans="27:27">
      <c r="AA1699" s="158" t="s">
        <v>143</v>
      </c>
    </row>
    <row r="1700" spans="27:27">
      <c r="AA1700" s="158" t="s">
        <v>144</v>
      </c>
    </row>
    <row r="1701" spans="27:27">
      <c r="AA1701" s="158" t="s">
        <v>5371</v>
      </c>
    </row>
    <row r="1702" spans="27:27">
      <c r="AA1702" s="158" t="s">
        <v>1435</v>
      </c>
    </row>
    <row r="1703" spans="27:27">
      <c r="AA1703" s="158" t="s">
        <v>5372</v>
      </c>
    </row>
    <row r="1704" spans="27:27">
      <c r="AA1704" s="158" t="s">
        <v>5373</v>
      </c>
    </row>
    <row r="1705" spans="27:27">
      <c r="AA1705" s="158" t="s">
        <v>5374</v>
      </c>
    </row>
    <row r="1706" spans="27:27">
      <c r="AA1706" s="158" t="s">
        <v>1436</v>
      </c>
    </row>
    <row r="1707" spans="27:27">
      <c r="AA1707" s="158" t="s">
        <v>5375</v>
      </c>
    </row>
    <row r="1708" spans="27:27">
      <c r="AA1708" s="158" t="s">
        <v>5376</v>
      </c>
    </row>
    <row r="1709" spans="27:27">
      <c r="AA1709" s="158" t="s">
        <v>1437</v>
      </c>
    </row>
    <row r="1710" spans="27:27">
      <c r="AA1710" s="158" t="s">
        <v>5377</v>
      </c>
    </row>
    <row r="1711" spans="27:27">
      <c r="AA1711" s="158" t="s">
        <v>5378</v>
      </c>
    </row>
    <row r="1712" spans="27:27">
      <c r="AA1712" s="158" t="s">
        <v>5379</v>
      </c>
    </row>
    <row r="1713" spans="27:27">
      <c r="AA1713" s="158" t="s">
        <v>5380</v>
      </c>
    </row>
    <row r="1714" spans="27:27">
      <c r="AA1714" s="158" t="s">
        <v>5381</v>
      </c>
    </row>
    <row r="1715" spans="27:27">
      <c r="AA1715" s="158" t="s">
        <v>1438</v>
      </c>
    </row>
    <row r="1716" spans="27:27">
      <c r="AA1716" s="158" t="s">
        <v>3534</v>
      </c>
    </row>
    <row r="1717" spans="27:27">
      <c r="AA1717" s="158" t="s">
        <v>1439</v>
      </c>
    </row>
    <row r="1718" spans="27:27">
      <c r="AA1718" s="158" t="s">
        <v>3535</v>
      </c>
    </row>
    <row r="1719" spans="27:27">
      <c r="AA1719" s="158" t="s">
        <v>1440</v>
      </c>
    </row>
    <row r="1720" spans="27:27">
      <c r="AA1720" s="158" t="s">
        <v>5382</v>
      </c>
    </row>
    <row r="1721" spans="27:27">
      <c r="AA1721" s="158" t="s">
        <v>5383</v>
      </c>
    </row>
    <row r="1722" spans="27:27">
      <c r="AA1722" s="158" t="s">
        <v>5384</v>
      </c>
    </row>
    <row r="1723" spans="27:27">
      <c r="AA1723" s="158" t="s">
        <v>5385</v>
      </c>
    </row>
    <row r="1724" spans="27:27">
      <c r="AA1724" s="158" t="s">
        <v>1441</v>
      </c>
    </row>
    <row r="1725" spans="27:27">
      <c r="AA1725" s="158" t="s">
        <v>3536</v>
      </c>
    </row>
    <row r="1726" spans="27:27">
      <c r="AA1726" s="158" t="s">
        <v>1442</v>
      </c>
    </row>
    <row r="1727" spans="27:27">
      <c r="AA1727" s="158" t="s">
        <v>5386</v>
      </c>
    </row>
    <row r="1728" spans="27:27">
      <c r="AA1728" s="158" t="s">
        <v>5387</v>
      </c>
    </row>
    <row r="1729" spans="27:27">
      <c r="AA1729" s="158" t="s">
        <v>5388</v>
      </c>
    </row>
    <row r="1730" spans="27:27">
      <c r="AA1730" s="158" t="s">
        <v>5389</v>
      </c>
    </row>
    <row r="1731" spans="27:27">
      <c r="AA1731" s="158" t="s">
        <v>5390</v>
      </c>
    </row>
    <row r="1732" spans="27:27">
      <c r="AA1732" s="158" t="s">
        <v>1443</v>
      </c>
    </row>
    <row r="1733" spans="27:27">
      <c r="AA1733" s="158" t="s">
        <v>3537</v>
      </c>
    </row>
    <row r="1734" spans="27:27">
      <c r="AA1734" s="158" t="s">
        <v>1444</v>
      </c>
    </row>
    <row r="1735" spans="27:27">
      <c r="AA1735" s="158" t="s">
        <v>5391</v>
      </c>
    </row>
    <row r="1736" spans="27:27">
      <c r="AA1736" s="158" t="s">
        <v>5392</v>
      </c>
    </row>
    <row r="1737" spans="27:27">
      <c r="AA1737" s="158" t="s">
        <v>5393</v>
      </c>
    </row>
    <row r="1738" spans="27:27">
      <c r="AA1738" s="158" t="s">
        <v>5394</v>
      </c>
    </row>
    <row r="1739" spans="27:27">
      <c r="AA1739" s="158" t="s">
        <v>5395</v>
      </c>
    </row>
    <row r="1740" spans="27:27">
      <c r="AA1740" s="158" t="s">
        <v>5396</v>
      </c>
    </row>
    <row r="1741" spans="27:27">
      <c r="AA1741" s="158" t="s">
        <v>5397</v>
      </c>
    </row>
    <row r="1742" spans="27:27">
      <c r="AA1742" s="158" t="s">
        <v>5398</v>
      </c>
    </row>
    <row r="1743" spans="27:27">
      <c r="AA1743" s="158" t="s">
        <v>5399</v>
      </c>
    </row>
    <row r="1744" spans="27:27">
      <c r="AA1744" s="158" t="s">
        <v>5400</v>
      </c>
    </row>
    <row r="1745" spans="27:27">
      <c r="AA1745" s="158" t="s">
        <v>5401</v>
      </c>
    </row>
    <row r="1746" spans="27:27">
      <c r="AA1746" s="158" t="s">
        <v>5402</v>
      </c>
    </row>
    <row r="1747" spans="27:27">
      <c r="AA1747" s="158" t="s">
        <v>5403</v>
      </c>
    </row>
    <row r="1748" spans="27:27">
      <c r="AA1748" s="158" t="s">
        <v>5404</v>
      </c>
    </row>
    <row r="1749" spans="27:27">
      <c r="AA1749" s="158" t="s">
        <v>5405</v>
      </c>
    </row>
    <row r="1750" spans="27:27">
      <c r="AA1750" s="158" t="s">
        <v>5406</v>
      </c>
    </row>
    <row r="1751" spans="27:27">
      <c r="AA1751" s="158" t="s">
        <v>5407</v>
      </c>
    </row>
    <row r="1752" spans="27:27">
      <c r="AA1752" s="158" t="s">
        <v>5408</v>
      </c>
    </row>
    <row r="1753" spans="27:27">
      <c r="AA1753" s="158" t="s">
        <v>5409</v>
      </c>
    </row>
    <row r="1754" spans="27:27">
      <c r="AA1754" s="158" t="s">
        <v>1445</v>
      </c>
    </row>
    <row r="1755" spans="27:27">
      <c r="AA1755" s="158" t="s">
        <v>3538</v>
      </c>
    </row>
    <row r="1756" spans="27:27">
      <c r="AA1756" s="158" t="s">
        <v>1446</v>
      </c>
    </row>
    <row r="1757" spans="27:27">
      <c r="AA1757" s="158" t="s">
        <v>5410</v>
      </c>
    </row>
    <row r="1758" spans="27:27">
      <c r="AA1758" s="158" t="s">
        <v>5411</v>
      </c>
    </row>
    <row r="1759" spans="27:27">
      <c r="AA1759" s="158" t="s">
        <v>5412</v>
      </c>
    </row>
    <row r="1760" spans="27:27">
      <c r="AA1760" s="158" t="s">
        <v>5413</v>
      </c>
    </row>
    <row r="1761" spans="27:27">
      <c r="AA1761" s="158" t="s">
        <v>5414</v>
      </c>
    </row>
    <row r="1762" spans="27:27">
      <c r="AA1762" s="158" t="s">
        <v>5415</v>
      </c>
    </row>
    <row r="1763" spans="27:27">
      <c r="AA1763" s="158" t="s">
        <v>5416</v>
      </c>
    </row>
    <row r="1764" spans="27:27">
      <c r="AA1764" s="158" t="s">
        <v>5417</v>
      </c>
    </row>
    <row r="1765" spans="27:27">
      <c r="AA1765" s="158" t="s">
        <v>5418</v>
      </c>
    </row>
    <row r="1766" spans="27:27">
      <c r="AA1766" s="158" t="s">
        <v>1447</v>
      </c>
    </row>
    <row r="1767" spans="27:27">
      <c r="AA1767" s="158" t="s">
        <v>3539</v>
      </c>
    </row>
    <row r="1768" spans="27:27">
      <c r="AA1768" s="158" t="s">
        <v>1448</v>
      </c>
    </row>
    <row r="1769" spans="27:27">
      <c r="AA1769" s="158" t="s">
        <v>5419</v>
      </c>
    </row>
    <row r="1770" spans="27:27">
      <c r="AA1770" s="158" t="s">
        <v>5420</v>
      </c>
    </row>
    <row r="1771" spans="27:27">
      <c r="AA1771" s="158" t="s">
        <v>5421</v>
      </c>
    </row>
    <row r="1772" spans="27:27">
      <c r="AA1772" s="158" t="s">
        <v>5422</v>
      </c>
    </row>
    <row r="1773" spans="27:27">
      <c r="AA1773" s="158" t="s">
        <v>5423</v>
      </c>
    </row>
    <row r="1774" spans="27:27">
      <c r="AA1774" s="158" t="s">
        <v>5424</v>
      </c>
    </row>
    <row r="1775" spans="27:27">
      <c r="AA1775" s="158" t="s">
        <v>5425</v>
      </c>
    </row>
    <row r="1776" spans="27:27">
      <c r="AA1776" s="158" t="s">
        <v>5426</v>
      </c>
    </row>
    <row r="1777" spans="27:27">
      <c r="AA1777" s="158" t="s">
        <v>5427</v>
      </c>
    </row>
    <row r="1778" spans="27:27">
      <c r="AA1778" s="158" t="s">
        <v>5428</v>
      </c>
    </row>
    <row r="1779" spans="27:27">
      <c r="AA1779" s="158" t="s">
        <v>5429</v>
      </c>
    </row>
    <row r="1780" spans="27:27">
      <c r="AA1780" s="158" t="s">
        <v>5430</v>
      </c>
    </row>
    <row r="1781" spans="27:27">
      <c r="AA1781" s="158" t="s">
        <v>5431</v>
      </c>
    </row>
    <row r="1782" spans="27:27">
      <c r="AA1782" s="158" t="s">
        <v>5432</v>
      </c>
    </row>
    <row r="1783" spans="27:27">
      <c r="AA1783" s="158" t="s">
        <v>5433</v>
      </c>
    </row>
    <row r="1784" spans="27:27">
      <c r="AA1784" s="158" t="s">
        <v>5434</v>
      </c>
    </row>
    <row r="1785" spans="27:27">
      <c r="AA1785" s="158" t="s">
        <v>3354</v>
      </c>
    </row>
    <row r="1786" spans="27:27">
      <c r="AA1786" s="158" t="s">
        <v>3540</v>
      </c>
    </row>
    <row r="1787" spans="27:27">
      <c r="AA1787" s="158" t="s">
        <v>1449</v>
      </c>
    </row>
    <row r="1788" spans="27:27">
      <c r="AA1788" s="158" t="s">
        <v>5435</v>
      </c>
    </row>
    <row r="1789" spans="27:27">
      <c r="AA1789" s="158" t="s">
        <v>5436</v>
      </c>
    </row>
    <row r="1790" spans="27:27">
      <c r="AA1790" s="158" t="s">
        <v>5437</v>
      </c>
    </row>
    <row r="1791" spans="27:27">
      <c r="AA1791" s="158" t="s">
        <v>3541</v>
      </c>
    </row>
    <row r="1792" spans="27:27">
      <c r="AA1792" s="158" t="s">
        <v>5438</v>
      </c>
    </row>
    <row r="1793" spans="27:27">
      <c r="AA1793" s="158" t="s">
        <v>5439</v>
      </c>
    </row>
    <row r="1794" spans="27:27">
      <c r="AA1794" s="158" t="s">
        <v>5440</v>
      </c>
    </row>
    <row r="1795" spans="27:27">
      <c r="AA1795" s="158" t="s">
        <v>3542</v>
      </c>
    </row>
    <row r="1796" spans="27:27">
      <c r="AA1796" s="158" t="s">
        <v>5441</v>
      </c>
    </row>
    <row r="1797" spans="27:27">
      <c r="AA1797" s="158" t="s">
        <v>5442</v>
      </c>
    </row>
    <row r="1798" spans="27:27">
      <c r="AA1798" s="158" t="s">
        <v>5443</v>
      </c>
    </row>
    <row r="1799" spans="27:27">
      <c r="AA1799" s="158" t="s">
        <v>1450</v>
      </c>
    </row>
    <row r="1800" spans="27:27">
      <c r="AA1800" s="158" t="s">
        <v>5444</v>
      </c>
    </row>
    <row r="1801" spans="27:27">
      <c r="AA1801" s="158" t="s">
        <v>5445</v>
      </c>
    </row>
    <row r="1802" spans="27:27">
      <c r="AA1802" s="158" t="s">
        <v>3543</v>
      </c>
    </row>
    <row r="1803" spans="27:27">
      <c r="AA1803" s="158" t="s">
        <v>1451</v>
      </c>
    </row>
    <row r="1804" spans="27:27">
      <c r="AA1804" s="158" t="s">
        <v>3544</v>
      </c>
    </row>
    <row r="1805" spans="27:27">
      <c r="AA1805" s="158" t="s">
        <v>1452</v>
      </c>
    </row>
    <row r="1806" spans="27:27">
      <c r="AA1806" s="158" t="s">
        <v>5446</v>
      </c>
    </row>
    <row r="1807" spans="27:27">
      <c r="AA1807" s="158" t="s">
        <v>1453</v>
      </c>
    </row>
    <row r="1808" spans="27:27">
      <c r="AA1808" s="158" t="s">
        <v>1454</v>
      </c>
    </row>
    <row r="1809" spans="27:27">
      <c r="AA1809" s="158" t="s">
        <v>1455</v>
      </c>
    </row>
    <row r="1810" spans="27:27">
      <c r="AA1810" s="158" t="s">
        <v>3545</v>
      </c>
    </row>
    <row r="1811" spans="27:27">
      <c r="AA1811" s="158" t="s">
        <v>5447</v>
      </c>
    </row>
    <row r="1812" spans="27:27">
      <c r="AA1812" s="158" t="s">
        <v>5448</v>
      </c>
    </row>
    <row r="1813" spans="27:27">
      <c r="AA1813" s="158" t="s">
        <v>145</v>
      </c>
    </row>
    <row r="1814" spans="27:27">
      <c r="AA1814" s="158" t="s">
        <v>146</v>
      </c>
    </row>
    <row r="1815" spans="27:27">
      <c r="AA1815" s="158" t="s">
        <v>147</v>
      </c>
    </row>
    <row r="1816" spans="27:27">
      <c r="AA1816" s="158" t="s">
        <v>148</v>
      </c>
    </row>
    <row r="1817" spans="27:27">
      <c r="AA1817" s="158" t="s">
        <v>1456</v>
      </c>
    </row>
    <row r="1818" spans="27:27">
      <c r="AA1818" s="158" t="s">
        <v>1457</v>
      </c>
    </row>
    <row r="1819" spans="27:27">
      <c r="AA1819" s="158" t="s">
        <v>5449</v>
      </c>
    </row>
    <row r="1820" spans="27:27">
      <c r="AA1820" s="158" t="s">
        <v>1458</v>
      </c>
    </row>
    <row r="1821" spans="27:27">
      <c r="AA1821" s="158" t="s">
        <v>1459</v>
      </c>
    </row>
    <row r="1822" spans="27:27">
      <c r="AA1822" s="158" t="s">
        <v>1460</v>
      </c>
    </row>
    <row r="1823" spans="27:27">
      <c r="AA1823" s="158" t="s">
        <v>1461</v>
      </c>
    </row>
    <row r="1824" spans="27:27">
      <c r="AA1824" s="158" t="s">
        <v>5450</v>
      </c>
    </row>
    <row r="1825" spans="27:27">
      <c r="AA1825" s="158" t="s">
        <v>1462</v>
      </c>
    </row>
    <row r="1826" spans="27:27">
      <c r="AA1826" s="158" t="s">
        <v>1463</v>
      </c>
    </row>
    <row r="1827" spans="27:27">
      <c r="AA1827" s="158" t="s">
        <v>1464</v>
      </c>
    </row>
    <row r="1828" spans="27:27">
      <c r="AA1828" s="158" t="s">
        <v>5451</v>
      </c>
    </row>
    <row r="1829" spans="27:27">
      <c r="AA1829" s="158" t="s">
        <v>5452</v>
      </c>
    </row>
    <row r="1830" spans="27:27">
      <c r="AA1830" s="158" t="s">
        <v>5453</v>
      </c>
    </row>
    <row r="1831" spans="27:27">
      <c r="AA1831" s="158" t="s">
        <v>5454</v>
      </c>
    </row>
    <row r="1832" spans="27:27">
      <c r="AA1832" s="158" t="s">
        <v>5455</v>
      </c>
    </row>
    <row r="1833" spans="27:27">
      <c r="AA1833" s="158" t="s">
        <v>5456</v>
      </c>
    </row>
    <row r="1834" spans="27:27">
      <c r="AA1834" s="158" t="s">
        <v>5457</v>
      </c>
    </row>
    <row r="1835" spans="27:27">
      <c r="AA1835" s="158" t="s">
        <v>3546</v>
      </c>
    </row>
    <row r="1836" spans="27:27">
      <c r="AA1836" s="158" t="s">
        <v>5458</v>
      </c>
    </row>
    <row r="1837" spans="27:27">
      <c r="AA1837" s="158" t="s">
        <v>5459</v>
      </c>
    </row>
    <row r="1838" spans="27:27">
      <c r="AA1838" s="158" t="s">
        <v>149</v>
      </c>
    </row>
    <row r="1839" spans="27:27">
      <c r="AA1839" s="158" t="s">
        <v>5460</v>
      </c>
    </row>
    <row r="1840" spans="27:27">
      <c r="AA1840" s="158" t="s">
        <v>5461</v>
      </c>
    </row>
    <row r="1841" spans="27:27">
      <c r="AA1841" s="158" t="s">
        <v>5462</v>
      </c>
    </row>
    <row r="1842" spans="27:27">
      <c r="AA1842" s="158" t="s">
        <v>5463</v>
      </c>
    </row>
    <row r="1843" spans="27:27">
      <c r="AA1843" s="158" t="s">
        <v>5464</v>
      </c>
    </row>
    <row r="1844" spans="27:27">
      <c r="AA1844" s="158" t="s">
        <v>5465</v>
      </c>
    </row>
    <row r="1845" spans="27:27">
      <c r="AA1845" s="158" t="s">
        <v>1465</v>
      </c>
    </row>
    <row r="1846" spans="27:27">
      <c r="AA1846" s="158" t="s">
        <v>5466</v>
      </c>
    </row>
    <row r="1847" spans="27:27">
      <c r="AA1847" s="158" t="s">
        <v>1466</v>
      </c>
    </row>
    <row r="1848" spans="27:27">
      <c r="AA1848" s="158" t="s">
        <v>5467</v>
      </c>
    </row>
    <row r="1849" spans="27:27">
      <c r="AA1849" s="158" t="s">
        <v>5468</v>
      </c>
    </row>
    <row r="1850" spans="27:27">
      <c r="AA1850" s="158" t="s">
        <v>5469</v>
      </c>
    </row>
    <row r="1851" spans="27:27">
      <c r="AA1851" s="158" t="s">
        <v>1467</v>
      </c>
    </row>
    <row r="1852" spans="27:27">
      <c r="AA1852" s="158" t="s">
        <v>3547</v>
      </c>
    </row>
    <row r="1853" spans="27:27">
      <c r="AA1853" s="158" t="s">
        <v>1468</v>
      </c>
    </row>
    <row r="1854" spans="27:27">
      <c r="AA1854" s="158" t="s">
        <v>3548</v>
      </c>
    </row>
    <row r="1855" spans="27:27">
      <c r="AA1855" s="158" t="s">
        <v>5470</v>
      </c>
    </row>
    <row r="1856" spans="27:27">
      <c r="AA1856" s="158" t="s">
        <v>5471</v>
      </c>
    </row>
    <row r="1857" spans="27:27">
      <c r="AA1857" s="158" t="s">
        <v>5472</v>
      </c>
    </row>
    <row r="1858" spans="27:27">
      <c r="AA1858" s="158" t="s">
        <v>5473</v>
      </c>
    </row>
    <row r="1859" spans="27:27">
      <c r="AA1859" s="158" t="s">
        <v>5474</v>
      </c>
    </row>
    <row r="1860" spans="27:27">
      <c r="AA1860" s="158" t="s">
        <v>150</v>
      </c>
    </row>
    <row r="1861" spans="27:27">
      <c r="AA1861" s="158" t="s">
        <v>5475</v>
      </c>
    </row>
    <row r="1862" spans="27:27">
      <c r="AA1862" s="158" t="s">
        <v>5476</v>
      </c>
    </row>
    <row r="1863" spans="27:27">
      <c r="AA1863" s="158" t="s">
        <v>3549</v>
      </c>
    </row>
    <row r="1864" spans="27:27">
      <c r="AA1864" s="158" t="s">
        <v>5477</v>
      </c>
    </row>
    <row r="1865" spans="27:27">
      <c r="AA1865" s="158" t="s">
        <v>5478</v>
      </c>
    </row>
    <row r="1866" spans="27:27">
      <c r="AA1866" s="158" t="s">
        <v>5479</v>
      </c>
    </row>
    <row r="1867" spans="27:27">
      <c r="AA1867" s="158" t="s">
        <v>151</v>
      </c>
    </row>
    <row r="1868" spans="27:27">
      <c r="AA1868" s="158" t="s">
        <v>5480</v>
      </c>
    </row>
    <row r="1869" spans="27:27">
      <c r="AA1869" s="158" t="s">
        <v>3550</v>
      </c>
    </row>
    <row r="1870" spans="27:27">
      <c r="AA1870" s="158" t="s">
        <v>5481</v>
      </c>
    </row>
    <row r="1871" spans="27:27">
      <c r="AA1871" s="158" t="s">
        <v>5482</v>
      </c>
    </row>
    <row r="1872" spans="27:27">
      <c r="AA1872" s="158" t="s">
        <v>5483</v>
      </c>
    </row>
    <row r="1873" spans="27:27">
      <c r="AA1873" s="158" t="s">
        <v>5484</v>
      </c>
    </row>
    <row r="1874" spans="27:27">
      <c r="AA1874" s="158" t="s">
        <v>5485</v>
      </c>
    </row>
    <row r="1875" spans="27:27">
      <c r="AA1875" s="158" t="s">
        <v>5486</v>
      </c>
    </row>
    <row r="1876" spans="27:27">
      <c r="AA1876" s="158" t="s">
        <v>5487</v>
      </c>
    </row>
    <row r="1877" spans="27:27">
      <c r="AA1877" s="158" t="s">
        <v>5488</v>
      </c>
    </row>
    <row r="1878" spans="27:27">
      <c r="AA1878" s="158" t="s">
        <v>5489</v>
      </c>
    </row>
    <row r="1879" spans="27:27">
      <c r="AA1879" s="158" t="s">
        <v>5490</v>
      </c>
    </row>
    <row r="1880" spans="27:27">
      <c r="AA1880" s="158" t="s">
        <v>5491</v>
      </c>
    </row>
    <row r="1881" spans="27:27">
      <c r="AA1881" s="158" t="s">
        <v>5492</v>
      </c>
    </row>
    <row r="1882" spans="27:27">
      <c r="AA1882" s="158" t="s">
        <v>5493</v>
      </c>
    </row>
    <row r="1883" spans="27:27">
      <c r="AA1883" s="158" t="s">
        <v>5494</v>
      </c>
    </row>
    <row r="1884" spans="27:27">
      <c r="AA1884" s="158" t="s">
        <v>5495</v>
      </c>
    </row>
    <row r="1885" spans="27:27">
      <c r="AA1885" s="158" t="s">
        <v>5496</v>
      </c>
    </row>
    <row r="1886" spans="27:27">
      <c r="AA1886" s="158" t="s">
        <v>3551</v>
      </c>
    </row>
    <row r="1887" spans="27:27">
      <c r="AA1887" s="158" t="s">
        <v>5497</v>
      </c>
    </row>
    <row r="1888" spans="27:27">
      <c r="AA1888" s="158" t="s">
        <v>5498</v>
      </c>
    </row>
    <row r="1889" spans="27:27">
      <c r="AA1889" s="158" t="s">
        <v>1469</v>
      </c>
    </row>
    <row r="1890" spans="27:27">
      <c r="AA1890" s="158" t="s">
        <v>5499</v>
      </c>
    </row>
    <row r="1891" spans="27:27">
      <c r="AA1891" s="158" t="s">
        <v>3552</v>
      </c>
    </row>
    <row r="1892" spans="27:27">
      <c r="AA1892" s="158" t="s">
        <v>5500</v>
      </c>
    </row>
    <row r="1893" spans="27:27">
      <c r="AA1893" s="158" t="s">
        <v>5501</v>
      </c>
    </row>
    <row r="1894" spans="27:27">
      <c r="AA1894" s="158" t="s">
        <v>1470</v>
      </c>
    </row>
    <row r="1895" spans="27:27">
      <c r="AA1895" s="158" t="s">
        <v>3553</v>
      </c>
    </row>
    <row r="1896" spans="27:27">
      <c r="AA1896" s="158" t="s">
        <v>1471</v>
      </c>
    </row>
    <row r="1897" spans="27:27">
      <c r="AA1897" s="158" t="s">
        <v>3554</v>
      </c>
    </row>
    <row r="1898" spans="27:27">
      <c r="AA1898" s="158" t="s">
        <v>5502</v>
      </c>
    </row>
    <row r="1899" spans="27:27">
      <c r="AA1899" s="158" t="s">
        <v>5503</v>
      </c>
    </row>
    <row r="1900" spans="27:27">
      <c r="AA1900" s="158" t="s">
        <v>5504</v>
      </c>
    </row>
    <row r="1901" spans="27:27">
      <c r="AA1901" s="158" t="s">
        <v>5505</v>
      </c>
    </row>
    <row r="1902" spans="27:27">
      <c r="AA1902" s="158" t="s">
        <v>5506</v>
      </c>
    </row>
    <row r="1903" spans="27:27">
      <c r="AA1903" s="158" t="s">
        <v>5507</v>
      </c>
    </row>
    <row r="1904" spans="27:27">
      <c r="AA1904" s="158" t="s">
        <v>5508</v>
      </c>
    </row>
    <row r="1905" spans="27:27">
      <c r="AA1905" s="158" t="s">
        <v>5509</v>
      </c>
    </row>
    <row r="1906" spans="27:27">
      <c r="AA1906" s="158" t="s">
        <v>5510</v>
      </c>
    </row>
    <row r="1907" spans="27:27">
      <c r="AA1907" s="158" t="s">
        <v>5511</v>
      </c>
    </row>
    <row r="1908" spans="27:27">
      <c r="AA1908" s="158" t="s">
        <v>5512</v>
      </c>
    </row>
    <row r="1909" spans="27:27">
      <c r="AA1909" s="158" t="s">
        <v>5513</v>
      </c>
    </row>
    <row r="1910" spans="27:27">
      <c r="AA1910" s="158" t="s">
        <v>5514</v>
      </c>
    </row>
    <row r="1911" spans="27:27">
      <c r="AA1911" s="158" t="s">
        <v>5515</v>
      </c>
    </row>
    <row r="1912" spans="27:27">
      <c r="AA1912" s="158" t="s">
        <v>5516</v>
      </c>
    </row>
    <row r="1913" spans="27:27">
      <c r="AA1913" s="158" t="s">
        <v>5517</v>
      </c>
    </row>
    <row r="1914" spans="27:27">
      <c r="AA1914" s="158" t="s">
        <v>1472</v>
      </c>
    </row>
    <row r="1915" spans="27:27">
      <c r="AA1915" s="158" t="s">
        <v>3555</v>
      </c>
    </row>
    <row r="1916" spans="27:27">
      <c r="AA1916" s="158" t="s">
        <v>5518</v>
      </c>
    </row>
    <row r="1917" spans="27:27">
      <c r="AA1917" s="158" t="s">
        <v>5519</v>
      </c>
    </row>
    <row r="1918" spans="27:27">
      <c r="AA1918" s="158" t="s">
        <v>5520</v>
      </c>
    </row>
    <row r="1919" spans="27:27">
      <c r="AA1919" s="158" t="s">
        <v>5521</v>
      </c>
    </row>
    <row r="1920" spans="27:27">
      <c r="AA1920" s="158" t="s">
        <v>5522</v>
      </c>
    </row>
    <row r="1921" spans="27:27">
      <c r="AA1921" s="158" t="s">
        <v>5523</v>
      </c>
    </row>
    <row r="1922" spans="27:27">
      <c r="AA1922" s="158" t="s">
        <v>5524</v>
      </c>
    </row>
    <row r="1923" spans="27:27">
      <c r="AA1923" s="158" t="s">
        <v>5525</v>
      </c>
    </row>
    <row r="1924" spans="27:27">
      <c r="AA1924" s="158" t="s">
        <v>5526</v>
      </c>
    </row>
    <row r="1925" spans="27:27">
      <c r="AA1925" s="158" t="s">
        <v>5527</v>
      </c>
    </row>
    <row r="1926" spans="27:27">
      <c r="AA1926" s="158" t="s">
        <v>5528</v>
      </c>
    </row>
    <row r="1927" spans="27:27">
      <c r="AA1927" s="158" t="s">
        <v>5529</v>
      </c>
    </row>
    <row r="1928" spans="27:27">
      <c r="AA1928" s="158" t="s">
        <v>5530</v>
      </c>
    </row>
    <row r="1929" spans="27:27">
      <c r="AA1929" s="158" t="s">
        <v>5531</v>
      </c>
    </row>
    <row r="1930" spans="27:27">
      <c r="AA1930" s="158" t="s">
        <v>1473</v>
      </c>
    </row>
    <row r="1931" spans="27:27">
      <c r="AA1931" s="158" t="s">
        <v>3556</v>
      </c>
    </row>
    <row r="1932" spans="27:27">
      <c r="AA1932" s="158" t="s">
        <v>5532</v>
      </c>
    </row>
    <row r="1933" spans="27:27">
      <c r="AA1933" s="158" t="s">
        <v>5533</v>
      </c>
    </row>
    <row r="1934" spans="27:27">
      <c r="AA1934" s="158" t="s">
        <v>5534</v>
      </c>
    </row>
    <row r="1935" spans="27:27">
      <c r="AA1935" s="158" t="s">
        <v>5535</v>
      </c>
    </row>
    <row r="1936" spans="27:27">
      <c r="AA1936" s="158" t="s">
        <v>5536</v>
      </c>
    </row>
    <row r="1937" spans="27:27">
      <c r="AA1937" s="158" t="s">
        <v>5537</v>
      </c>
    </row>
    <row r="1938" spans="27:27">
      <c r="AA1938" s="158" t="s">
        <v>5538</v>
      </c>
    </row>
    <row r="1939" spans="27:27">
      <c r="AA1939" s="158" t="s">
        <v>5539</v>
      </c>
    </row>
    <row r="1940" spans="27:27">
      <c r="AA1940" s="158" t="s">
        <v>5540</v>
      </c>
    </row>
    <row r="1941" spans="27:27">
      <c r="AA1941" s="158" t="s">
        <v>3557</v>
      </c>
    </row>
    <row r="1942" spans="27:27">
      <c r="AA1942" s="158" t="s">
        <v>1474</v>
      </c>
    </row>
    <row r="1943" spans="27:27">
      <c r="AA1943" s="158" t="s">
        <v>5541</v>
      </c>
    </row>
    <row r="1944" spans="27:27">
      <c r="AA1944" s="158" t="s">
        <v>5542</v>
      </c>
    </row>
    <row r="1945" spans="27:27">
      <c r="AA1945" s="158" t="s">
        <v>152</v>
      </c>
    </row>
    <row r="1946" spans="27:27">
      <c r="AA1946" s="158" t="s">
        <v>5543</v>
      </c>
    </row>
    <row r="1947" spans="27:27">
      <c r="AA1947" s="158" t="s">
        <v>5544</v>
      </c>
    </row>
    <row r="1948" spans="27:27">
      <c r="AA1948" s="158" t="s">
        <v>5545</v>
      </c>
    </row>
    <row r="1949" spans="27:27">
      <c r="AA1949" s="158" t="s">
        <v>5546</v>
      </c>
    </row>
    <row r="1950" spans="27:27">
      <c r="AA1950" s="158" t="s">
        <v>5547</v>
      </c>
    </row>
    <row r="1951" spans="27:27">
      <c r="AA1951" s="158" t="s">
        <v>5548</v>
      </c>
    </row>
    <row r="1952" spans="27:27">
      <c r="AA1952" s="158" t="s">
        <v>5549</v>
      </c>
    </row>
    <row r="1953" spans="27:27">
      <c r="AA1953" s="158" t="s">
        <v>5550</v>
      </c>
    </row>
    <row r="1954" spans="27:27">
      <c r="AA1954" s="158" t="s">
        <v>5551</v>
      </c>
    </row>
    <row r="1955" spans="27:27">
      <c r="AA1955" s="158" t="s">
        <v>5552</v>
      </c>
    </row>
    <row r="1956" spans="27:27">
      <c r="AA1956" s="158" t="s">
        <v>153</v>
      </c>
    </row>
    <row r="1957" spans="27:27">
      <c r="AA1957" s="158" t="s">
        <v>5553</v>
      </c>
    </row>
    <row r="1958" spans="27:27">
      <c r="AA1958" s="158" t="s">
        <v>5554</v>
      </c>
    </row>
    <row r="1959" spans="27:27">
      <c r="AA1959" s="158" t="s">
        <v>5555</v>
      </c>
    </row>
    <row r="1960" spans="27:27">
      <c r="AA1960" s="158" t="s">
        <v>5556</v>
      </c>
    </row>
    <row r="1961" spans="27:27">
      <c r="AA1961" s="158" t="s">
        <v>5557</v>
      </c>
    </row>
    <row r="1962" spans="27:27">
      <c r="AA1962" s="158" t="s">
        <v>5558</v>
      </c>
    </row>
    <row r="1963" spans="27:27">
      <c r="AA1963" s="158" t="s">
        <v>5559</v>
      </c>
    </row>
    <row r="1964" spans="27:27">
      <c r="AA1964" s="158" t="s">
        <v>5560</v>
      </c>
    </row>
    <row r="1965" spans="27:27">
      <c r="AA1965" s="158" t="s">
        <v>5561</v>
      </c>
    </row>
    <row r="1966" spans="27:27">
      <c r="AA1966" s="158" t="s">
        <v>5562</v>
      </c>
    </row>
    <row r="1967" spans="27:27">
      <c r="AA1967" s="158" t="s">
        <v>5563</v>
      </c>
    </row>
    <row r="1968" spans="27:27">
      <c r="AA1968" s="158" t="s">
        <v>5564</v>
      </c>
    </row>
    <row r="1969" spans="27:27">
      <c r="AA1969" s="158" t="s">
        <v>5565</v>
      </c>
    </row>
    <row r="1970" spans="27:27">
      <c r="AA1970" s="158" t="s">
        <v>5566</v>
      </c>
    </row>
    <row r="1971" spans="27:27">
      <c r="AA1971" s="158" t="s">
        <v>5567</v>
      </c>
    </row>
    <row r="1972" spans="27:27">
      <c r="AA1972" s="158" t="s">
        <v>5568</v>
      </c>
    </row>
    <row r="1973" spans="27:27">
      <c r="AA1973" s="158" t="s">
        <v>5569</v>
      </c>
    </row>
    <row r="1974" spans="27:27">
      <c r="AA1974" s="158" t="s">
        <v>5570</v>
      </c>
    </row>
    <row r="1975" spans="27:27">
      <c r="AA1975" s="158" t="s">
        <v>5571</v>
      </c>
    </row>
    <row r="1976" spans="27:27">
      <c r="AA1976" s="158" t="s">
        <v>5572</v>
      </c>
    </row>
    <row r="1977" spans="27:27">
      <c r="AA1977" s="158" t="s">
        <v>5573</v>
      </c>
    </row>
    <row r="1978" spans="27:27">
      <c r="AA1978" s="158" t="s">
        <v>3558</v>
      </c>
    </row>
    <row r="1979" spans="27:27">
      <c r="AA1979" s="158" t="s">
        <v>5574</v>
      </c>
    </row>
    <row r="1980" spans="27:27">
      <c r="AA1980" s="158" t="s">
        <v>5575</v>
      </c>
    </row>
    <row r="1981" spans="27:27">
      <c r="AA1981" s="158" t="s">
        <v>5576</v>
      </c>
    </row>
    <row r="1982" spans="27:27">
      <c r="AA1982" s="158" t="s">
        <v>1475</v>
      </c>
    </row>
    <row r="1983" spans="27:27">
      <c r="AA1983" s="158" t="s">
        <v>3559</v>
      </c>
    </row>
    <row r="1984" spans="27:27">
      <c r="AA1984" s="158" t="s">
        <v>1476</v>
      </c>
    </row>
    <row r="1985" spans="27:27">
      <c r="AA1985" s="158" t="s">
        <v>3560</v>
      </c>
    </row>
    <row r="1986" spans="27:27">
      <c r="AA1986" s="158" t="s">
        <v>5577</v>
      </c>
    </row>
    <row r="1987" spans="27:27">
      <c r="AA1987" s="158" t="s">
        <v>5578</v>
      </c>
    </row>
    <row r="1988" spans="27:27">
      <c r="AA1988" s="158" t="s">
        <v>5579</v>
      </c>
    </row>
    <row r="1989" spans="27:27">
      <c r="AA1989" s="158" t="s">
        <v>1477</v>
      </c>
    </row>
    <row r="1990" spans="27:27">
      <c r="AA1990" s="158" t="s">
        <v>3561</v>
      </c>
    </row>
    <row r="1991" spans="27:27">
      <c r="AA1991" s="158" t="s">
        <v>5580</v>
      </c>
    </row>
    <row r="1992" spans="27:27">
      <c r="AA1992" s="158" t="s">
        <v>5581</v>
      </c>
    </row>
    <row r="1993" spans="27:27">
      <c r="AA1993" s="158" t="s">
        <v>1478</v>
      </c>
    </row>
    <row r="1994" spans="27:27">
      <c r="AA1994" s="158" t="s">
        <v>3562</v>
      </c>
    </row>
    <row r="1995" spans="27:27">
      <c r="AA1995" s="158" t="s">
        <v>5582</v>
      </c>
    </row>
    <row r="1996" spans="27:27">
      <c r="AA1996" s="158" t="s">
        <v>5583</v>
      </c>
    </row>
    <row r="1997" spans="27:27">
      <c r="AA1997" s="158" t="s">
        <v>5584</v>
      </c>
    </row>
    <row r="1998" spans="27:27">
      <c r="AA1998" s="158" t="s">
        <v>1479</v>
      </c>
    </row>
    <row r="1999" spans="27:27">
      <c r="AA1999" s="158" t="s">
        <v>3563</v>
      </c>
    </row>
    <row r="2000" spans="27:27">
      <c r="AA2000" s="158" t="s">
        <v>5585</v>
      </c>
    </row>
    <row r="2001" spans="27:27">
      <c r="AA2001" s="158" t="s">
        <v>5586</v>
      </c>
    </row>
    <row r="2002" spans="27:27">
      <c r="AA2002" s="158" t="s">
        <v>5587</v>
      </c>
    </row>
    <row r="2003" spans="27:27">
      <c r="AA2003" s="158" t="s">
        <v>5588</v>
      </c>
    </row>
    <row r="2004" spans="27:27">
      <c r="AA2004" s="158" t="s">
        <v>5589</v>
      </c>
    </row>
    <row r="2005" spans="27:27">
      <c r="AA2005" s="158" t="s">
        <v>5590</v>
      </c>
    </row>
    <row r="2006" spans="27:27">
      <c r="AA2006" s="158" t="s">
        <v>5591</v>
      </c>
    </row>
    <row r="2007" spans="27:27">
      <c r="AA2007" s="158" t="s">
        <v>5592</v>
      </c>
    </row>
    <row r="2008" spans="27:27">
      <c r="AA2008" s="158" t="s">
        <v>5593</v>
      </c>
    </row>
    <row r="2009" spans="27:27">
      <c r="AA2009" s="158" t="s">
        <v>5594</v>
      </c>
    </row>
    <row r="2010" spans="27:27">
      <c r="AA2010" s="158" t="s">
        <v>5595</v>
      </c>
    </row>
    <row r="2011" spans="27:27">
      <c r="AA2011" s="158" t="s">
        <v>5596</v>
      </c>
    </row>
    <row r="2012" spans="27:27">
      <c r="AA2012" s="158" t="s">
        <v>5597</v>
      </c>
    </row>
    <row r="2013" spans="27:27">
      <c r="AA2013" s="158" t="s">
        <v>5598</v>
      </c>
    </row>
    <row r="2014" spans="27:27">
      <c r="AA2014" s="158" t="s">
        <v>5599</v>
      </c>
    </row>
    <row r="2015" spans="27:27">
      <c r="AA2015" s="158" t="s">
        <v>5600</v>
      </c>
    </row>
    <row r="2016" spans="27:27">
      <c r="AA2016" s="158" t="s">
        <v>5601</v>
      </c>
    </row>
    <row r="2017" spans="27:27">
      <c r="AA2017" s="158" t="s">
        <v>5602</v>
      </c>
    </row>
    <row r="2018" spans="27:27">
      <c r="AA2018" s="158" t="s">
        <v>5603</v>
      </c>
    </row>
    <row r="2019" spans="27:27">
      <c r="AA2019" s="158" t="s">
        <v>5604</v>
      </c>
    </row>
    <row r="2020" spans="27:27">
      <c r="AA2020" s="158" t="s">
        <v>5605</v>
      </c>
    </row>
    <row r="2021" spans="27:27">
      <c r="AA2021" s="158" t="s">
        <v>5606</v>
      </c>
    </row>
    <row r="2022" spans="27:27">
      <c r="AA2022" s="158" t="s">
        <v>5607</v>
      </c>
    </row>
    <row r="2023" spans="27:27">
      <c r="AA2023" s="158" t="s">
        <v>3564</v>
      </c>
    </row>
    <row r="2024" spans="27:27">
      <c r="AA2024" s="158" t="s">
        <v>5608</v>
      </c>
    </row>
    <row r="2025" spans="27:27">
      <c r="AA2025" s="158" t="s">
        <v>5609</v>
      </c>
    </row>
    <row r="2026" spans="27:27">
      <c r="AA2026" s="158" t="s">
        <v>5610</v>
      </c>
    </row>
    <row r="2027" spans="27:27">
      <c r="AA2027" s="158" t="s">
        <v>5611</v>
      </c>
    </row>
    <row r="2028" spans="27:27">
      <c r="AA2028" s="158" t="s">
        <v>5612</v>
      </c>
    </row>
    <row r="2029" spans="27:27">
      <c r="AA2029" s="158" t="s">
        <v>5613</v>
      </c>
    </row>
    <row r="2030" spans="27:27">
      <c r="AA2030" s="158" t="s">
        <v>5614</v>
      </c>
    </row>
    <row r="2031" spans="27:27">
      <c r="AA2031" s="158" t="s">
        <v>5615</v>
      </c>
    </row>
    <row r="2032" spans="27:27">
      <c r="AA2032" s="158" t="s">
        <v>5616</v>
      </c>
    </row>
    <row r="2033" spans="27:27">
      <c r="AA2033" s="158" t="s">
        <v>5617</v>
      </c>
    </row>
    <row r="2034" spans="27:27">
      <c r="AA2034" s="158" t="s">
        <v>3565</v>
      </c>
    </row>
    <row r="2035" spans="27:27">
      <c r="AA2035" s="158" t="s">
        <v>1480</v>
      </c>
    </row>
    <row r="2036" spans="27:27">
      <c r="AA2036" s="158" t="s">
        <v>3566</v>
      </c>
    </row>
    <row r="2037" spans="27:27">
      <c r="AA2037" s="158" t="s">
        <v>5618</v>
      </c>
    </row>
    <row r="2038" spans="27:27">
      <c r="AA2038" s="158" t="s">
        <v>5619</v>
      </c>
    </row>
    <row r="2039" spans="27:27">
      <c r="AA2039" s="158" t="s">
        <v>5620</v>
      </c>
    </row>
    <row r="2040" spans="27:27">
      <c r="AA2040" s="158" t="s">
        <v>5621</v>
      </c>
    </row>
    <row r="2041" spans="27:27">
      <c r="AA2041" s="158" t="s">
        <v>5622</v>
      </c>
    </row>
    <row r="2042" spans="27:27">
      <c r="AA2042" s="158" t="s">
        <v>5623</v>
      </c>
    </row>
    <row r="2043" spans="27:27">
      <c r="AA2043" s="158" t="s">
        <v>5624</v>
      </c>
    </row>
    <row r="2044" spans="27:27">
      <c r="AA2044" s="158" t="s">
        <v>5625</v>
      </c>
    </row>
    <row r="2045" spans="27:27">
      <c r="AA2045" s="158" t="s">
        <v>5626</v>
      </c>
    </row>
    <row r="2046" spans="27:27">
      <c r="AA2046" s="158" t="s">
        <v>5627</v>
      </c>
    </row>
    <row r="2047" spans="27:27">
      <c r="AA2047" s="158" t="s">
        <v>5628</v>
      </c>
    </row>
    <row r="2048" spans="27:27">
      <c r="AA2048" s="158" t="s">
        <v>5629</v>
      </c>
    </row>
    <row r="2049" spans="27:27">
      <c r="AA2049" s="158" t="s">
        <v>5630</v>
      </c>
    </row>
    <row r="2050" spans="27:27">
      <c r="AA2050" s="158" t="s">
        <v>5631</v>
      </c>
    </row>
    <row r="2051" spans="27:27">
      <c r="AA2051" s="158" t="s">
        <v>5632</v>
      </c>
    </row>
    <row r="2052" spans="27:27">
      <c r="AA2052" s="158" t="s">
        <v>5633</v>
      </c>
    </row>
    <row r="2053" spans="27:27">
      <c r="AA2053" s="158" t="s">
        <v>1481</v>
      </c>
    </row>
    <row r="2054" spans="27:27">
      <c r="AA2054" s="158" t="s">
        <v>3567</v>
      </c>
    </row>
    <row r="2055" spans="27:27">
      <c r="AA2055" s="158" t="s">
        <v>5634</v>
      </c>
    </row>
    <row r="2056" spans="27:27">
      <c r="AA2056" s="158" t="s">
        <v>5635</v>
      </c>
    </row>
    <row r="2057" spans="27:27">
      <c r="AA2057" s="158" t="s">
        <v>5636</v>
      </c>
    </row>
    <row r="2058" spans="27:27">
      <c r="AA2058" s="158" t="s">
        <v>5637</v>
      </c>
    </row>
    <row r="2059" spans="27:27">
      <c r="AA2059" s="158" t="s">
        <v>5638</v>
      </c>
    </row>
    <row r="2060" spans="27:27">
      <c r="AA2060" s="158" t="s">
        <v>5639</v>
      </c>
    </row>
    <row r="2061" spans="27:27">
      <c r="AA2061" s="158" t="s">
        <v>5640</v>
      </c>
    </row>
    <row r="2062" spans="27:27">
      <c r="AA2062" s="158" t="s">
        <v>5641</v>
      </c>
    </row>
    <row r="2063" spans="27:27">
      <c r="AA2063" s="158" t="s">
        <v>5642</v>
      </c>
    </row>
    <row r="2064" spans="27:27">
      <c r="AA2064" s="158" t="s">
        <v>5643</v>
      </c>
    </row>
    <row r="2065" spans="27:27">
      <c r="AA2065" s="158" t="s">
        <v>5644</v>
      </c>
    </row>
    <row r="2066" spans="27:27">
      <c r="AA2066" s="158" t="s">
        <v>5645</v>
      </c>
    </row>
    <row r="2067" spans="27:27">
      <c r="AA2067" s="158" t="s">
        <v>5646</v>
      </c>
    </row>
    <row r="2068" spans="27:27">
      <c r="AA2068" s="158" t="s">
        <v>5647</v>
      </c>
    </row>
    <row r="2069" spans="27:27">
      <c r="AA2069" s="158" t="s">
        <v>5648</v>
      </c>
    </row>
    <row r="2070" spans="27:27">
      <c r="AA2070" s="158" t="s">
        <v>5649</v>
      </c>
    </row>
    <row r="2071" spans="27:27">
      <c r="AA2071" s="158" t="s">
        <v>5650</v>
      </c>
    </row>
    <row r="2072" spans="27:27">
      <c r="AA2072" s="158" t="s">
        <v>5651</v>
      </c>
    </row>
    <row r="2073" spans="27:27">
      <c r="AA2073" s="158" t="s">
        <v>5652</v>
      </c>
    </row>
    <row r="2074" spans="27:27">
      <c r="AA2074" s="158" t="s">
        <v>5653</v>
      </c>
    </row>
    <row r="2075" spans="27:27">
      <c r="AA2075" s="158" t="s">
        <v>5654</v>
      </c>
    </row>
    <row r="2076" spans="27:27">
      <c r="AA2076" s="158" t="s">
        <v>5655</v>
      </c>
    </row>
    <row r="2077" spans="27:27">
      <c r="AA2077" s="158" t="s">
        <v>5656</v>
      </c>
    </row>
    <row r="2078" spans="27:27">
      <c r="AA2078" s="158" t="s">
        <v>5657</v>
      </c>
    </row>
    <row r="2079" spans="27:27">
      <c r="AA2079" s="158" t="s">
        <v>5658</v>
      </c>
    </row>
    <row r="2080" spans="27:27">
      <c r="AA2080" s="158" t="s">
        <v>5659</v>
      </c>
    </row>
    <row r="2081" spans="27:27">
      <c r="AA2081" s="158" t="s">
        <v>5660</v>
      </c>
    </row>
    <row r="2082" spans="27:27">
      <c r="AA2082" s="158" t="s">
        <v>5661</v>
      </c>
    </row>
    <row r="2083" spans="27:27">
      <c r="AA2083" s="158" t="s">
        <v>5662</v>
      </c>
    </row>
    <row r="2084" spans="27:27">
      <c r="AA2084" s="158" t="s">
        <v>5663</v>
      </c>
    </row>
    <row r="2085" spans="27:27">
      <c r="AA2085" s="158" t="s">
        <v>5664</v>
      </c>
    </row>
    <row r="2086" spans="27:27">
      <c r="AA2086" s="158" t="s">
        <v>5665</v>
      </c>
    </row>
    <row r="2087" spans="27:27">
      <c r="AA2087" s="158" t="s">
        <v>5666</v>
      </c>
    </row>
    <row r="2088" spans="27:27">
      <c r="AA2088" s="158" t="s">
        <v>5667</v>
      </c>
    </row>
    <row r="2089" spans="27:27">
      <c r="AA2089" s="158" t="s">
        <v>5668</v>
      </c>
    </row>
    <row r="2090" spans="27:27">
      <c r="AA2090" s="158" t="s">
        <v>5669</v>
      </c>
    </row>
    <row r="2091" spans="27:27">
      <c r="AA2091" s="158" t="s">
        <v>5670</v>
      </c>
    </row>
    <row r="2092" spans="27:27">
      <c r="AA2092" s="158" t="s">
        <v>5671</v>
      </c>
    </row>
    <row r="2093" spans="27:27">
      <c r="AA2093" s="158" t="s">
        <v>3568</v>
      </c>
    </row>
    <row r="2094" spans="27:27">
      <c r="AA2094" s="158" t="s">
        <v>5672</v>
      </c>
    </row>
    <row r="2095" spans="27:27">
      <c r="AA2095" s="158" t="s">
        <v>5673</v>
      </c>
    </row>
    <row r="2096" spans="27:27">
      <c r="AA2096" s="158" t="s">
        <v>5674</v>
      </c>
    </row>
    <row r="2097" spans="27:27">
      <c r="AA2097" s="158" t="s">
        <v>5675</v>
      </c>
    </row>
    <row r="2098" spans="27:27">
      <c r="AA2098" s="158" t="s">
        <v>5676</v>
      </c>
    </row>
    <row r="2099" spans="27:27">
      <c r="AA2099" s="158" t="s">
        <v>5677</v>
      </c>
    </row>
    <row r="2100" spans="27:27">
      <c r="AA2100" s="158" t="s">
        <v>5678</v>
      </c>
    </row>
    <row r="2101" spans="27:27">
      <c r="AA2101" s="158" t="s">
        <v>5679</v>
      </c>
    </row>
    <row r="2102" spans="27:27">
      <c r="AA2102" s="158" t="s">
        <v>5680</v>
      </c>
    </row>
    <row r="2103" spans="27:27">
      <c r="AA2103" s="158" t="s">
        <v>5681</v>
      </c>
    </row>
    <row r="2104" spans="27:27">
      <c r="AA2104" s="158" t="s">
        <v>5682</v>
      </c>
    </row>
    <row r="2105" spans="27:27">
      <c r="AA2105" s="158" t="s">
        <v>5683</v>
      </c>
    </row>
    <row r="2106" spans="27:27">
      <c r="AA2106" s="158" t="s">
        <v>5684</v>
      </c>
    </row>
    <row r="2107" spans="27:27">
      <c r="AA2107" s="158" t="s">
        <v>5685</v>
      </c>
    </row>
    <row r="2108" spans="27:27">
      <c r="AA2108" s="158" t="s">
        <v>5686</v>
      </c>
    </row>
    <row r="2109" spans="27:27">
      <c r="AA2109" s="158" t="s">
        <v>5687</v>
      </c>
    </row>
    <row r="2110" spans="27:27">
      <c r="AA2110" s="158" t="s">
        <v>5688</v>
      </c>
    </row>
    <row r="2111" spans="27:27">
      <c r="AA2111" s="158" t="s">
        <v>5689</v>
      </c>
    </row>
    <row r="2112" spans="27:27">
      <c r="AA2112" s="158" t="s">
        <v>5690</v>
      </c>
    </row>
    <row r="2113" spans="27:27">
      <c r="AA2113" s="158" t="s">
        <v>5691</v>
      </c>
    </row>
    <row r="2114" spans="27:27">
      <c r="AA2114" s="158" t="s">
        <v>5692</v>
      </c>
    </row>
    <row r="2115" spans="27:27">
      <c r="AA2115" s="158" t="s">
        <v>1482</v>
      </c>
    </row>
    <row r="2116" spans="27:27">
      <c r="AA2116" s="158" t="s">
        <v>3569</v>
      </c>
    </row>
    <row r="2117" spans="27:27">
      <c r="AA2117" s="158" t="s">
        <v>1483</v>
      </c>
    </row>
    <row r="2118" spans="27:27">
      <c r="AA2118" s="158" t="s">
        <v>5693</v>
      </c>
    </row>
    <row r="2119" spans="27:27">
      <c r="AA2119" s="158" t="s">
        <v>5694</v>
      </c>
    </row>
    <row r="2120" spans="27:27">
      <c r="AA2120" s="158" t="s">
        <v>5695</v>
      </c>
    </row>
    <row r="2121" spans="27:27">
      <c r="AA2121" s="158" t="s">
        <v>5696</v>
      </c>
    </row>
    <row r="2122" spans="27:27">
      <c r="AA2122" s="158" t="s">
        <v>5697</v>
      </c>
    </row>
    <row r="2123" spans="27:27">
      <c r="AA2123" s="158" t="s">
        <v>5698</v>
      </c>
    </row>
    <row r="2124" spans="27:27">
      <c r="AA2124" s="158" t="s">
        <v>5699</v>
      </c>
    </row>
    <row r="2125" spans="27:27">
      <c r="AA2125" s="158" t="s">
        <v>1484</v>
      </c>
    </row>
    <row r="2126" spans="27:27">
      <c r="AA2126" s="158" t="s">
        <v>3570</v>
      </c>
    </row>
    <row r="2127" spans="27:27">
      <c r="AA2127" s="158" t="s">
        <v>1485</v>
      </c>
    </row>
    <row r="2128" spans="27:27">
      <c r="AA2128" s="158" t="s">
        <v>5700</v>
      </c>
    </row>
    <row r="2129" spans="27:27">
      <c r="AA2129" s="158" t="s">
        <v>5701</v>
      </c>
    </row>
    <row r="2130" spans="27:27">
      <c r="AA2130" s="158" t="s">
        <v>5702</v>
      </c>
    </row>
    <row r="2131" spans="27:27">
      <c r="AA2131" s="158" t="s">
        <v>5703</v>
      </c>
    </row>
    <row r="2132" spans="27:27">
      <c r="AA2132" s="158" t="s">
        <v>5704</v>
      </c>
    </row>
    <row r="2133" spans="27:27">
      <c r="AA2133" s="158" t="s">
        <v>5705</v>
      </c>
    </row>
    <row r="2134" spans="27:27">
      <c r="AA2134" s="158" t="s">
        <v>5706</v>
      </c>
    </row>
    <row r="2135" spans="27:27">
      <c r="AA2135" s="158" t="s">
        <v>5707</v>
      </c>
    </row>
    <row r="2136" spans="27:27">
      <c r="AA2136" s="158" t="s">
        <v>5708</v>
      </c>
    </row>
    <row r="2137" spans="27:27">
      <c r="AA2137" s="158" t="s">
        <v>5709</v>
      </c>
    </row>
    <row r="2138" spans="27:27">
      <c r="AA2138" s="158" t="s">
        <v>1486</v>
      </c>
    </row>
    <row r="2139" spans="27:27">
      <c r="AA2139" s="158" t="s">
        <v>5710</v>
      </c>
    </row>
    <row r="2140" spans="27:27">
      <c r="AA2140" s="158" t="s">
        <v>5711</v>
      </c>
    </row>
    <row r="2141" spans="27:27">
      <c r="AA2141" s="158" t="s">
        <v>5712</v>
      </c>
    </row>
    <row r="2142" spans="27:27">
      <c r="AA2142" s="158" t="s">
        <v>5713</v>
      </c>
    </row>
    <row r="2143" spans="27:27">
      <c r="AA2143" s="158" t="s">
        <v>5714</v>
      </c>
    </row>
    <row r="2144" spans="27:27">
      <c r="AA2144" s="158" t="s">
        <v>5715</v>
      </c>
    </row>
    <row r="2145" spans="27:27">
      <c r="AA2145" s="158" t="s">
        <v>5716</v>
      </c>
    </row>
    <row r="2146" spans="27:27">
      <c r="AA2146" s="158" t="s">
        <v>5717</v>
      </c>
    </row>
    <row r="2147" spans="27:27">
      <c r="AA2147" s="158" t="s">
        <v>5718</v>
      </c>
    </row>
    <row r="2148" spans="27:27">
      <c r="AA2148" s="158" t="s">
        <v>5719</v>
      </c>
    </row>
    <row r="2149" spans="27:27">
      <c r="AA2149" s="158" t="s">
        <v>5720</v>
      </c>
    </row>
    <row r="2150" spans="27:27">
      <c r="AA2150" s="158" t="s">
        <v>5721</v>
      </c>
    </row>
    <row r="2151" spans="27:27">
      <c r="AA2151" s="158" t="s">
        <v>5722</v>
      </c>
    </row>
    <row r="2152" spans="27:27">
      <c r="AA2152" s="158" t="s">
        <v>5723</v>
      </c>
    </row>
    <row r="2153" spans="27:27">
      <c r="AA2153" s="158" t="s">
        <v>3571</v>
      </c>
    </row>
    <row r="2154" spans="27:27">
      <c r="AA2154" s="158" t="s">
        <v>5724</v>
      </c>
    </row>
    <row r="2155" spans="27:27">
      <c r="AA2155" s="158" t="s">
        <v>5725</v>
      </c>
    </row>
    <row r="2156" spans="27:27">
      <c r="AA2156" s="158" t="s">
        <v>5726</v>
      </c>
    </row>
    <row r="2157" spans="27:27">
      <c r="AA2157" s="158" t="s">
        <v>5727</v>
      </c>
    </row>
    <row r="2158" spans="27:27">
      <c r="AA2158" s="158" t="s">
        <v>5728</v>
      </c>
    </row>
    <row r="2159" spans="27:27">
      <c r="AA2159" s="158" t="s">
        <v>1487</v>
      </c>
    </row>
    <row r="2160" spans="27:27">
      <c r="AA2160" s="158" t="s">
        <v>3572</v>
      </c>
    </row>
    <row r="2161" spans="27:27">
      <c r="AA2161" s="158" t="s">
        <v>154</v>
      </c>
    </row>
    <row r="2162" spans="27:27">
      <c r="AA2162" s="158" t="s">
        <v>5729</v>
      </c>
    </row>
    <row r="2163" spans="27:27">
      <c r="AA2163" s="158" t="s">
        <v>5730</v>
      </c>
    </row>
    <row r="2164" spans="27:27">
      <c r="AA2164" s="158" t="s">
        <v>5731</v>
      </c>
    </row>
    <row r="2165" spans="27:27">
      <c r="AA2165" s="158" t="s">
        <v>5732</v>
      </c>
    </row>
    <row r="2166" spans="27:27">
      <c r="AA2166" s="158" t="s">
        <v>5733</v>
      </c>
    </row>
    <row r="2167" spans="27:27">
      <c r="AA2167" s="158" t="s">
        <v>155</v>
      </c>
    </row>
    <row r="2168" spans="27:27">
      <c r="AA2168" s="158" t="s">
        <v>3573</v>
      </c>
    </row>
    <row r="2169" spans="27:27">
      <c r="AA2169" s="158" t="s">
        <v>5734</v>
      </c>
    </row>
    <row r="2170" spans="27:27">
      <c r="AA2170" s="158" t="s">
        <v>5735</v>
      </c>
    </row>
    <row r="2171" spans="27:27">
      <c r="AA2171" s="158" t="s">
        <v>5736</v>
      </c>
    </row>
    <row r="2172" spans="27:27">
      <c r="AA2172" s="158" t="s">
        <v>5737</v>
      </c>
    </row>
    <row r="2173" spans="27:27">
      <c r="AA2173" s="158" t="s">
        <v>5738</v>
      </c>
    </row>
    <row r="2174" spans="27:27">
      <c r="AA2174" s="158" t="s">
        <v>5739</v>
      </c>
    </row>
    <row r="2175" spans="27:27">
      <c r="AA2175" s="158" t="s">
        <v>5740</v>
      </c>
    </row>
    <row r="2176" spans="27:27">
      <c r="AA2176" s="158" t="s">
        <v>5741</v>
      </c>
    </row>
    <row r="2177" spans="27:27">
      <c r="AA2177" s="158" t="s">
        <v>156</v>
      </c>
    </row>
    <row r="2178" spans="27:27">
      <c r="AA2178" s="158" t="s">
        <v>5742</v>
      </c>
    </row>
    <row r="2179" spans="27:27">
      <c r="AA2179" s="158" t="s">
        <v>5743</v>
      </c>
    </row>
    <row r="2180" spans="27:27">
      <c r="AA2180" s="158" t="s">
        <v>5744</v>
      </c>
    </row>
    <row r="2181" spans="27:27">
      <c r="AA2181" s="158" t="s">
        <v>5745</v>
      </c>
    </row>
    <row r="2182" spans="27:27">
      <c r="AA2182" s="158" t="s">
        <v>5746</v>
      </c>
    </row>
    <row r="2183" spans="27:27">
      <c r="AA2183" s="158" t="s">
        <v>5747</v>
      </c>
    </row>
    <row r="2184" spans="27:27">
      <c r="AA2184" s="158" t="s">
        <v>5748</v>
      </c>
    </row>
    <row r="2185" spans="27:27">
      <c r="AA2185" s="158" t="s">
        <v>5749</v>
      </c>
    </row>
    <row r="2186" spans="27:27">
      <c r="AA2186" s="158" t="s">
        <v>157</v>
      </c>
    </row>
    <row r="2187" spans="27:27">
      <c r="AA2187" s="158" t="s">
        <v>5750</v>
      </c>
    </row>
    <row r="2188" spans="27:27">
      <c r="AA2188" s="158" t="s">
        <v>5751</v>
      </c>
    </row>
    <row r="2189" spans="27:27">
      <c r="AA2189" s="158" t="s">
        <v>5752</v>
      </c>
    </row>
    <row r="2190" spans="27:27">
      <c r="AA2190" s="158" t="s">
        <v>5753</v>
      </c>
    </row>
    <row r="2191" spans="27:27">
      <c r="AA2191" s="158" t="s">
        <v>5754</v>
      </c>
    </row>
    <row r="2192" spans="27:27">
      <c r="AA2192" s="158" t="s">
        <v>5755</v>
      </c>
    </row>
    <row r="2193" spans="27:27">
      <c r="AA2193" s="158" t="s">
        <v>158</v>
      </c>
    </row>
    <row r="2194" spans="27:27">
      <c r="AA2194" s="158" t="s">
        <v>5756</v>
      </c>
    </row>
    <row r="2195" spans="27:27">
      <c r="AA2195" s="158" t="s">
        <v>159</v>
      </c>
    </row>
    <row r="2196" spans="27:27">
      <c r="AA2196" s="158" t="s">
        <v>160</v>
      </c>
    </row>
    <row r="2197" spans="27:27">
      <c r="AA2197" s="158" t="s">
        <v>5757</v>
      </c>
    </row>
    <row r="2198" spans="27:27">
      <c r="AA2198" s="158" t="s">
        <v>161</v>
      </c>
    </row>
    <row r="2199" spans="27:27">
      <c r="AA2199" s="158" t="s">
        <v>162</v>
      </c>
    </row>
    <row r="2200" spans="27:27">
      <c r="AA2200" s="158" t="s">
        <v>5758</v>
      </c>
    </row>
    <row r="2201" spans="27:27">
      <c r="AA2201" s="158" t="s">
        <v>3574</v>
      </c>
    </row>
    <row r="2202" spans="27:27">
      <c r="AA2202" s="158" t="s">
        <v>5759</v>
      </c>
    </row>
    <row r="2203" spans="27:27">
      <c r="AA2203" s="158" t="s">
        <v>5760</v>
      </c>
    </row>
    <row r="2204" spans="27:27">
      <c r="AA2204" s="158" t="s">
        <v>163</v>
      </c>
    </row>
    <row r="2205" spans="27:27">
      <c r="AA2205" s="158" t="s">
        <v>5761</v>
      </c>
    </row>
    <row r="2206" spans="27:27">
      <c r="AA2206" s="158" t="s">
        <v>164</v>
      </c>
    </row>
    <row r="2207" spans="27:27">
      <c r="AA2207" s="158" t="s">
        <v>165</v>
      </c>
    </row>
    <row r="2208" spans="27:27">
      <c r="AA2208" s="158" t="s">
        <v>5762</v>
      </c>
    </row>
    <row r="2209" spans="27:27">
      <c r="AA2209" s="158" t="s">
        <v>5763</v>
      </c>
    </row>
    <row r="2210" spans="27:27">
      <c r="AA2210" s="158" t="s">
        <v>5764</v>
      </c>
    </row>
    <row r="2211" spans="27:27">
      <c r="AA2211" s="158" t="s">
        <v>5765</v>
      </c>
    </row>
    <row r="2212" spans="27:27">
      <c r="AA2212" s="158" t="s">
        <v>5766</v>
      </c>
    </row>
    <row r="2213" spans="27:27">
      <c r="AA2213" s="158" t="s">
        <v>1488</v>
      </c>
    </row>
    <row r="2214" spans="27:27">
      <c r="AA2214" s="158" t="s">
        <v>5767</v>
      </c>
    </row>
    <row r="2215" spans="27:27">
      <c r="AA2215" s="158" t="s">
        <v>5768</v>
      </c>
    </row>
    <row r="2216" spans="27:27">
      <c r="AA2216" s="158" t="s">
        <v>5769</v>
      </c>
    </row>
    <row r="2217" spans="27:27">
      <c r="AA2217" s="158" t="s">
        <v>5770</v>
      </c>
    </row>
    <row r="2218" spans="27:27">
      <c r="AA2218" s="158" t="s">
        <v>5771</v>
      </c>
    </row>
    <row r="2219" spans="27:27">
      <c r="AA2219" s="158" t="s">
        <v>5772</v>
      </c>
    </row>
    <row r="2220" spans="27:27">
      <c r="AA2220" s="158" t="s">
        <v>5773</v>
      </c>
    </row>
    <row r="2221" spans="27:27">
      <c r="AA2221" s="158" t="s">
        <v>5774</v>
      </c>
    </row>
    <row r="2222" spans="27:27">
      <c r="AA2222" s="158" t="s">
        <v>166</v>
      </c>
    </row>
    <row r="2223" spans="27:27">
      <c r="AA2223" s="158" t="s">
        <v>5775</v>
      </c>
    </row>
    <row r="2224" spans="27:27">
      <c r="AA2224" s="158" t="s">
        <v>5776</v>
      </c>
    </row>
    <row r="2225" spans="27:27">
      <c r="AA2225" s="158" t="s">
        <v>5777</v>
      </c>
    </row>
    <row r="2226" spans="27:27">
      <c r="AA2226" s="158" t="s">
        <v>167</v>
      </c>
    </row>
    <row r="2227" spans="27:27">
      <c r="AA2227" s="158" t="s">
        <v>5778</v>
      </c>
    </row>
    <row r="2228" spans="27:27">
      <c r="AA2228" s="158" t="s">
        <v>5779</v>
      </c>
    </row>
    <row r="2229" spans="27:27">
      <c r="AA2229" s="158" t="s">
        <v>5780</v>
      </c>
    </row>
    <row r="2230" spans="27:27">
      <c r="AA2230" s="158" t="s">
        <v>1489</v>
      </c>
    </row>
    <row r="2231" spans="27:27">
      <c r="AA2231" s="158" t="s">
        <v>5781</v>
      </c>
    </row>
    <row r="2232" spans="27:27">
      <c r="AA2232" s="158" t="s">
        <v>5782</v>
      </c>
    </row>
    <row r="2233" spans="27:27">
      <c r="AA2233" s="158" t="s">
        <v>168</v>
      </c>
    </row>
    <row r="2234" spans="27:27">
      <c r="AA2234" s="158" t="s">
        <v>5783</v>
      </c>
    </row>
    <row r="2235" spans="27:27">
      <c r="AA2235" s="158" t="s">
        <v>5784</v>
      </c>
    </row>
    <row r="2236" spans="27:27">
      <c r="AA2236" s="158" t="s">
        <v>5785</v>
      </c>
    </row>
    <row r="2237" spans="27:27">
      <c r="AA2237" s="158" t="s">
        <v>169</v>
      </c>
    </row>
    <row r="2238" spans="27:27">
      <c r="AA2238" s="158" t="s">
        <v>5786</v>
      </c>
    </row>
    <row r="2239" spans="27:27">
      <c r="AA2239" s="158" t="s">
        <v>5787</v>
      </c>
    </row>
    <row r="2240" spans="27:27">
      <c r="AA2240" s="158" t="s">
        <v>170</v>
      </c>
    </row>
    <row r="2241" spans="27:27">
      <c r="AA2241" s="158" t="s">
        <v>5788</v>
      </c>
    </row>
    <row r="2242" spans="27:27">
      <c r="AA2242" s="158" t="s">
        <v>171</v>
      </c>
    </row>
    <row r="2243" spans="27:27">
      <c r="AA2243" s="158" t="s">
        <v>5789</v>
      </c>
    </row>
    <row r="2244" spans="27:27">
      <c r="AA2244" s="158" t="s">
        <v>1490</v>
      </c>
    </row>
    <row r="2245" spans="27:27">
      <c r="AA2245" s="158" t="s">
        <v>5790</v>
      </c>
    </row>
    <row r="2246" spans="27:27">
      <c r="AA2246" s="158" t="s">
        <v>5791</v>
      </c>
    </row>
    <row r="2247" spans="27:27">
      <c r="AA2247" s="158" t="s">
        <v>172</v>
      </c>
    </row>
    <row r="2248" spans="27:27">
      <c r="AA2248" s="158" t="s">
        <v>5792</v>
      </c>
    </row>
    <row r="2249" spans="27:27">
      <c r="AA2249" s="158" t="s">
        <v>5793</v>
      </c>
    </row>
    <row r="2250" spans="27:27">
      <c r="AA2250" s="158" t="s">
        <v>5794</v>
      </c>
    </row>
    <row r="2251" spans="27:27">
      <c r="AA2251" s="158" t="s">
        <v>173</v>
      </c>
    </row>
    <row r="2252" spans="27:27">
      <c r="AA2252" s="158" t="s">
        <v>5795</v>
      </c>
    </row>
    <row r="2253" spans="27:27">
      <c r="AA2253" s="158" t="s">
        <v>5796</v>
      </c>
    </row>
    <row r="2254" spans="27:27">
      <c r="AA2254" s="158" t="s">
        <v>5797</v>
      </c>
    </row>
    <row r="2255" spans="27:27">
      <c r="AA2255" s="158" t="s">
        <v>5798</v>
      </c>
    </row>
    <row r="2256" spans="27:27">
      <c r="AA2256" s="158" t="s">
        <v>174</v>
      </c>
    </row>
    <row r="2257" spans="27:27">
      <c r="AA2257" s="158" t="s">
        <v>5799</v>
      </c>
    </row>
    <row r="2258" spans="27:27">
      <c r="AA2258" s="158" t="s">
        <v>5800</v>
      </c>
    </row>
    <row r="2259" spans="27:27">
      <c r="AA2259" s="158" t="s">
        <v>175</v>
      </c>
    </row>
    <row r="2260" spans="27:27">
      <c r="AA2260" s="158" t="s">
        <v>176</v>
      </c>
    </row>
    <row r="2261" spans="27:27">
      <c r="AA2261" s="158" t="s">
        <v>5801</v>
      </c>
    </row>
    <row r="2262" spans="27:27">
      <c r="AA2262" s="158" t="s">
        <v>5802</v>
      </c>
    </row>
    <row r="2263" spans="27:27">
      <c r="AA2263" s="158" t="s">
        <v>177</v>
      </c>
    </row>
    <row r="2264" spans="27:27">
      <c r="AA2264" s="158" t="s">
        <v>5803</v>
      </c>
    </row>
    <row r="2265" spans="27:27">
      <c r="AA2265" s="158" t="s">
        <v>178</v>
      </c>
    </row>
    <row r="2266" spans="27:27">
      <c r="AA2266" s="158" t="s">
        <v>3575</v>
      </c>
    </row>
    <row r="2267" spans="27:27">
      <c r="AA2267" s="158" t="s">
        <v>179</v>
      </c>
    </row>
    <row r="2268" spans="27:27">
      <c r="AA2268" s="158" t="s">
        <v>180</v>
      </c>
    </row>
    <row r="2269" spans="27:27">
      <c r="AA2269" s="158" t="s">
        <v>3576</v>
      </c>
    </row>
    <row r="2270" spans="27:27">
      <c r="AA2270" s="158" t="s">
        <v>181</v>
      </c>
    </row>
    <row r="2271" spans="27:27">
      <c r="AA2271" s="158" t="s">
        <v>5804</v>
      </c>
    </row>
    <row r="2272" spans="27:27">
      <c r="AA2272" s="158" t="s">
        <v>5805</v>
      </c>
    </row>
    <row r="2273" spans="27:27">
      <c r="AA2273" s="158" t="s">
        <v>5806</v>
      </c>
    </row>
    <row r="2274" spans="27:27">
      <c r="AA2274" s="158" t="s">
        <v>5807</v>
      </c>
    </row>
    <row r="2275" spans="27:27">
      <c r="AA2275" s="158" t="s">
        <v>1491</v>
      </c>
    </row>
    <row r="2276" spans="27:27">
      <c r="AA2276" s="158" t="s">
        <v>3577</v>
      </c>
    </row>
    <row r="2277" spans="27:27">
      <c r="AA2277" s="158" t="s">
        <v>5808</v>
      </c>
    </row>
    <row r="2278" spans="27:27">
      <c r="AA2278" s="158" t="s">
        <v>5809</v>
      </c>
    </row>
    <row r="2279" spans="27:27">
      <c r="AA2279" s="158" t="s">
        <v>5810</v>
      </c>
    </row>
    <row r="2280" spans="27:27">
      <c r="AA2280" s="158" t="s">
        <v>5811</v>
      </c>
    </row>
    <row r="2281" spans="27:27">
      <c r="AA2281" s="158" t="s">
        <v>5812</v>
      </c>
    </row>
    <row r="2282" spans="27:27">
      <c r="AA2282" s="158" t="s">
        <v>5813</v>
      </c>
    </row>
    <row r="2283" spans="27:27">
      <c r="AA2283" s="158" t="s">
        <v>5814</v>
      </c>
    </row>
    <row r="2284" spans="27:27">
      <c r="AA2284" s="158" t="s">
        <v>5815</v>
      </c>
    </row>
    <row r="2285" spans="27:27">
      <c r="AA2285" s="158" t="s">
        <v>5816</v>
      </c>
    </row>
    <row r="2286" spans="27:27">
      <c r="AA2286" s="158" t="s">
        <v>5817</v>
      </c>
    </row>
    <row r="2287" spans="27:27">
      <c r="AA2287" s="158" t="s">
        <v>5818</v>
      </c>
    </row>
    <row r="2288" spans="27:27">
      <c r="AA2288" s="158" t="s">
        <v>5819</v>
      </c>
    </row>
    <row r="2289" spans="27:27">
      <c r="AA2289" s="158" t="s">
        <v>5820</v>
      </c>
    </row>
    <row r="2290" spans="27:27">
      <c r="AA2290" s="158" t="s">
        <v>5821</v>
      </c>
    </row>
    <row r="2291" spans="27:27">
      <c r="AA2291" s="158" t="s">
        <v>5822</v>
      </c>
    </row>
    <row r="2292" spans="27:27">
      <c r="AA2292" s="158" t="s">
        <v>5823</v>
      </c>
    </row>
    <row r="2293" spans="27:27">
      <c r="AA2293" s="158" t="s">
        <v>5824</v>
      </c>
    </row>
    <row r="2294" spans="27:27">
      <c r="AA2294" s="158" t="s">
        <v>5825</v>
      </c>
    </row>
    <row r="2295" spans="27:27">
      <c r="AA2295" s="158" t="s">
        <v>5826</v>
      </c>
    </row>
    <row r="2296" spans="27:27">
      <c r="AA2296" s="158" t="s">
        <v>5827</v>
      </c>
    </row>
    <row r="2297" spans="27:27">
      <c r="AA2297" s="158" t="s">
        <v>5828</v>
      </c>
    </row>
    <row r="2298" spans="27:27">
      <c r="AA2298" s="158" t="s">
        <v>5829</v>
      </c>
    </row>
    <row r="2299" spans="27:27">
      <c r="AA2299" s="158" t="s">
        <v>5830</v>
      </c>
    </row>
    <row r="2300" spans="27:27">
      <c r="AA2300" s="158" t="s">
        <v>5831</v>
      </c>
    </row>
    <row r="2301" spans="27:27">
      <c r="AA2301" s="158" t="s">
        <v>5832</v>
      </c>
    </row>
    <row r="2302" spans="27:27">
      <c r="AA2302" s="158" t="s">
        <v>5833</v>
      </c>
    </row>
    <row r="2303" spans="27:27">
      <c r="AA2303" s="158" t="s">
        <v>5834</v>
      </c>
    </row>
    <row r="2304" spans="27:27">
      <c r="AA2304" s="158" t="s">
        <v>5835</v>
      </c>
    </row>
    <row r="2305" spans="27:27">
      <c r="AA2305" s="158" t="s">
        <v>1492</v>
      </c>
    </row>
    <row r="2306" spans="27:27">
      <c r="AA2306" s="158" t="s">
        <v>5836</v>
      </c>
    </row>
    <row r="2307" spans="27:27">
      <c r="AA2307" s="158" t="s">
        <v>5837</v>
      </c>
    </row>
    <row r="2308" spans="27:27">
      <c r="AA2308" s="158" t="s">
        <v>5838</v>
      </c>
    </row>
    <row r="2309" spans="27:27">
      <c r="AA2309" s="158" t="s">
        <v>5839</v>
      </c>
    </row>
    <row r="2310" spans="27:27">
      <c r="AA2310" s="158" t="s">
        <v>5840</v>
      </c>
    </row>
    <row r="2311" spans="27:27">
      <c r="AA2311" s="158" t="s">
        <v>5841</v>
      </c>
    </row>
    <row r="2312" spans="27:27">
      <c r="AA2312" s="158" t="s">
        <v>5842</v>
      </c>
    </row>
    <row r="2313" spans="27:27">
      <c r="AA2313" s="158" t="s">
        <v>1493</v>
      </c>
    </row>
    <row r="2314" spans="27:27">
      <c r="AA2314" s="158" t="s">
        <v>5843</v>
      </c>
    </row>
    <row r="2315" spans="27:27">
      <c r="AA2315" s="158" t="s">
        <v>5844</v>
      </c>
    </row>
    <row r="2316" spans="27:27">
      <c r="AA2316" s="158" t="s">
        <v>5845</v>
      </c>
    </row>
    <row r="2317" spans="27:27">
      <c r="AA2317" s="158" t="s">
        <v>5846</v>
      </c>
    </row>
    <row r="2318" spans="27:27">
      <c r="AA2318" s="158" t="s">
        <v>5847</v>
      </c>
    </row>
    <row r="2319" spans="27:27">
      <c r="AA2319" s="158" t="s">
        <v>5848</v>
      </c>
    </row>
    <row r="2320" spans="27:27">
      <c r="AA2320" s="158" t="s">
        <v>5849</v>
      </c>
    </row>
    <row r="2321" spans="27:27">
      <c r="AA2321" s="158" t="s">
        <v>5850</v>
      </c>
    </row>
    <row r="2322" spans="27:27">
      <c r="AA2322" s="158" t="s">
        <v>5851</v>
      </c>
    </row>
    <row r="2323" spans="27:27">
      <c r="AA2323" s="158" t="s">
        <v>5852</v>
      </c>
    </row>
    <row r="2324" spans="27:27">
      <c r="AA2324" s="158" t="s">
        <v>5853</v>
      </c>
    </row>
    <row r="2325" spans="27:27">
      <c r="AA2325" s="158" t="s">
        <v>5854</v>
      </c>
    </row>
    <row r="2326" spans="27:27">
      <c r="AA2326" s="158" t="s">
        <v>5855</v>
      </c>
    </row>
    <row r="2327" spans="27:27">
      <c r="AA2327" s="158" t="s">
        <v>5856</v>
      </c>
    </row>
    <row r="2328" spans="27:27">
      <c r="AA2328" s="158" t="s">
        <v>5857</v>
      </c>
    </row>
    <row r="2329" spans="27:27">
      <c r="AA2329" s="158" t="s">
        <v>5858</v>
      </c>
    </row>
    <row r="2330" spans="27:27">
      <c r="AA2330" s="158" t="s">
        <v>5859</v>
      </c>
    </row>
    <row r="2331" spans="27:27">
      <c r="AA2331" s="158" t="s">
        <v>5860</v>
      </c>
    </row>
    <row r="2332" spans="27:27">
      <c r="AA2332" s="158" t="s">
        <v>5861</v>
      </c>
    </row>
    <row r="2333" spans="27:27">
      <c r="AA2333" s="158" t="s">
        <v>5862</v>
      </c>
    </row>
    <row r="2334" spans="27:27">
      <c r="AA2334" s="158" t="s">
        <v>5863</v>
      </c>
    </row>
    <row r="2335" spans="27:27">
      <c r="AA2335" s="158" t="s">
        <v>5864</v>
      </c>
    </row>
    <row r="2336" spans="27:27">
      <c r="AA2336" s="158" t="s">
        <v>5865</v>
      </c>
    </row>
    <row r="2337" spans="27:27">
      <c r="AA2337" s="158" t="s">
        <v>5866</v>
      </c>
    </row>
    <row r="2338" spans="27:27">
      <c r="AA2338" s="158" t="s">
        <v>5867</v>
      </c>
    </row>
    <row r="2339" spans="27:27">
      <c r="AA2339" s="158" t="s">
        <v>5868</v>
      </c>
    </row>
    <row r="2340" spans="27:27">
      <c r="AA2340" s="158" t="s">
        <v>1494</v>
      </c>
    </row>
    <row r="2341" spans="27:27">
      <c r="AA2341" s="158" t="s">
        <v>3578</v>
      </c>
    </row>
    <row r="2342" spans="27:27">
      <c r="AA2342" s="158" t="s">
        <v>5869</v>
      </c>
    </row>
    <row r="2343" spans="27:27">
      <c r="AA2343" s="158" t="s">
        <v>5870</v>
      </c>
    </row>
    <row r="2344" spans="27:27">
      <c r="AA2344" s="158" t="s">
        <v>5871</v>
      </c>
    </row>
    <row r="2345" spans="27:27">
      <c r="AA2345" s="158" t="s">
        <v>5872</v>
      </c>
    </row>
    <row r="2346" spans="27:27">
      <c r="AA2346" s="158" t="s">
        <v>5873</v>
      </c>
    </row>
    <row r="2347" spans="27:27">
      <c r="AA2347" s="158" t="s">
        <v>5874</v>
      </c>
    </row>
    <row r="2348" spans="27:27">
      <c r="AA2348" s="158" t="s">
        <v>5875</v>
      </c>
    </row>
    <row r="2349" spans="27:27">
      <c r="AA2349" s="158" t="s">
        <v>5876</v>
      </c>
    </row>
    <row r="2350" spans="27:27">
      <c r="AA2350" s="158" t="s">
        <v>5877</v>
      </c>
    </row>
    <row r="2351" spans="27:27">
      <c r="AA2351" s="158" t="s">
        <v>5878</v>
      </c>
    </row>
    <row r="2352" spans="27:27">
      <c r="AA2352" s="158" t="s">
        <v>5879</v>
      </c>
    </row>
    <row r="2353" spans="27:27">
      <c r="AA2353" s="158" t="s">
        <v>5880</v>
      </c>
    </row>
    <row r="2354" spans="27:27">
      <c r="AA2354" s="158" t="s">
        <v>5881</v>
      </c>
    </row>
    <row r="2355" spans="27:27">
      <c r="AA2355" s="158" t="s">
        <v>5882</v>
      </c>
    </row>
    <row r="2356" spans="27:27">
      <c r="AA2356" s="158" t="s">
        <v>5883</v>
      </c>
    </row>
    <row r="2357" spans="27:27">
      <c r="AA2357" s="158" t="s">
        <v>5884</v>
      </c>
    </row>
    <row r="2358" spans="27:27">
      <c r="AA2358" s="158" t="s">
        <v>5885</v>
      </c>
    </row>
    <row r="2359" spans="27:27">
      <c r="AA2359" s="158" t="s">
        <v>5886</v>
      </c>
    </row>
    <row r="2360" spans="27:27">
      <c r="AA2360" s="158" t="s">
        <v>5887</v>
      </c>
    </row>
    <row r="2361" spans="27:27">
      <c r="AA2361" s="158" t="s">
        <v>5888</v>
      </c>
    </row>
    <row r="2362" spans="27:27">
      <c r="AA2362" s="158" t="s">
        <v>5889</v>
      </c>
    </row>
    <row r="2363" spans="27:27">
      <c r="AA2363" s="158" t="s">
        <v>5890</v>
      </c>
    </row>
    <row r="2364" spans="27:27">
      <c r="AA2364" s="158" t="s">
        <v>5891</v>
      </c>
    </row>
    <row r="2365" spans="27:27">
      <c r="AA2365" s="158" t="s">
        <v>5892</v>
      </c>
    </row>
    <row r="2366" spans="27:27">
      <c r="AA2366" s="158" t="s">
        <v>5893</v>
      </c>
    </row>
    <row r="2367" spans="27:27">
      <c r="AA2367" s="158" t="s">
        <v>5894</v>
      </c>
    </row>
    <row r="2368" spans="27:27">
      <c r="AA2368" s="158" t="s">
        <v>5895</v>
      </c>
    </row>
    <row r="2369" spans="27:27">
      <c r="AA2369" s="158" t="s">
        <v>5896</v>
      </c>
    </row>
    <row r="2370" spans="27:27">
      <c r="AA2370" s="158" t="s">
        <v>5897</v>
      </c>
    </row>
    <row r="2371" spans="27:27">
      <c r="AA2371" s="158" t="s">
        <v>5898</v>
      </c>
    </row>
    <row r="2372" spans="27:27">
      <c r="AA2372" s="158" t="s">
        <v>5899</v>
      </c>
    </row>
    <row r="2373" spans="27:27">
      <c r="AA2373" s="158" t="s">
        <v>5900</v>
      </c>
    </row>
    <row r="2374" spans="27:27">
      <c r="AA2374" s="158" t="s">
        <v>5901</v>
      </c>
    </row>
    <row r="2375" spans="27:27">
      <c r="AA2375" s="158" t="s">
        <v>1495</v>
      </c>
    </row>
    <row r="2376" spans="27:27">
      <c r="AA2376" s="158" t="s">
        <v>3579</v>
      </c>
    </row>
    <row r="2377" spans="27:27">
      <c r="AA2377" s="158" t="s">
        <v>5902</v>
      </c>
    </row>
    <row r="2378" spans="27:27">
      <c r="AA2378" s="158" t="s">
        <v>5903</v>
      </c>
    </row>
    <row r="2379" spans="27:27">
      <c r="AA2379" s="158" t="s">
        <v>5904</v>
      </c>
    </row>
    <row r="2380" spans="27:27">
      <c r="AA2380" s="158" t="s">
        <v>5905</v>
      </c>
    </row>
    <row r="2381" spans="27:27">
      <c r="AA2381" s="158" t="s">
        <v>5906</v>
      </c>
    </row>
    <row r="2382" spans="27:27">
      <c r="AA2382" s="158" t="s">
        <v>1496</v>
      </c>
    </row>
    <row r="2383" spans="27:27">
      <c r="AA2383" s="158" t="s">
        <v>3580</v>
      </c>
    </row>
    <row r="2384" spans="27:27">
      <c r="AA2384" s="158" t="s">
        <v>5907</v>
      </c>
    </row>
    <row r="2385" spans="27:27">
      <c r="AA2385" s="158" t="s">
        <v>5908</v>
      </c>
    </row>
    <row r="2386" spans="27:27">
      <c r="AA2386" s="158" t="s">
        <v>5909</v>
      </c>
    </row>
    <row r="2387" spans="27:27">
      <c r="AA2387" s="158" t="s">
        <v>182</v>
      </c>
    </row>
    <row r="2388" spans="27:27">
      <c r="AA2388" s="158" t="s">
        <v>5910</v>
      </c>
    </row>
    <row r="2389" spans="27:27">
      <c r="AA2389" s="158" t="s">
        <v>1497</v>
      </c>
    </row>
    <row r="2390" spans="27:27">
      <c r="AA2390" s="158" t="s">
        <v>5911</v>
      </c>
    </row>
    <row r="2391" spans="27:27">
      <c r="AA2391" s="158" t="s">
        <v>1498</v>
      </c>
    </row>
    <row r="2392" spans="27:27">
      <c r="AA2392" s="158" t="s">
        <v>5912</v>
      </c>
    </row>
    <row r="2393" spans="27:27">
      <c r="AA2393" s="158" t="s">
        <v>1499</v>
      </c>
    </row>
    <row r="2394" spans="27:27">
      <c r="AA2394" s="158" t="s">
        <v>5913</v>
      </c>
    </row>
    <row r="2395" spans="27:27">
      <c r="AA2395" s="158" t="s">
        <v>5914</v>
      </c>
    </row>
    <row r="2396" spans="27:27">
      <c r="AA2396" s="158" t="s">
        <v>5915</v>
      </c>
    </row>
    <row r="2397" spans="27:27">
      <c r="AA2397" s="158" t="s">
        <v>5916</v>
      </c>
    </row>
    <row r="2398" spans="27:27">
      <c r="AA2398" s="158" t="s">
        <v>5917</v>
      </c>
    </row>
    <row r="2399" spans="27:27">
      <c r="AA2399" s="158" t="s">
        <v>5918</v>
      </c>
    </row>
    <row r="2400" spans="27:27">
      <c r="AA2400" s="158" t="s">
        <v>5919</v>
      </c>
    </row>
    <row r="2401" spans="27:27">
      <c r="AA2401" s="158" t="s">
        <v>5920</v>
      </c>
    </row>
    <row r="2402" spans="27:27">
      <c r="AA2402" s="158" t="s">
        <v>5921</v>
      </c>
    </row>
    <row r="2403" spans="27:27">
      <c r="AA2403" s="158" t="s">
        <v>5922</v>
      </c>
    </row>
    <row r="2404" spans="27:27">
      <c r="AA2404" s="158" t="s">
        <v>1500</v>
      </c>
    </row>
    <row r="2405" spans="27:27">
      <c r="AA2405" s="158" t="s">
        <v>5923</v>
      </c>
    </row>
    <row r="2406" spans="27:27">
      <c r="AA2406" s="158" t="s">
        <v>5924</v>
      </c>
    </row>
    <row r="2407" spans="27:27">
      <c r="AA2407" s="158" t="s">
        <v>5925</v>
      </c>
    </row>
    <row r="2408" spans="27:27">
      <c r="AA2408" s="158" t="s">
        <v>5926</v>
      </c>
    </row>
    <row r="2409" spans="27:27">
      <c r="AA2409" s="158" t="s">
        <v>3581</v>
      </c>
    </row>
    <row r="2410" spans="27:27">
      <c r="AA2410" s="158" t="s">
        <v>5927</v>
      </c>
    </row>
    <row r="2411" spans="27:27">
      <c r="AA2411" s="158" t="s">
        <v>5928</v>
      </c>
    </row>
    <row r="2412" spans="27:27">
      <c r="AA2412" s="158" t="s">
        <v>3582</v>
      </c>
    </row>
    <row r="2413" spans="27:27">
      <c r="AA2413" s="158" t="s">
        <v>1501</v>
      </c>
    </row>
    <row r="2414" spans="27:27">
      <c r="AA2414" s="158" t="s">
        <v>5929</v>
      </c>
    </row>
    <row r="2415" spans="27:27">
      <c r="AA2415" s="158" t="s">
        <v>1502</v>
      </c>
    </row>
    <row r="2416" spans="27:27">
      <c r="AA2416" s="158" t="s">
        <v>3583</v>
      </c>
    </row>
    <row r="2417" spans="27:27">
      <c r="AA2417" s="158" t="s">
        <v>1503</v>
      </c>
    </row>
    <row r="2418" spans="27:27">
      <c r="AA2418" s="158" t="s">
        <v>5930</v>
      </c>
    </row>
    <row r="2419" spans="27:27">
      <c r="AA2419" s="158" t="s">
        <v>5931</v>
      </c>
    </row>
    <row r="2420" spans="27:27">
      <c r="AA2420" s="158" t="s">
        <v>3584</v>
      </c>
    </row>
    <row r="2421" spans="27:27">
      <c r="AA2421" s="158" t="s">
        <v>5932</v>
      </c>
    </row>
    <row r="2422" spans="27:27">
      <c r="AA2422" s="158" t="s">
        <v>5933</v>
      </c>
    </row>
    <row r="2423" spans="27:27">
      <c r="AA2423" s="158" t="s">
        <v>5934</v>
      </c>
    </row>
    <row r="2424" spans="27:27">
      <c r="AA2424" s="158" t="s">
        <v>5935</v>
      </c>
    </row>
    <row r="2425" spans="27:27">
      <c r="AA2425" s="158" t="s">
        <v>1504</v>
      </c>
    </row>
    <row r="2426" spans="27:27">
      <c r="AA2426" s="158" t="s">
        <v>5936</v>
      </c>
    </row>
    <row r="2427" spans="27:27">
      <c r="AA2427" s="158" t="s">
        <v>5937</v>
      </c>
    </row>
    <row r="2428" spans="27:27">
      <c r="AA2428" s="158" t="s">
        <v>5938</v>
      </c>
    </row>
    <row r="2429" spans="27:27">
      <c r="AA2429" s="158" t="s">
        <v>1505</v>
      </c>
    </row>
    <row r="2430" spans="27:27">
      <c r="AA2430" s="158" t="s">
        <v>3585</v>
      </c>
    </row>
    <row r="2431" spans="27:27">
      <c r="AA2431" s="158" t="s">
        <v>1506</v>
      </c>
    </row>
    <row r="2432" spans="27:27">
      <c r="AA2432" s="158" t="s">
        <v>5939</v>
      </c>
    </row>
    <row r="2433" spans="27:27">
      <c r="AA2433" s="158" t="s">
        <v>5940</v>
      </c>
    </row>
    <row r="2434" spans="27:27">
      <c r="AA2434" s="158" t="s">
        <v>5941</v>
      </c>
    </row>
    <row r="2435" spans="27:27">
      <c r="AA2435" s="158" t="s">
        <v>5942</v>
      </c>
    </row>
    <row r="2436" spans="27:27">
      <c r="AA2436" s="158" t="s">
        <v>5943</v>
      </c>
    </row>
    <row r="2437" spans="27:27">
      <c r="AA2437" s="158" t="s">
        <v>5944</v>
      </c>
    </row>
    <row r="2438" spans="27:27">
      <c r="AA2438" s="158" t="s">
        <v>5945</v>
      </c>
    </row>
    <row r="2439" spans="27:27">
      <c r="AA2439" s="158" t="s">
        <v>5946</v>
      </c>
    </row>
    <row r="2440" spans="27:27">
      <c r="AA2440" s="158" t="s">
        <v>5947</v>
      </c>
    </row>
    <row r="2441" spans="27:27">
      <c r="AA2441" s="158" t="s">
        <v>5948</v>
      </c>
    </row>
    <row r="2442" spans="27:27">
      <c r="AA2442" s="158" t="s">
        <v>5949</v>
      </c>
    </row>
    <row r="2443" spans="27:27">
      <c r="AA2443" s="158" t="s">
        <v>5950</v>
      </c>
    </row>
    <row r="2444" spans="27:27">
      <c r="AA2444" s="158" t="s">
        <v>5951</v>
      </c>
    </row>
    <row r="2445" spans="27:27">
      <c r="AA2445" s="158" t="s">
        <v>5952</v>
      </c>
    </row>
    <row r="2446" spans="27:27">
      <c r="AA2446" s="158" t="s">
        <v>5953</v>
      </c>
    </row>
    <row r="2447" spans="27:27">
      <c r="AA2447" s="158" t="s">
        <v>5954</v>
      </c>
    </row>
    <row r="2448" spans="27:27">
      <c r="AA2448" s="158" t="s">
        <v>5955</v>
      </c>
    </row>
    <row r="2449" spans="27:27">
      <c r="AA2449" s="158" t="s">
        <v>5956</v>
      </c>
    </row>
    <row r="2450" spans="27:27">
      <c r="AA2450" s="158" t="s">
        <v>5957</v>
      </c>
    </row>
    <row r="2451" spans="27:27">
      <c r="AA2451" s="158" t="s">
        <v>5958</v>
      </c>
    </row>
    <row r="2452" spans="27:27">
      <c r="AA2452" s="158" t="s">
        <v>5959</v>
      </c>
    </row>
    <row r="2453" spans="27:27">
      <c r="AA2453" s="158" t="s">
        <v>5960</v>
      </c>
    </row>
    <row r="2454" spans="27:27">
      <c r="AA2454" s="158" t="s">
        <v>1507</v>
      </c>
    </row>
    <row r="2455" spans="27:27">
      <c r="AA2455" s="158" t="s">
        <v>5961</v>
      </c>
    </row>
    <row r="2456" spans="27:27">
      <c r="AA2456" s="158" t="s">
        <v>1508</v>
      </c>
    </row>
    <row r="2457" spans="27:27">
      <c r="AA2457" s="158" t="s">
        <v>5962</v>
      </c>
    </row>
    <row r="2458" spans="27:27">
      <c r="AA2458" s="158" t="s">
        <v>5963</v>
      </c>
    </row>
    <row r="2459" spans="27:27">
      <c r="AA2459" s="158" t="s">
        <v>5964</v>
      </c>
    </row>
    <row r="2460" spans="27:27">
      <c r="AA2460" s="158" t="s">
        <v>5965</v>
      </c>
    </row>
    <row r="2461" spans="27:27">
      <c r="AA2461" s="158" t="s">
        <v>5966</v>
      </c>
    </row>
    <row r="2462" spans="27:27">
      <c r="AA2462" s="158" t="s">
        <v>1509</v>
      </c>
    </row>
    <row r="2463" spans="27:27">
      <c r="AA2463" s="158" t="s">
        <v>5967</v>
      </c>
    </row>
    <row r="2464" spans="27:27">
      <c r="AA2464" s="158" t="s">
        <v>5968</v>
      </c>
    </row>
    <row r="2465" spans="27:27">
      <c r="AA2465" s="158" t="s">
        <v>5969</v>
      </c>
    </row>
    <row r="2466" spans="27:27">
      <c r="AA2466" s="158" t="s">
        <v>5970</v>
      </c>
    </row>
    <row r="2467" spans="27:27">
      <c r="AA2467" s="158" t="s">
        <v>1510</v>
      </c>
    </row>
    <row r="2468" spans="27:27">
      <c r="AA2468" s="158" t="s">
        <v>5971</v>
      </c>
    </row>
    <row r="2469" spans="27:27">
      <c r="AA2469" s="158" t="s">
        <v>5972</v>
      </c>
    </row>
    <row r="2470" spans="27:27">
      <c r="AA2470" s="158" t="s">
        <v>1511</v>
      </c>
    </row>
    <row r="2471" spans="27:27">
      <c r="AA2471" s="158" t="s">
        <v>5973</v>
      </c>
    </row>
    <row r="2472" spans="27:27">
      <c r="AA2472" s="158" t="s">
        <v>5974</v>
      </c>
    </row>
    <row r="2473" spans="27:27">
      <c r="AA2473" s="158" t="s">
        <v>5975</v>
      </c>
    </row>
    <row r="2474" spans="27:27">
      <c r="AA2474" s="158" t="s">
        <v>5976</v>
      </c>
    </row>
    <row r="2475" spans="27:27">
      <c r="AA2475" s="158" t="s">
        <v>5977</v>
      </c>
    </row>
    <row r="2476" spans="27:27">
      <c r="AA2476" s="158" t="s">
        <v>5978</v>
      </c>
    </row>
    <row r="2477" spans="27:27">
      <c r="AA2477" s="158" t="s">
        <v>3586</v>
      </c>
    </row>
    <row r="2478" spans="27:27">
      <c r="AA2478" s="158" t="s">
        <v>1512</v>
      </c>
    </row>
    <row r="2479" spans="27:27">
      <c r="AA2479" s="158" t="s">
        <v>5979</v>
      </c>
    </row>
    <row r="2480" spans="27:27">
      <c r="AA2480" s="158" t="s">
        <v>1513</v>
      </c>
    </row>
    <row r="2481" spans="27:27">
      <c r="AA2481" s="158" t="s">
        <v>5980</v>
      </c>
    </row>
    <row r="2482" spans="27:27">
      <c r="AA2482" s="158" t="s">
        <v>5981</v>
      </c>
    </row>
    <row r="2483" spans="27:27">
      <c r="AA2483" s="158" t="s">
        <v>3587</v>
      </c>
    </row>
    <row r="2484" spans="27:27">
      <c r="AA2484" s="158" t="s">
        <v>5982</v>
      </c>
    </row>
    <row r="2485" spans="27:27">
      <c r="AA2485" s="158" t="s">
        <v>5983</v>
      </c>
    </row>
    <row r="2486" spans="27:27">
      <c r="AA2486" s="158" t="s">
        <v>5984</v>
      </c>
    </row>
    <row r="2487" spans="27:27">
      <c r="AA2487" s="158" t="s">
        <v>5985</v>
      </c>
    </row>
    <row r="2488" spans="27:27">
      <c r="AA2488" s="158" t="s">
        <v>1514</v>
      </c>
    </row>
    <row r="2489" spans="27:27">
      <c r="AA2489" s="158" t="s">
        <v>5986</v>
      </c>
    </row>
    <row r="2490" spans="27:27">
      <c r="AA2490" s="158" t="s">
        <v>1515</v>
      </c>
    </row>
    <row r="2491" spans="27:27">
      <c r="AA2491" s="158" t="s">
        <v>3588</v>
      </c>
    </row>
    <row r="2492" spans="27:27">
      <c r="AA2492" s="158" t="s">
        <v>1516</v>
      </c>
    </row>
    <row r="2493" spans="27:27">
      <c r="AA2493" s="158" t="s">
        <v>5987</v>
      </c>
    </row>
    <row r="2494" spans="27:27">
      <c r="AA2494" s="158" t="s">
        <v>5988</v>
      </c>
    </row>
    <row r="2495" spans="27:27">
      <c r="AA2495" s="158" t="s">
        <v>5989</v>
      </c>
    </row>
    <row r="2496" spans="27:27">
      <c r="AA2496" s="158" t="s">
        <v>5990</v>
      </c>
    </row>
    <row r="2497" spans="27:27">
      <c r="AA2497" s="158" t="s">
        <v>5991</v>
      </c>
    </row>
    <row r="2498" spans="27:27">
      <c r="AA2498" s="158" t="s">
        <v>5992</v>
      </c>
    </row>
    <row r="2499" spans="27:27">
      <c r="AA2499" s="158" t="s">
        <v>5993</v>
      </c>
    </row>
    <row r="2500" spans="27:27">
      <c r="AA2500" s="158" t="s">
        <v>1517</v>
      </c>
    </row>
    <row r="2501" spans="27:27">
      <c r="AA2501" s="158" t="s">
        <v>3589</v>
      </c>
    </row>
    <row r="2502" spans="27:27">
      <c r="AA2502" s="158" t="s">
        <v>1518</v>
      </c>
    </row>
    <row r="2503" spans="27:27">
      <c r="AA2503" s="158" t="s">
        <v>5994</v>
      </c>
    </row>
    <row r="2504" spans="27:27">
      <c r="AA2504" s="158" t="s">
        <v>3590</v>
      </c>
    </row>
    <row r="2505" spans="27:27">
      <c r="AA2505" s="158" t="s">
        <v>5995</v>
      </c>
    </row>
    <row r="2506" spans="27:27">
      <c r="AA2506" s="158" t="s">
        <v>5996</v>
      </c>
    </row>
    <row r="2507" spans="27:27">
      <c r="AA2507" s="158" t="s">
        <v>5997</v>
      </c>
    </row>
    <row r="2508" spans="27:27">
      <c r="AA2508" s="158" t="s">
        <v>5998</v>
      </c>
    </row>
    <row r="2509" spans="27:27">
      <c r="AA2509" s="158" t="s">
        <v>1519</v>
      </c>
    </row>
    <row r="2510" spans="27:27">
      <c r="AA2510" s="158" t="s">
        <v>3591</v>
      </c>
    </row>
    <row r="2511" spans="27:27">
      <c r="AA2511" s="158" t="s">
        <v>1520</v>
      </c>
    </row>
    <row r="2512" spans="27:27">
      <c r="AA2512" s="158" t="s">
        <v>5999</v>
      </c>
    </row>
    <row r="2513" spans="27:27">
      <c r="AA2513" s="158" t="s">
        <v>6000</v>
      </c>
    </row>
    <row r="2514" spans="27:27">
      <c r="AA2514" s="158" t="s">
        <v>6001</v>
      </c>
    </row>
    <row r="2515" spans="27:27">
      <c r="AA2515" s="158" t="s">
        <v>6002</v>
      </c>
    </row>
    <row r="2516" spans="27:27">
      <c r="AA2516" s="158" t="s">
        <v>6003</v>
      </c>
    </row>
    <row r="2517" spans="27:27">
      <c r="AA2517" s="158" t="s">
        <v>1521</v>
      </c>
    </row>
    <row r="2518" spans="27:27">
      <c r="AA2518" s="158" t="s">
        <v>6004</v>
      </c>
    </row>
    <row r="2519" spans="27:27">
      <c r="AA2519" s="158" t="s">
        <v>1522</v>
      </c>
    </row>
    <row r="2520" spans="27:27">
      <c r="AA2520" s="158" t="s">
        <v>6005</v>
      </c>
    </row>
    <row r="2521" spans="27:27">
      <c r="AA2521" s="158" t="s">
        <v>6006</v>
      </c>
    </row>
    <row r="2522" spans="27:27">
      <c r="AA2522" s="158" t="s">
        <v>1523</v>
      </c>
    </row>
    <row r="2523" spans="27:27">
      <c r="AA2523" s="158" t="s">
        <v>6007</v>
      </c>
    </row>
    <row r="2524" spans="27:27">
      <c r="AA2524" s="158" t="s">
        <v>1524</v>
      </c>
    </row>
    <row r="2525" spans="27:27">
      <c r="AA2525" s="158" t="s">
        <v>6008</v>
      </c>
    </row>
    <row r="2526" spans="27:27">
      <c r="AA2526" s="158" t="s">
        <v>3592</v>
      </c>
    </row>
    <row r="2527" spans="27:27">
      <c r="AA2527" s="158" t="s">
        <v>6009</v>
      </c>
    </row>
    <row r="2528" spans="27:27">
      <c r="AA2528" s="158" t="s">
        <v>6010</v>
      </c>
    </row>
    <row r="2529" spans="27:27">
      <c r="AA2529" s="158" t="s">
        <v>6011</v>
      </c>
    </row>
    <row r="2530" spans="27:27">
      <c r="AA2530" s="158" t="s">
        <v>1525</v>
      </c>
    </row>
    <row r="2531" spans="27:27">
      <c r="AA2531" s="158" t="s">
        <v>1526</v>
      </c>
    </row>
    <row r="2532" spans="27:27">
      <c r="AA2532" s="158" t="s">
        <v>1527</v>
      </c>
    </row>
    <row r="2533" spans="27:27">
      <c r="AA2533" s="158" t="s">
        <v>6012</v>
      </c>
    </row>
    <row r="2534" spans="27:27">
      <c r="AA2534" s="158" t="s">
        <v>6013</v>
      </c>
    </row>
    <row r="2535" spans="27:27">
      <c r="AA2535" s="158" t="s">
        <v>6014</v>
      </c>
    </row>
    <row r="2536" spans="27:27">
      <c r="AA2536" s="158" t="s">
        <v>6015</v>
      </c>
    </row>
    <row r="2537" spans="27:27">
      <c r="AA2537" s="158" t="s">
        <v>6016</v>
      </c>
    </row>
    <row r="2538" spans="27:27">
      <c r="AA2538" s="158" t="s">
        <v>6017</v>
      </c>
    </row>
    <row r="2539" spans="27:27">
      <c r="AA2539" s="158" t="s">
        <v>6018</v>
      </c>
    </row>
    <row r="2540" spans="27:27">
      <c r="AA2540" s="158" t="s">
        <v>6019</v>
      </c>
    </row>
    <row r="2541" spans="27:27">
      <c r="AA2541" s="158" t="s">
        <v>6020</v>
      </c>
    </row>
    <row r="2542" spans="27:27">
      <c r="AA2542" s="158" t="s">
        <v>6021</v>
      </c>
    </row>
    <row r="2543" spans="27:27">
      <c r="AA2543" s="158" t="s">
        <v>1528</v>
      </c>
    </row>
    <row r="2544" spans="27:27">
      <c r="AA2544" s="158" t="s">
        <v>1529</v>
      </c>
    </row>
    <row r="2545" spans="27:27">
      <c r="AA2545" s="158" t="s">
        <v>6022</v>
      </c>
    </row>
    <row r="2546" spans="27:27">
      <c r="AA2546" s="158" t="s">
        <v>6023</v>
      </c>
    </row>
    <row r="2547" spans="27:27">
      <c r="AA2547" s="158" t="s">
        <v>6024</v>
      </c>
    </row>
    <row r="2548" spans="27:27">
      <c r="AA2548" s="158" t="s">
        <v>6025</v>
      </c>
    </row>
    <row r="2549" spans="27:27">
      <c r="AA2549" s="158" t="s">
        <v>6026</v>
      </c>
    </row>
    <row r="2550" spans="27:27">
      <c r="AA2550" s="158" t="s">
        <v>6027</v>
      </c>
    </row>
    <row r="2551" spans="27:27">
      <c r="AA2551" s="158" t="s">
        <v>6028</v>
      </c>
    </row>
    <row r="2552" spans="27:27">
      <c r="AA2552" s="158" t="s">
        <v>1530</v>
      </c>
    </row>
    <row r="2553" spans="27:27">
      <c r="AA2553" s="158" t="s">
        <v>3593</v>
      </c>
    </row>
    <row r="2554" spans="27:27">
      <c r="AA2554" s="158" t="s">
        <v>1531</v>
      </c>
    </row>
    <row r="2555" spans="27:27">
      <c r="AA2555" s="158" t="s">
        <v>6029</v>
      </c>
    </row>
    <row r="2556" spans="27:27">
      <c r="AA2556" s="158" t="s">
        <v>6030</v>
      </c>
    </row>
    <row r="2557" spans="27:27">
      <c r="AA2557" s="158" t="s">
        <v>6031</v>
      </c>
    </row>
    <row r="2558" spans="27:27">
      <c r="AA2558" s="158" t="s">
        <v>6032</v>
      </c>
    </row>
    <row r="2559" spans="27:27">
      <c r="AA2559" s="158" t="s">
        <v>6033</v>
      </c>
    </row>
    <row r="2560" spans="27:27">
      <c r="AA2560" s="158" t="s">
        <v>6034</v>
      </c>
    </row>
    <row r="2561" spans="27:27">
      <c r="AA2561" s="158" t="s">
        <v>6035</v>
      </c>
    </row>
    <row r="2562" spans="27:27">
      <c r="AA2562" s="158" t="s">
        <v>6036</v>
      </c>
    </row>
    <row r="2563" spans="27:27">
      <c r="AA2563" s="158" t="s">
        <v>6037</v>
      </c>
    </row>
    <row r="2564" spans="27:27">
      <c r="AA2564" s="158" t="s">
        <v>6038</v>
      </c>
    </row>
    <row r="2565" spans="27:27">
      <c r="AA2565" s="158" t="s">
        <v>6039</v>
      </c>
    </row>
    <row r="2566" spans="27:27">
      <c r="AA2566" s="158" t="s">
        <v>6040</v>
      </c>
    </row>
    <row r="2567" spans="27:27">
      <c r="AA2567" s="158" t="s">
        <v>6041</v>
      </c>
    </row>
    <row r="2568" spans="27:27">
      <c r="AA2568" s="158" t="s">
        <v>6042</v>
      </c>
    </row>
    <row r="2569" spans="27:27">
      <c r="AA2569" s="158" t="s">
        <v>1532</v>
      </c>
    </row>
    <row r="2570" spans="27:27">
      <c r="AA2570" s="158" t="s">
        <v>1533</v>
      </c>
    </row>
    <row r="2571" spans="27:27">
      <c r="AA2571" s="158" t="s">
        <v>1534</v>
      </c>
    </row>
    <row r="2572" spans="27:27">
      <c r="AA2572" s="158" t="s">
        <v>6043</v>
      </c>
    </row>
    <row r="2573" spans="27:27">
      <c r="AA2573" s="158" t="s">
        <v>6044</v>
      </c>
    </row>
    <row r="2574" spans="27:27">
      <c r="AA2574" s="158" t="s">
        <v>6045</v>
      </c>
    </row>
    <row r="2575" spans="27:27">
      <c r="AA2575" s="158" t="s">
        <v>6046</v>
      </c>
    </row>
    <row r="2576" spans="27:27">
      <c r="AA2576" s="158" t="s">
        <v>6047</v>
      </c>
    </row>
    <row r="2577" spans="27:27">
      <c r="AA2577" s="158" t="s">
        <v>1535</v>
      </c>
    </row>
    <row r="2578" spans="27:27">
      <c r="AA2578" s="158" t="s">
        <v>6048</v>
      </c>
    </row>
    <row r="2579" spans="27:27">
      <c r="AA2579" s="158" t="s">
        <v>6049</v>
      </c>
    </row>
    <row r="2580" spans="27:27">
      <c r="AA2580" s="158" t="s">
        <v>1536</v>
      </c>
    </row>
    <row r="2581" spans="27:27">
      <c r="AA2581" s="158" t="s">
        <v>1537</v>
      </c>
    </row>
    <row r="2582" spans="27:27">
      <c r="AA2582" s="158" t="s">
        <v>6050</v>
      </c>
    </row>
    <row r="2583" spans="27:27">
      <c r="AA2583" s="158" t="s">
        <v>1538</v>
      </c>
    </row>
    <row r="2584" spans="27:27">
      <c r="AA2584" s="158" t="s">
        <v>1539</v>
      </c>
    </row>
    <row r="2585" spans="27:27">
      <c r="AA2585" s="158" t="s">
        <v>1540</v>
      </c>
    </row>
    <row r="2586" spans="27:27">
      <c r="AA2586" s="158" t="s">
        <v>6051</v>
      </c>
    </row>
    <row r="2587" spans="27:27">
      <c r="AA2587" s="158" t="s">
        <v>1541</v>
      </c>
    </row>
    <row r="2588" spans="27:27">
      <c r="AA2588" s="158" t="s">
        <v>1542</v>
      </c>
    </row>
    <row r="2589" spans="27:27">
      <c r="AA2589" s="158" t="s">
        <v>1543</v>
      </c>
    </row>
    <row r="2590" spans="27:27">
      <c r="AA2590" s="158" t="s">
        <v>6052</v>
      </c>
    </row>
    <row r="2591" spans="27:27">
      <c r="AA2591" s="158" t="s">
        <v>6053</v>
      </c>
    </row>
    <row r="2592" spans="27:27">
      <c r="AA2592" s="158" t="s">
        <v>6054</v>
      </c>
    </row>
    <row r="2593" spans="27:27">
      <c r="AA2593" s="158" t="s">
        <v>6055</v>
      </c>
    </row>
    <row r="2594" spans="27:27">
      <c r="AA2594" s="158" t="s">
        <v>6056</v>
      </c>
    </row>
    <row r="2595" spans="27:27">
      <c r="AA2595" s="158" t="s">
        <v>6057</v>
      </c>
    </row>
    <row r="2596" spans="27:27">
      <c r="AA2596" s="158" t="s">
        <v>6058</v>
      </c>
    </row>
    <row r="2597" spans="27:27">
      <c r="AA2597" s="158" t="s">
        <v>6059</v>
      </c>
    </row>
    <row r="2598" spans="27:27">
      <c r="AA2598" s="158" t="s">
        <v>6060</v>
      </c>
    </row>
    <row r="2599" spans="27:27">
      <c r="AA2599" s="158" t="s">
        <v>6061</v>
      </c>
    </row>
    <row r="2600" spans="27:27">
      <c r="AA2600" s="158" t="s">
        <v>6062</v>
      </c>
    </row>
    <row r="2601" spans="27:27">
      <c r="AA2601" s="158" t="s">
        <v>6063</v>
      </c>
    </row>
    <row r="2602" spans="27:27">
      <c r="AA2602" s="158" t="s">
        <v>6064</v>
      </c>
    </row>
    <row r="2603" spans="27:27">
      <c r="AA2603" s="158" t="s">
        <v>6065</v>
      </c>
    </row>
    <row r="2604" spans="27:27">
      <c r="AA2604" s="158" t="s">
        <v>6066</v>
      </c>
    </row>
    <row r="2605" spans="27:27">
      <c r="AA2605" s="158" t="s">
        <v>6067</v>
      </c>
    </row>
    <row r="2606" spans="27:27">
      <c r="AA2606" s="158" t="s">
        <v>6068</v>
      </c>
    </row>
    <row r="2607" spans="27:27">
      <c r="AA2607" s="158" t="s">
        <v>1544</v>
      </c>
    </row>
    <row r="2608" spans="27:27">
      <c r="AA2608" s="158" t="s">
        <v>6069</v>
      </c>
    </row>
    <row r="2609" spans="27:27">
      <c r="AA2609" s="158" t="s">
        <v>6070</v>
      </c>
    </row>
    <row r="2610" spans="27:27">
      <c r="AA2610" s="158" t="s">
        <v>6071</v>
      </c>
    </row>
    <row r="2611" spans="27:27">
      <c r="AA2611" s="158" t="s">
        <v>1545</v>
      </c>
    </row>
    <row r="2612" spans="27:27">
      <c r="AA2612" s="158" t="s">
        <v>6072</v>
      </c>
    </row>
    <row r="2613" spans="27:27">
      <c r="AA2613" s="158" t="s">
        <v>6073</v>
      </c>
    </row>
    <row r="2614" spans="27:27">
      <c r="AA2614" s="158" t="s">
        <v>1546</v>
      </c>
    </row>
    <row r="2615" spans="27:27">
      <c r="AA2615" s="158" t="s">
        <v>6074</v>
      </c>
    </row>
    <row r="2616" spans="27:27">
      <c r="AA2616" s="158" t="s">
        <v>6075</v>
      </c>
    </row>
    <row r="2617" spans="27:27">
      <c r="AA2617" s="158" t="s">
        <v>6076</v>
      </c>
    </row>
    <row r="2618" spans="27:27">
      <c r="AA2618" s="158" t="s">
        <v>6077</v>
      </c>
    </row>
    <row r="2619" spans="27:27">
      <c r="AA2619" s="158" t="s">
        <v>6078</v>
      </c>
    </row>
    <row r="2620" spans="27:27">
      <c r="AA2620" s="158" t="s">
        <v>6079</v>
      </c>
    </row>
    <row r="2621" spans="27:27">
      <c r="AA2621" s="158" t="s">
        <v>6080</v>
      </c>
    </row>
    <row r="2622" spans="27:27">
      <c r="AA2622" s="158" t="s">
        <v>3594</v>
      </c>
    </row>
    <row r="2623" spans="27:27">
      <c r="AA2623" s="158" t="s">
        <v>6081</v>
      </c>
    </row>
    <row r="2624" spans="27:27">
      <c r="AA2624" s="158" t="s">
        <v>6082</v>
      </c>
    </row>
    <row r="2625" spans="27:27">
      <c r="AA2625" s="158" t="s">
        <v>6083</v>
      </c>
    </row>
    <row r="2626" spans="27:27">
      <c r="AA2626" s="158" t="s">
        <v>6084</v>
      </c>
    </row>
    <row r="2627" spans="27:27">
      <c r="AA2627" s="158" t="s">
        <v>6085</v>
      </c>
    </row>
    <row r="2628" spans="27:27">
      <c r="AA2628" s="158" t="s">
        <v>6086</v>
      </c>
    </row>
    <row r="2629" spans="27:27">
      <c r="AA2629" s="158" t="s">
        <v>6087</v>
      </c>
    </row>
    <row r="2630" spans="27:27">
      <c r="AA2630" s="158" t="s">
        <v>6088</v>
      </c>
    </row>
    <row r="2631" spans="27:27">
      <c r="AA2631" s="158" t="s">
        <v>6089</v>
      </c>
    </row>
    <row r="2632" spans="27:27">
      <c r="AA2632" s="158" t="s">
        <v>6090</v>
      </c>
    </row>
    <row r="2633" spans="27:27">
      <c r="AA2633" s="158" t="s">
        <v>1547</v>
      </c>
    </row>
    <row r="2634" spans="27:27">
      <c r="AA2634" s="158" t="s">
        <v>1548</v>
      </c>
    </row>
    <row r="2635" spans="27:27">
      <c r="AA2635" s="158" t="s">
        <v>3595</v>
      </c>
    </row>
    <row r="2636" spans="27:27">
      <c r="AA2636" s="158" t="s">
        <v>6091</v>
      </c>
    </row>
    <row r="2637" spans="27:27">
      <c r="AA2637" s="158" t="s">
        <v>6092</v>
      </c>
    </row>
    <row r="2638" spans="27:27">
      <c r="AA2638" s="158" t="s">
        <v>1549</v>
      </c>
    </row>
    <row r="2639" spans="27:27">
      <c r="AA2639" s="158" t="s">
        <v>6093</v>
      </c>
    </row>
    <row r="2640" spans="27:27">
      <c r="AA2640" s="158" t="s">
        <v>1550</v>
      </c>
    </row>
    <row r="2641" spans="27:27">
      <c r="AA2641" s="158" t="s">
        <v>3596</v>
      </c>
    </row>
    <row r="2642" spans="27:27">
      <c r="AA2642" s="158" t="s">
        <v>1551</v>
      </c>
    </row>
    <row r="2643" spans="27:27">
      <c r="AA2643" s="158" t="s">
        <v>6094</v>
      </c>
    </row>
    <row r="2644" spans="27:27">
      <c r="AA2644" s="158" t="s">
        <v>6095</v>
      </c>
    </row>
    <row r="2645" spans="27:27">
      <c r="AA2645" s="158" t="s">
        <v>6096</v>
      </c>
    </row>
    <row r="2646" spans="27:27">
      <c r="AA2646" s="158" t="s">
        <v>6097</v>
      </c>
    </row>
    <row r="2647" spans="27:27">
      <c r="AA2647" s="158" t="s">
        <v>6098</v>
      </c>
    </row>
    <row r="2648" spans="27:27">
      <c r="AA2648" s="158" t="s">
        <v>6099</v>
      </c>
    </row>
    <row r="2649" spans="27:27">
      <c r="AA2649" s="158" t="s">
        <v>6100</v>
      </c>
    </row>
    <row r="2650" spans="27:27">
      <c r="AA2650" s="158" t="s">
        <v>6101</v>
      </c>
    </row>
    <row r="2651" spans="27:27">
      <c r="AA2651" s="158" t="s">
        <v>6102</v>
      </c>
    </row>
    <row r="2652" spans="27:27">
      <c r="AA2652" s="158" t="s">
        <v>6103</v>
      </c>
    </row>
    <row r="2653" spans="27:27">
      <c r="AA2653" s="158" t="s">
        <v>6104</v>
      </c>
    </row>
    <row r="2654" spans="27:27">
      <c r="AA2654" s="158" t="s">
        <v>6105</v>
      </c>
    </row>
    <row r="2655" spans="27:27">
      <c r="AA2655" s="158" t="s">
        <v>6106</v>
      </c>
    </row>
    <row r="2656" spans="27:27">
      <c r="AA2656" s="158" t="s">
        <v>6107</v>
      </c>
    </row>
    <row r="2657" spans="27:27">
      <c r="AA2657" s="158" t="s">
        <v>6108</v>
      </c>
    </row>
    <row r="2658" spans="27:27">
      <c r="AA2658" s="158" t="s">
        <v>6109</v>
      </c>
    </row>
    <row r="2659" spans="27:27">
      <c r="AA2659" s="158" t="s">
        <v>6110</v>
      </c>
    </row>
    <row r="2660" spans="27:27">
      <c r="AA2660" s="158" t="s">
        <v>6111</v>
      </c>
    </row>
    <row r="2661" spans="27:27">
      <c r="AA2661" s="158" t="s">
        <v>1552</v>
      </c>
    </row>
    <row r="2662" spans="27:27">
      <c r="AA2662" s="158" t="s">
        <v>6112</v>
      </c>
    </row>
    <row r="2663" spans="27:27">
      <c r="AA2663" s="158" t="s">
        <v>6113</v>
      </c>
    </row>
    <row r="2664" spans="27:27">
      <c r="AA2664" s="158" t="s">
        <v>6114</v>
      </c>
    </row>
    <row r="2665" spans="27:27">
      <c r="AA2665" s="158" t="s">
        <v>6115</v>
      </c>
    </row>
    <row r="2666" spans="27:27">
      <c r="AA2666" s="158" t="s">
        <v>6116</v>
      </c>
    </row>
    <row r="2667" spans="27:27">
      <c r="AA2667" s="158" t="s">
        <v>6117</v>
      </c>
    </row>
    <row r="2668" spans="27:27">
      <c r="AA2668" s="158" t="s">
        <v>6118</v>
      </c>
    </row>
    <row r="2669" spans="27:27">
      <c r="AA2669" s="158" t="s">
        <v>6119</v>
      </c>
    </row>
    <row r="2670" spans="27:27">
      <c r="AA2670" s="158" t="s">
        <v>6120</v>
      </c>
    </row>
    <row r="2671" spans="27:27">
      <c r="AA2671" s="158" t="s">
        <v>6121</v>
      </c>
    </row>
    <row r="2672" spans="27:27">
      <c r="AA2672" s="158" t="s">
        <v>6122</v>
      </c>
    </row>
    <row r="2673" spans="27:27">
      <c r="AA2673" s="158" t="s">
        <v>6123</v>
      </c>
    </row>
    <row r="2674" spans="27:27">
      <c r="AA2674" s="158" t="s">
        <v>6124</v>
      </c>
    </row>
    <row r="2675" spans="27:27">
      <c r="AA2675" s="158" t="s">
        <v>6125</v>
      </c>
    </row>
    <row r="2676" spans="27:27">
      <c r="AA2676" s="158" t="s">
        <v>1553</v>
      </c>
    </row>
    <row r="2677" spans="27:27">
      <c r="AA2677" s="158" t="s">
        <v>3597</v>
      </c>
    </row>
    <row r="2678" spans="27:27">
      <c r="AA2678" s="158" t="s">
        <v>1554</v>
      </c>
    </row>
    <row r="2679" spans="27:27">
      <c r="AA2679" s="158" t="s">
        <v>6126</v>
      </c>
    </row>
    <row r="2680" spans="27:27">
      <c r="AA2680" s="158" t="s">
        <v>6127</v>
      </c>
    </row>
    <row r="2681" spans="27:27">
      <c r="AA2681" s="158" t="s">
        <v>1555</v>
      </c>
    </row>
    <row r="2682" spans="27:27">
      <c r="AA2682" s="158" t="s">
        <v>1556</v>
      </c>
    </row>
    <row r="2683" spans="27:27">
      <c r="AA2683" s="158" t="s">
        <v>3598</v>
      </c>
    </row>
    <row r="2684" spans="27:27">
      <c r="AA2684" s="158" t="s">
        <v>6128</v>
      </c>
    </row>
    <row r="2685" spans="27:27">
      <c r="AA2685" s="158" t="s">
        <v>6129</v>
      </c>
    </row>
    <row r="2686" spans="27:27">
      <c r="AA2686" s="158" t="s">
        <v>6130</v>
      </c>
    </row>
    <row r="2687" spans="27:27">
      <c r="AA2687" s="158" t="s">
        <v>6131</v>
      </c>
    </row>
    <row r="2688" spans="27:27">
      <c r="AA2688" s="158" t="s">
        <v>1557</v>
      </c>
    </row>
    <row r="2689" spans="27:27">
      <c r="AA2689" s="158" t="s">
        <v>1558</v>
      </c>
    </row>
    <row r="2690" spans="27:27">
      <c r="AA2690" s="158" t="s">
        <v>3599</v>
      </c>
    </row>
    <row r="2691" spans="27:27">
      <c r="AA2691" s="158" t="s">
        <v>1559</v>
      </c>
    </row>
    <row r="2692" spans="27:27">
      <c r="AA2692" s="158" t="s">
        <v>6132</v>
      </c>
    </row>
    <row r="2693" spans="27:27">
      <c r="AA2693" s="158" t="s">
        <v>6133</v>
      </c>
    </row>
    <row r="2694" spans="27:27">
      <c r="AA2694" s="158" t="s">
        <v>6134</v>
      </c>
    </row>
    <row r="2695" spans="27:27">
      <c r="AA2695" s="158" t="s">
        <v>6135</v>
      </c>
    </row>
    <row r="2696" spans="27:27">
      <c r="AA2696" s="158" t="s">
        <v>6136</v>
      </c>
    </row>
    <row r="2697" spans="27:27">
      <c r="AA2697" s="158" t="s">
        <v>6137</v>
      </c>
    </row>
    <row r="2698" spans="27:27">
      <c r="AA2698" s="158" t="s">
        <v>6138</v>
      </c>
    </row>
    <row r="2699" spans="27:27">
      <c r="AA2699" s="158" t="s">
        <v>6139</v>
      </c>
    </row>
    <row r="2700" spans="27:27">
      <c r="AA2700" s="158" t="s">
        <v>6140</v>
      </c>
    </row>
    <row r="2701" spans="27:27">
      <c r="AA2701" s="158" t="s">
        <v>6141</v>
      </c>
    </row>
    <row r="2702" spans="27:27">
      <c r="AA2702" s="158" t="s">
        <v>6142</v>
      </c>
    </row>
    <row r="2703" spans="27:27">
      <c r="AA2703" s="158" t="s">
        <v>6143</v>
      </c>
    </row>
    <row r="2704" spans="27:27">
      <c r="AA2704" s="158" t="s">
        <v>1560</v>
      </c>
    </row>
    <row r="2705" spans="27:27">
      <c r="AA2705" s="158" t="s">
        <v>6144</v>
      </c>
    </row>
    <row r="2706" spans="27:27">
      <c r="AA2706" s="158" t="s">
        <v>6145</v>
      </c>
    </row>
    <row r="2707" spans="27:27">
      <c r="AA2707" s="158" t="s">
        <v>6146</v>
      </c>
    </row>
    <row r="2708" spans="27:27">
      <c r="AA2708" s="158" t="s">
        <v>6147</v>
      </c>
    </row>
    <row r="2709" spans="27:27">
      <c r="AA2709" s="158" t="s">
        <v>6148</v>
      </c>
    </row>
    <row r="2710" spans="27:27">
      <c r="AA2710" s="158" t="s">
        <v>6149</v>
      </c>
    </row>
    <row r="2711" spans="27:27">
      <c r="AA2711" s="158" t="s">
        <v>6150</v>
      </c>
    </row>
    <row r="2712" spans="27:27">
      <c r="AA2712" s="158" t="s">
        <v>6151</v>
      </c>
    </row>
    <row r="2713" spans="27:27">
      <c r="AA2713" s="158" t="s">
        <v>6152</v>
      </c>
    </row>
    <row r="2714" spans="27:27">
      <c r="AA2714" s="158" t="s">
        <v>6153</v>
      </c>
    </row>
    <row r="2715" spans="27:27">
      <c r="AA2715" s="158" t="s">
        <v>6154</v>
      </c>
    </row>
    <row r="2716" spans="27:27">
      <c r="AA2716" s="158" t="s">
        <v>6155</v>
      </c>
    </row>
    <row r="2717" spans="27:27">
      <c r="AA2717" s="158" t="s">
        <v>1561</v>
      </c>
    </row>
    <row r="2718" spans="27:27">
      <c r="AA2718" s="158" t="s">
        <v>3600</v>
      </c>
    </row>
    <row r="2719" spans="27:27">
      <c r="AA2719" s="158" t="s">
        <v>1562</v>
      </c>
    </row>
    <row r="2720" spans="27:27">
      <c r="AA2720" s="158" t="s">
        <v>6156</v>
      </c>
    </row>
    <row r="2721" spans="27:27">
      <c r="AA2721" s="158" t="s">
        <v>6157</v>
      </c>
    </row>
    <row r="2722" spans="27:27">
      <c r="AA2722" s="158" t="s">
        <v>1563</v>
      </c>
    </row>
    <row r="2723" spans="27:27">
      <c r="AA2723" s="158" t="s">
        <v>6158</v>
      </c>
    </row>
    <row r="2724" spans="27:27">
      <c r="AA2724" s="158" t="s">
        <v>6159</v>
      </c>
    </row>
    <row r="2725" spans="27:27">
      <c r="AA2725" s="158" t="s">
        <v>6160</v>
      </c>
    </row>
    <row r="2726" spans="27:27">
      <c r="AA2726" s="158" t="s">
        <v>1564</v>
      </c>
    </row>
    <row r="2727" spans="27:27">
      <c r="AA2727" s="158" t="s">
        <v>3601</v>
      </c>
    </row>
    <row r="2728" spans="27:27">
      <c r="AA2728" s="158" t="s">
        <v>1565</v>
      </c>
    </row>
    <row r="2729" spans="27:27">
      <c r="AA2729" s="158" t="s">
        <v>3602</v>
      </c>
    </row>
    <row r="2730" spans="27:27">
      <c r="AA2730" s="158" t="s">
        <v>6161</v>
      </c>
    </row>
    <row r="2731" spans="27:27">
      <c r="AA2731" s="158" t="s">
        <v>6162</v>
      </c>
    </row>
    <row r="2732" spans="27:27">
      <c r="AA2732" s="158" t="s">
        <v>6163</v>
      </c>
    </row>
    <row r="2733" spans="27:27">
      <c r="AA2733" s="158" t="s">
        <v>6164</v>
      </c>
    </row>
    <row r="2734" spans="27:27">
      <c r="AA2734" s="158" t="s">
        <v>6165</v>
      </c>
    </row>
    <row r="2735" spans="27:27">
      <c r="AA2735" s="158" t="s">
        <v>6166</v>
      </c>
    </row>
    <row r="2736" spans="27:27">
      <c r="AA2736" s="158" t="s">
        <v>6167</v>
      </c>
    </row>
    <row r="2737" spans="27:27">
      <c r="AA2737" s="158" t="s">
        <v>6168</v>
      </c>
    </row>
    <row r="2738" spans="27:27">
      <c r="AA2738" s="158" t="s">
        <v>6169</v>
      </c>
    </row>
    <row r="2739" spans="27:27">
      <c r="AA2739" s="158" t="s">
        <v>6170</v>
      </c>
    </row>
    <row r="2740" spans="27:27">
      <c r="AA2740" s="158" t="s">
        <v>6171</v>
      </c>
    </row>
    <row r="2741" spans="27:27">
      <c r="AA2741" s="158" t="s">
        <v>6172</v>
      </c>
    </row>
    <row r="2742" spans="27:27">
      <c r="AA2742" s="158" t="s">
        <v>1566</v>
      </c>
    </row>
    <row r="2743" spans="27:27">
      <c r="AA2743" s="158" t="s">
        <v>6173</v>
      </c>
    </row>
    <row r="2744" spans="27:27">
      <c r="AA2744" s="158" t="s">
        <v>6174</v>
      </c>
    </row>
    <row r="2745" spans="27:27">
      <c r="AA2745" s="158" t="s">
        <v>6175</v>
      </c>
    </row>
    <row r="2746" spans="27:27">
      <c r="AA2746" s="158" t="s">
        <v>1567</v>
      </c>
    </row>
    <row r="2747" spans="27:27">
      <c r="AA2747" s="158" t="s">
        <v>6176</v>
      </c>
    </row>
    <row r="2748" spans="27:27">
      <c r="AA2748" s="158" t="s">
        <v>1568</v>
      </c>
    </row>
    <row r="2749" spans="27:27">
      <c r="AA2749" s="158" t="s">
        <v>3603</v>
      </c>
    </row>
    <row r="2750" spans="27:27">
      <c r="AA2750" s="158" t="s">
        <v>6177</v>
      </c>
    </row>
    <row r="2751" spans="27:27">
      <c r="AA2751" s="158" t="s">
        <v>6178</v>
      </c>
    </row>
    <row r="2752" spans="27:27">
      <c r="AA2752" s="158" t="s">
        <v>6179</v>
      </c>
    </row>
    <row r="2753" spans="27:27">
      <c r="AA2753" s="158" t="s">
        <v>6180</v>
      </c>
    </row>
    <row r="2754" spans="27:27">
      <c r="AA2754" s="158" t="s">
        <v>6181</v>
      </c>
    </row>
    <row r="2755" spans="27:27">
      <c r="AA2755" s="158" t="s">
        <v>6182</v>
      </c>
    </row>
    <row r="2756" spans="27:27">
      <c r="AA2756" s="158" t="s">
        <v>6183</v>
      </c>
    </row>
    <row r="2757" spans="27:27">
      <c r="AA2757" s="158" t="s">
        <v>1569</v>
      </c>
    </row>
    <row r="2758" spans="27:27">
      <c r="AA2758" s="158" t="s">
        <v>6184</v>
      </c>
    </row>
    <row r="2759" spans="27:27">
      <c r="AA2759" s="158" t="s">
        <v>6185</v>
      </c>
    </row>
    <row r="2760" spans="27:27">
      <c r="AA2760" s="158" t="s">
        <v>6186</v>
      </c>
    </row>
    <row r="2761" spans="27:27">
      <c r="AA2761" s="158" t="s">
        <v>6187</v>
      </c>
    </row>
    <row r="2762" spans="27:27">
      <c r="AA2762" s="158" t="s">
        <v>6188</v>
      </c>
    </row>
    <row r="2763" spans="27:27">
      <c r="AA2763" s="158" t="s">
        <v>6189</v>
      </c>
    </row>
    <row r="2764" spans="27:27">
      <c r="AA2764" s="158" t="s">
        <v>6190</v>
      </c>
    </row>
    <row r="2765" spans="27:27">
      <c r="AA2765" s="158" t="s">
        <v>6191</v>
      </c>
    </row>
    <row r="2766" spans="27:27">
      <c r="AA2766" s="158" t="s">
        <v>6192</v>
      </c>
    </row>
    <row r="2767" spans="27:27">
      <c r="AA2767" s="158" t="s">
        <v>6193</v>
      </c>
    </row>
    <row r="2768" spans="27:27">
      <c r="AA2768" s="158" t="s">
        <v>6194</v>
      </c>
    </row>
    <row r="2769" spans="27:27">
      <c r="AA2769" s="158" t="s">
        <v>1570</v>
      </c>
    </row>
    <row r="2770" spans="27:27">
      <c r="AA2770" s="158" t="s">
        <v>6195</v>
      </c>
    </row>
    <row r="2771" spans="27:27">
      <c r="AA2771" s="158" t="s">
        <v>6196</v>
      </c>
    </row>
    <row r="2772" spans="27:27">
      <c r="AA2772" s="158" t="s">
        <v>6197</v>
      </c>
    </row>
    <row r="2773" spans="27:27">
      <c r="AA2773" s="158" t="s">
        <v>6198</v>
      </c>
    </row>
    <row r="2774" spans="27:27">
      <c r="AA2774" s="158" t="s">
        <v>6199</v>
      </c>
    </row>
    <row r="2775" spans="27:27">
      <c r="AA2775" s="158" t="s">
        <v>6200</v>
      </c>
    </row>
    <row r="2776" spans="27:27">
      <c r="AA2776" s="158" t="s">
        <v>6201</v>
      </c>
    </row>
    <row r="2777" spans="27:27">
      <c r="AA2777" s="158" t="s">
        <v>1571</v>
      </c>
    </row>
    <row r="2778" spans="27:27">
      <c r="AA2778" s="158" t="s">
        <v>6202</v>
      </c>
    </row>
    <row r="2779" spans="27:27">
      <c r="AA2779" s="158" t="s">
        <v>1572</v>
      </c>
    </row>
    <row r="2780" spans="27:27">
      <c r="AA2780" s="158" t="s">
        <v>3604</v>
      </c>
    </row>
    <row r="2781" spans="27:27">
      <c r="AA2781" s="158" t="s">
        <v>6203</v>
      </c>
    </row>
    <row r="2782" spans="27:27">
      <c r="AA2782" s="158" t="s">
        <v>6204</v>
      </c>
    </row>
    <row r="2783" spans="27:27">
      <c r="AA2783" s="158" t="s">
        <v>6205</v>
      </c>
    </row>
    <row r="2784" spans="27:27">
      <c r="AA2784" s="158" t="s">
        <v>6206</v>
      </c>
    </row>
    <row r="2785" spans="27:27">
      <c r="AA2785" s="158" t="s">
        <v>1573</v>
      </c>
    </row>
    <row r="2786" spans="27:27">
      <c r="AA2786" s="158" t="s">
        <v>1574</v>
      </c>
    </row>
    <row r="2787" spans="27:27">
      <c r="AA2787" s="158" t="s">
        <v>1575</v>
      </c>
    </row>
    <row r="2788" spans="27:27">
      <c r="AA2788" s="158" t="s">
        <v>6207</v>
      </c>
    </row>
    <row r="2789" spans="27:27">
      <c r="AA2789" s="158" t="s">
        <v>6208</v>
      </c>
    </row>
    <row r="2790" spans="27:27">
      <c r="AA2790" s="158" t="s">
        <v>6209</v>
      </c>
    </row>
    <row r="2791" spans="27:27">
      <c r="AA2791" s="158" t="s">
        <v>6210</v>
      </c>
    </row>
    <row r="2792" spans="27:27">
      <c r="AA2792" s="158" t="s">
        <v>6211</v>
      </c>
    </row>
    <row r="2793" spans="27:27">
      <c r="AA2793" s="158" t="s">
        <v>6212</v>
      </c>
    </row>
    <row r="2794" spans="27:27">
      <c r="AA2794" s="158" t="s">
        <v>6213</v>
      </c>
    </row>
    <row r="2795" spans="27:27">
      <c r="AA2795" s="158" t="s">
        <v>6214</v>
      </c>
    </row>
    <row r="2796" spans="27:27">
      <c r="AA2796" s="158" t="s">
        <v>1576</v>
      </c>
    </row>
    <row r="2797" spans="27:27">
      <c r="AA2797" s="158" t="s">
        <v>6215</v>
      </c>
    </row>
    <row r="2798" spans="27:27">
      <c r="AA2798" s="158" t="s">
        <v>6216</v>
      </c>
    </row>
    <row r="2799" spans="27:27">
      <c r="AA2799" s="158" t="s">
        <v>1577</v>
      </c>
    </row>
    <row r="2800" spans="27:27">
      <c r="AA2800" s="158" t="s">
        <v>6217</v>
      </c>
    </row>
    <row r="2801" spans="27:27">
      <c r="AA2801" s="158" t="s">
        <v>6218</v>
      </c>
    </row>
    <row r="2802" spans="27:27">
      <c r="AA2802" s="158" t="s">
        <v>6219</v>
      </c>
    </row>
    <row r="2803" spans="27:27">
      <c r="AA2803" s="158" t="s">
        <v>6220</v>
      </c>
    </row>
    <row r="2804" spans="27:27">
      <c r="AA2804" s="158" t="s">
        <v>6221</v>
      </c>
    </row>
    <row r="2805" spans="27:27">
      <c r="AA2805" s="158" t="s">
        <v>1578</v>
      </c>
    </row>
    <row r="2806" spans="27:27">
      <c r="AA2806" s="158" t="s">
        <v>6222</v>
      </c>
    </row>
    <row r="2807" spans="27:27">
      <c r="AA2807" s="158" t="s">
        <v>6223</v>
      </c>
    </row>
    <row r="2808" spans="27:27">
      <c r="AA2808" s="158" t="s">
        <v>6224</v>
      </c>
    </row>
    <row r="2809" spans="27:27">
      <c r="AA2809" s="158" t="s">
        <v>6225</v>
      </c>
    </row>
    <row r="2810" spans="27:27">
      <c r="AA2810" s="158" t="s">
        <v>6226</v>
      </c>
    </row>
    <row r="2811" spans="27:27">
      <c r="AA2811" s="158" t="s">
        <v>6227</v>
      </c>
    </row>
    <row r="2812" spans="27:27">
      <c r="AA2812" s="158" t="s">
        <v>6228</v>
      </c>
    </row>
    <row r="2813" spans="27:27">
      <c r="AA2813" s="158" t="s">
        <v>1579</v>
      </c>
    </row>
    <row r="2814" spans="27:27">
      <c r="AA2814" s="158" t="s">
        <v>3605</v>
      </c>
    </row>
    <row r="2815" spans="27:27">
      <c r="AA2815" s="158" t="s">
        <v>1580</v>
      </c>
    </row>
    <row r="2816" spans="27:27">
      <c r="AA2816" s="158" t="s">
        <v>6229</v>
      </c>
    </row>
    <row r="2817" spans="27:27">
      <c r="AA2817" s="158" t="s">
        <v>6230</v>
      </c>
    </row>
    <row r="2818" spans="27:27">
      <c r="AA2818" s="158" t="s">
        <v>6231</v>
      </c>
    </row>
    <row r="2819" spans="27:27">
      <c r="AA2819" s="158" t="s">
        <v>6232</v>
      </c>
    </row>
    <row r="2820" spans="27:27">
      <c r="AA2820" s="158" t="s">
        <v>6233</v>
      </c>
    </row>
    <row r="2821" spans="27:27">
      <c r="AA2821" s="158" t="s">
        <v>6234</v>
      </c>
    </row>
    <row r="2822" spans="27:27">
      <c r="AA2822" s="158" t="s">
        <v>6235</v>
      </c>
    </row>
    <row r="2823" spans="27:27">
      <c r="AA2823" s="158" t="s">
        <v>6236</v>
      </c>
    </row>
    <row r="2824" spans="27:27">
      <c r="AA2824" s="158" t="s">
        <v>1581</v>
      </c>
    </row>
    <row r="2825" spans="27:27">
      <c r="AA2825" s="158" t="s">
        <v>1582</v>
      </c>
    </row>
    <row r="2826" spans="27:27">
      <c r="AA2826" s="158" t="s">
        <v>6237</v>
      </c>
    </row>
    <row r="2827" spans="27:27">
      <c r="AA2827" s="158" t="s">
        <v>6238</v>
      </c>
    </row>
    <row r="2828" spans="27:27">
      <c r="AA2828" s="158" t="s">
        <v>6239</v>
      </c>
    </row>
    <row r="2829" spans="27:27">
      <c r="AA2829" s="158" t="s">
        <v>1583</v>
      </c>
    </row>
    <row r="2830" spans="27:27">
      <c r="AA2830" s="158" t="s">
        <v>6240</v>
      </c>
    </row>
    <row r="2831" spans="27:27">
      <c r="AA2831" s="158" t="s">
        <v>1584</v>
      </c>
    </row>
    <row r="2832" spans="27:27">
      <c r="AA2832" s="158" t="s">
        <v>6241</v>
      </c>
    </row>
    <row r="2833" spans="27:27">
      <c r="AA2833" s="158" t="s">
        <v>1585</v>
      </c>
    </row>
    <row r="2834" spans="27:27">
      <c r="AA2834" s="158" t="s">
        <v>6242</v>
      </c>
    </row>
    <row r="2835" spans="27:27">
      <c r="AA2835" s="158" t="s">
        <v>1586</v>
      </c>
    </row>
    <row r="2836" spans="27:27">
      <c r="AA2836" s="158" t="s">
        <v>6243</v>
      </c>
    </row>
    <row r="2837" spans="27:27">
      <c r="AA2837" s="158" t="s">
        <v>6244</v>
      </c>
    </row>
    <row r="2838" spans="27:27">
      <c r="AA2838" s="158" t="s">
        <v>6245</v>
      </c>
    </row>
    <row r="2839" spans="27:27">
      <c r="AA2839" s="158" t="s">
        <v>6246</v>
      </c>
    </row>
    <row r="2840" spans="27:27">
      <c r="AA2840" s="158" t="s">
        <v>6247</v>
      </c>
    </row>
    <row r="2841" spans="27:27">
      <c r="AA2841" s="158" t="s">
        <v>6248</v>
      </c>
    </row>
    <row r="2842" spans="27:27">
      <c r="AA2842" s="158" t="s">
        <v>6249</v>
      </c>
    </row>
    <row r="2843" spans="27:27">
      <c r="AA2843" s="158" t="s">
        <v>1587</v>
      </c>
    </row>
    <row r="2844" spans="27:27">
      <c r="AA2844" s="158" t="s">
        <v>1588</v>
      </c>
    </row>
    <row r="2845" spans="27:27">
      <c r="AA2845" s="158" t="s">
        <v>1589</v>
      </c>
    </row>
    <row r="2846" spans="27:27">
      <c r="AA2846" s="158" t="s">
        <v>6250</v>
      </c>
    </row>
    <row r="2847" spans="27:27">
      <c r="AA2847" s="158" t="s">
        <v>6251</v>
      </c>
    </row>
    <row r="2848" spans="27:27">
      <c r="AA2848" s="158" t="s">
        <v>6252</v>
      </c>
    </row>
    <row r="2849" spans="27:27">
      <c r="AA2849" s="158" t="s">
        <v>6253</v>
      </c>
    </row>
    <row r="2850" spans="27:27">
      <c r="AA2850" s="158" t="s">
        <v>6254</v>
      </c>
    </row>
    <row r="2851" spans="27:27">
      <c r="AA2851" s="158" t="s">
        <v>6255</v>
      </c>
    </row>
    <row r="2852" spans="27:27">
      <c r="AA2852" s="158" t="s">
        <v>6256</v>
      </c>
    </row>
    <row r="2853" spans="27:27">
      <c r="AA2853" s="158" t="s">
        <v>6257</v>
      </c>
    </row>
    <row r="2854" spans="27:27">
      <c r="AA2854" s="158" t="s">
        <v>6258</v>
      </c>
    </row>
    <row r="2855" spans="27:27">
      <c r="AA2855" s="158" t="s">
        <v>1590</v>
      </c>
    </row>
    <row r="2856" spans="27:27">
      <c r="AA2856" s="158" t="s">
        <v>6259</v>
      </c>
    </row>
    <row r="2857" spans="27:27">
      <c r="AA2857" s="158" t="s">
        <v>1591</v>
      </c>
    </row>
    <row r="2858" spans="27:27">
      <c r="AA2858" s="158" t="s">
        <v>6260</v>
      </c>
    </row>
    <row r="2859" spans="27:27">
      <c r="AA2859" s="158" t="s">
        <v>6261</v>
      </c>
    </row>
    <row r="2860" spans="27:27">
      <c r="AA2860" s="158" t="s">
        <v>6262</v>
      </c>
    </row>
    <row r="2861" spans="27:27">
      <c r="AA2861" s="158" t="s">
        <v>6263</v>
      </c>
    </row>
    <row r="2862" spans="27:27">
      <c r="AA2862" s="158" t="s">
        <v>6264</v>
      </c>
    </row>
    <row r="2863" spans="27:27">
      <c r="AA2863" s="158" t="s">
        <v>1592</v>
      </c>
    </row>
    <row r="2864" spans="27:27">
      <c r="AA2864" s="158" t="s">
        <v>6265</v>
      </c>
    </row>
    <row r="2865" spans="27:27">
      <c r="AA2865" s="158" t="s">
        <v>6266</v>
      </c>
    </row>
    <row r="2866" spans="27:27">
      <c r="AA2866" s="158" t="s">
        <v>6267</v>
      </c>
    </row>
    <row r="2867" spans="27:27">
      <c r="AA2867" s="158" t="s">
        <v>1593</v>
      </c>
    </row>
    <row r="2868" spans="27:27">
      <c r="AA2868" s="158" t="s">
        <v>6268</v>
      </c>
    </row>
    <row r="2869" spans="27:27">
      <c r="AA2869" s="158" t="s">
        <v>6269</v>
      </c>
    </row>
    <row r="2870" spans="27:27">
      <c r="AA2870" s="158" t="s">
        <v>6270</v>
      </c>
    </row>
    <row r="2871" spans="27:27">
      <c r="AA2871" s="158" t="s">
        <v>6271</v>
      </c>
    </row>
    <row r="2872" spans="27:27">
      <c r="AA2872" s="158" t="s">
        <v>6272</v>
      </c>
    </row>
    <row r="2873" spans="27:27">
      <c r="AA2873" s="158" t="s">
        <v>6273</v>
      </c>
    </row>
    <row r="2874" spans="27:27">
      <c r="AA2874" s="158" t="s">
        <v>6274</v>
      </c>
    </row>
    <row r="2875" spans="27:27">
      <c r="AA2875" s="158" t="s">
        <v>6275</v>
      </c>
    </row>
    <row r="2876" spans="27:27">
      <c r="AA2876" s="158" t="s">
        <v>6276</v>
      </c>
    </row>
    <row r="2877" spans="27:27">
      <c r="AA2877" s="158" t="s">
        <v>1594</v>
      </c>
    </row>
    <row r="2878" spans="27:27">
      <c r="AA2878" s="158" t="s">
        <v>6277</v>
      </c>
    </row>
    <row r="2879" spans="27:27">
      <c r="AA2879" s="158" t="s">
        <v>183</v>
      </c>
    </row>
    <row r="2880" spans="27:27">
      <c r="AA2880" s="158" t="s">
        <v>6278</v>
      </c>
    </row>
    <row r="2881" spans="27:27">
      <c r="AA2881" s="158" t="s">
        <v>6279</v>
      </c>
    </row>
    <row r="2882" spans="27:27">
      <c r="AA2882" s="158" t="s">
        <v>6280</v>
      </c>
    </row>
    <row r="2883" spans="27:27">
      <c r="AA2883" s="158" t="s">
        <v>6281</v>
      </c>
    </row>
    <row r="2884" spans="27:27">
      <c r="AA2884" s="158" t="s">
        <v>6282</v>
      </c>
    </row>
    <row r="2885" spans="27:27">
      <c r="AA2885" s="158" t="s">
        <v>6283</v>
      </c>
    </row>
    <row r="2886" spans="27:27">
      <c r="AA2886" s="158" t="s">
        <v>6284</v>
      </c>
    </row>
    <row r="2887" spans="27:27">
      <c r="AA2887" s="158" t="s">
        <v>6285</v>
      </c>
    </row>
    <row r="2888" spans="27:27">
      <c r="AA2888" s="158" t="s">
        <v>6286</v>
      </c>
    </row>
    <row r="2889" spans="27:27">
      <c r="AA2889" s="158" t="s">
        <v>6287</v>
      </c>
    </row>
    <row r="2890" spans="27:27">
      <c r="AA2890" s="158" t="s">
        <v>6288</v>
      </c>
    </row>
    <row r="2891" spans="27:27">
      <c r="AA2891" s="158" t="s">
        <v>6289</v>
      </c>
    </row>
    <row r="2892" spans="27:27">
      <c r="AA2892" s="158" t="s">
        <v>6290</v>
      </c>
    </row>
    <row r="2893" spans="27:27">
      <c r="AA2893" s="158" t="s">
        <v>6291</v>
      </c>
    </row>
    <row r="2894" spans="27:27">
      <c r="AA2894" s="158" t="s">
        <v>1595</v>
      </c>
    </row>
    <row r="2895" spans="27:27">
      <c r="AA2895" s="158" t="s">
        <v>3606</v>
      </c>
    </row>
    <row r="2896" spans="27:27">
      <c r="AA2896" s="158" t="s">
        <v>1596</v>
      </c>
    </row>
    <row r="2897" spans="27:27">
      <c r="AA2897" s="158" t="s">
        <v>6292</v>
      </c>
    </row>
    <row r="2898" spans="27:27">
      <c r="AA2898" s="158" t="s">
        <v>1597</v>
      </c>
    </row>
    <row r="2899" spans="27:27">
      <c r="AA2899" s="158" t="s">
        <v>6293</v>
      </c>
    </row>
    <row r="2900" spans="27:27">
      <c r="AA2900" s="158" t="s">
        <v>6294</v>
      </c>
    </row>
    <row r="2901" spans="27:27">
      <c r="AA2901" s="158" t="s">
        <v>6295</v>
      </c>
    </row>
    <row r="2902" spans="27:27">
      <c r="AA2902" s="158" t="s">
        <v>1598</v>
      </c>
    </row>
    <row r="2903" spans="27:27">
      <c r="AA2903" s="158" t="s">
        <v>6296</v>
      </c>
    </row>
    <row r="2904" spans="27:27">
      <c r="AA2904" s="158" t="s">
        <v>1599</v>
      </c>
    </row>
    <row r="2905" spans="27:27">
      <c r="AA2905" s="158" t="s">
        <v>6297</v>
      </c>
    </row>
    <row r="2906" spans="27:27">
      <c r="AA2906" s="158" t="s">
        <v>6298</v>
      </c>
    </row>
    <row r="2907" spans="27:27">
      <c r="AA2907" s="158" t="s">
        <v>6299</v>
      </c>
    </row>
    <row r="2908" spans="27:27">
      <c r="AA2908" s="158" t="s">
        <v>6300</v>
      </c>
    </row>
    <row r="2909" spans="27:27">
      <c r="AA2909" s="158" t="s">
        <v>6301</v>
      </c>
    </row>
    <row r="2910" spans="27:27">
      <c r="AA2910" s="158" t="s">
        <v>6302</v>
      </c>
    </row>
    <row r="2911" spans="27:27">
      <c r="AA2911" s="158" t="s">
        <v>1600</v>
      </c>
    </row>
    <row r="2912" spans="27:27">
      <c r="AA2912" s="158" t="s">
        <v>6303</v>
      </c>
    </row>
    <row r="2913" spans="27:27">
      <c r="AA2913" s="158" t="s">
        <v>6304</v>
      </c>
    </row>
    <row r="2914" spans="27:27">
      <c r="AA2914" s="158" t="s">
        <v>6305</v>
      </c>
    </row>
    <row r="2915" spans="27:27">
      <c r="AA2915" s="158" t="s">
        <v>1601</v>
      </c>
    </row>
    <row r="2916" spans="27:27">
      <c r="AA2916" s="158" t="s">
        <v>6306</v>
      </c>
    </row>
    <row r="2917" spans="27:27">
      <c r="AA2917" s="158" t="s">
        <v>6307</v>
      </c>
    </row>
    <row r="2918" spans="27:27">
      <c r="AA2918" s="158" t="s">
        <v>6308</v>
      </c>
    </row>
    <row r="2919" spans="27:27">
      <c r="AA2919" s="158" t="s">
        <v>6309</v>
      </c>
    </row>
    <row r="2920" spans="27:27">
      <c r="AA2920" s="158" t="s">
        <v>6310</v>
      </c>
    </row>
    <row r="2921" spans="27:27">
      <c r="AA2921" s="158" t="s">
        <v>6311</v>
      </c>
    </row>
    <row r="2922" spans="27:27">
      <c r="AA2922" s="158" t="s">
        <v>6312</v>
      </c>
    </row>
    <row r="2923" spans="27:27">
      <c r="AA2923" s="158" t="s">
        <v>6313</v>
      </c>
    </row>
    <row r="2924" spans="27:27">
      <c r="AA2924" s="158" t="s">
        <v>6314</v>
      </c>
    </row>
    <row r="2925" spans="27:27">
      <c r="AA2925" s="158" t="s">
        <v>1602</v>
      </c>
    </row>
    <row r="2926" spans="27:27">
      <c r="AA2926" s="158" t="s">
        <v>6315</v>
      </c>
    </row>
    <row r="2927" spans="27:27">
      <c r="AA2927" s="158" t="s">
        <v>1603</v>
      </c>
    </row>
    <row r="2928" spans="27:27">
      <c r="AA2928" s="158" t="s">
        <v>6316</v>
      </c>
    </row>
    <row r="2929" spans="27:27">
      <c r="AA2929" s="158" t="s">
        <v>1604</v>
      </c>
    </row>
    <row r="2930" spans="27:27">
      <c r="AA2930" s="158" t="s">
        <v>6317</v>
      </c>
    </row>
    <row r="2931" spans="27:27">
      <c r="AA2931" s="158" t="s">
        <v>1605</v>
      </c>
    </row>
    <row r="2932" spans="27:27">
      <c r="AA2932" s="158" t="s">
        <v>1606</v>
      </c>
    </row>
    <row r="2933" spans="27:27">
      <c r="AA2933" s="158" t="s">
        <v>3607</v>
      </c>
    </row>
    <row r="2934" spans="27:27">
      <c r="AA2934" s="158" t="s">
        <v>1607</v>
      </c>
    </row>
    <row r="2935" spans="27:27">
      <c r="AA2935" s="158" t="s">
        <v>6318</v>
      </c>
    </row>
    <row r="2936" spans="27:27">
      <c r="AA2936" s="158" t="s">
        <v>6319</v>
      </c>
    </row>
    <row r="2937" spans="27:27">
      <c r="AA2937" s="158" t="s">
        <v>6320</v>
      </c>
    </row>
    <row r="2938" spans="27:27">
      <c r="AA2938" s="158" t="s">
        <v>6321</v>
      </c>
    </row>
    <row r="2939" spans="27:27">
      <c r="AA2939" s="158" t="s">
        <v>6322</v>
      </c>
    </row>
    <row r="2940" spans="27:27">
      <c r="AA2940" s="158" t="s">
        <v>6323</v>
      </c>
    </row>
    <row r="2941" spans="27:27">
      <c r="AA2941" s="158" t="s">
        <v>6324</v>
      </c>
    </row>
    <row r="2942" spans="27:27">
      <c r="AA2942" s="158" t="s">
        <v>6325</v>
      </c>
    </row>
    <row r="2943" spans="27:27">
      <c r="AA2943" s="158" t="s">
        <v>6326</v>
      </c>
    </row>
    <row r="2944" spans="27:27">
      <c r="AA2944" s="158" t="s">
        <v>1608</v>
      </c>
    </row>
    <row r="2945" spans="27:27">
      <c r="AA2945" s="158" t="s">
        <v>3608</v>
      </c>
    </row>
    <row r="2946" spans="27:27">
      <c r="AA2946" s="158" t="s">
        <v>1609</v>
      </c>
    </row>
    <row r="2947" spans="27:27">
      <c r="AA2947" s="158" t="s">
        <v>6327</v>
      </c>
    </row>
    <row r="2948" spans="27:27">
      <c r="AA2948" s="158" t="s">
        <v>6328</v>
      </c>
    </row>
    <row r="2949" spans="27:27">
      <c r="AA2949" s="158" t="s">
        <v>6329</v>
      </c>
    </row>
    <row r="2950" spans="27:27">
      <c r="AA2950" s="158" t="s">
        <v>6330</v>
      </c>
    </row>
    <row r="2951" spans="27:27">
      <c r="AA2951" s="158" t="s">
        <v>6331</v>
      </c>
    </row>
    <row r="2952" spans="27:27">
      <c r="AA2952" s="158" t="s">
        <v>6332</v>
      </c>
    </row>
    <row r="2953" spans="27:27">
      <c r="AA2953" s="158" t="s">
        <v>6333</v>
      </c>
    </row>
    <row r="2954" spans="27:27">
      <c r="AA2954" s="158" t="s">
        <v>6334</v>
      </c>
    </row>
    <row r="2955" spans="27:27">
      <c r="AA2955" s="158" t="s">
        <v>6335</v>
      </c>
    </row>
    <row r="2956" spans="27:27">
      <c r="AA2956" s="158" t="s">
        <v>6336</v>
      </c>
    </row>
    <row r="2957" spans="27:27">
      <c r="AA2957" s="158" t="s">
        <v>1610</v>
      </c>
    </row>
    <row r="2958" spans="27:27">
      <c r="AA2958" s="158" t="s">
        <v>3609</v>
      </c>
    </row>
    <row r="2959" spans="27:27">
      <c r="AA2959" s="158" t="s">
        <v>1611</v>
      </c>
    </row>
    <row r="2960" spans="27:27">
      <c r="AA2960" s="158" t="s">
        <v>6337</v>
      </c>
    </row>
    <row r="2961" spans="27:27">
      <c r="AA2961" s="158" t="s">
        <v>6338</v>
      </c>
    </row>
    <row r="2962" spans="27:27">
      <c r="AA2962" s="158" t="s">
        <v>6339</v>
      </c>
    </row>
    <row r="2963" spans="27:27">
      <c r="AA2963" s="158" t="s">
        <v>6340</v>
      </c>
    </row>
    <row r="2964" spans="27:27">
      <c r="AA2964" s="158" t="s">
        <v>6341</v>
      </c>
    </row>
    <row r="2965" spans="27:27">
      <c r="AA2965" s="158" t="s">
        <v>3610</v>
      </c>
    </row>
    <row r="2966" spans="27:27">
      <c r="AA2966" s="158" t="s">
        <v>6342</v>
      </c>
    </row>
    <row r="2967" spans="27:27">
      <c r="AA2967" s="158" t="s">
        <v>6343</v>
      </c>
    </row>
    <row r="2968" spans="27:27">
      <c r="AA2968" s="158" t="s">
        <v>6344</v>
      </c>
    </row>
    <row r="2969" spans="27:27">
      <c r="AA2969" s="158" t="s">
        <v>6345</v>
      </c>
    </row>
    <row r="2970" spans="27:27">
      <c r="AA2970" s="158" t="s">
        <v>1612</v>
      </c>
    </row>
    <row r="2971" spans="27:27">
      <c r="AA2971" s="158" t="s">
        <v>6346</v>
      </c>
    </row>
    <row r="2972" spans="27:27">
      <c r="AA2972" s="158" t="s">
        <v>6347</v>
      </c>
    </row>
    <row r="2973" spans="27:27">
      <c r="AA2973" s="158" t="s">
        <v>6348</v>
      </c>
    </row>
    <row r="2974" spans="27:27">
      <c r="AA2974" s="158" t="s">
        <v>6349</v>
      </c>
    </row>
    <row r="2975" spans="27:27">
      <c r="AA2975" s="158" t="s">
        <v>6350</v>
      </c>
    </row>
    <row r="2976" spans="27:27">
      <c r="AA2976" s="158" t="s">
        <v>6351</v>
      </c>
    </row>
    <row r="2977" spans="27:27">
      <c r="AA2977" s="158" t="s">
        <v>6352</v>
      </c>
    </row>
    <row r="2978" spans="27:27">
      <c r="AA2978" s="158" t="s">
        <v>6353</v>
      </c>
    </row>
    <row r="2979" spans="27:27">
      <c r="AA2979" s="158" t="s">
        <v>3611</v>
      </c>
    </row>
    <row r="2980" spans="27:27">
      <c r="AA2980" s="158" t="s">
        <v>1613</v>
      </c>
    </row>
    <row r="2981" spans="27:27">
      <c r="AA2981" s="158" t="s">
        <v>6354</v>
      </c>
    </row>
    <row r="2982" spans="27:27">
      <c r="AA2982" s="158" t="s">
        <v>6355</v>
      </c>
    </row>
    <row r="2983" spans="27:27">
      <c r="AA2983" s="158" t="s">
        <v>1614</v>
      </c>
    </row>
    <row r="2984" spans="27:27">
      <c r="AA2984" s="158" t="s">
        <v>3612</v>
      </c>
    </row>
    <row r="2985" spans="27:27">
      <c r="AA2985" s="158" t="s">
        <v>6356</v>
      </c>
    </row>
    <row r="2986" spans="27:27">
      <c r="AA2986" s="158" t="s">
        <v>1615</v>
      </c>
    </row>
    <row r="2987" spans="27:27">
      <c r="AA2987" s="158" t="s">
        <v>6357</v>
      </c>
    </row>
    <row r="2988" spans="27:27">
      <c r="AA2988" s="158" t="s">
        <v>6358</v>
      </c>
    </row>
    <row r="2989" spans="27:27">
      <c r="AA2989" s="158" t="s">
        <v>6359</v>
      </c>
    </row>
    <row r="2990" spans="27:27">
      <c r="AA2990" s="158" t="s">
        <v>6360</v>
      </c>
    </row>
    <row r="2991" spans="27:27">
      <c r="AA2991" s="158" t="s">
        <v>6361</v>
      </c>
    </row>
    <row r="2992" spans="27:27">
      <c r="AA2992" s="158" t="s">
        <v>6362</v>
      </c>
    </row>
    <row r="2993" spans="27:27">
      <c r="AA2993" s="158" t="s">
        <v>6363</v>
      </c>
    </row>
    <row r="2994" spans="27:27">
      <c r="AA2994" s="158" t="s">
        <v>6364</v>
      </c>
    </row>
    <row r="2995" spans="27:27">
      <c r="AA2995" s="158" t="s">
        <v>6365</v>
      </c>
    </row>
    <row r="2996" spans="27:27">
      <c r="AA2996" s="158" t="s">
        <v>6366</v>
      </c>
    </row>
    <row r="2997" spans="27:27">
      <c r="AA2997" s="158" t="s">
        <v>6367</v>
      </c>
    </row>
    <row r="2998" spans="27:27">
      <c r="AA2998" s="158" t="s">
        <v>6368</v>
      </c>
    </row>
    <row r="2999" spans="27:27">
      <c r="AA2999" s="158" t="s">
        <v>6369</v>
      </c>
    </row>
    <row r="3000" spans="27:27">
      <c r="AA3000" s="158" t="s">
        <v>6370</v>
      </c>
    </row>
    <row r="3001" spans="27:27">
      <c r="AA3001" s="158" t="s">
        <v>6371</v>
      </c>
    </row>
    <row r="3002" spans="27:27">
      <c r="AA3002" s="158" t="s">
        <v>6372</v>
      </c>
    </row>
    <row r="3003" spans="27:27">
      <c r="AA3003" s="158" t="s">
        <v>6373</v>
      </c>
    </row>
    <row r="3004" spans="27:27">
      <c r="AA3004" s="158" t="s">
        <v>6374</v>
      </c>
    </row>
    <row r="3005" spans="27:27">
      <c r="AA3005" s="158" t="s">
        <v>6375</v>
      </c>
    </row>
    <row r="3006" spans="27:27">
      <c r="AA3006" s="158" t="s">
        <v>6376</v>
      </c>
    </row>
    <row r="3007" spans="27:27">
      <c r="AA3007" s="158" t="s">
        <v>6377</v>
      </c>
    </row>
    <row r="3008" spans="27:27">
      <c r="AA3008" s="158" t="s">
        <v>6378</v>
      </c>
    </row>
    <row r="3009" spans="27:27">
      <c r="AA3009" s="158" t="s">
        <v>6379</v>
      </c>
    </row>
    <row r="3010" spans="27:27">
      <c r="AA3010" s="158" t="s">
        <v>6380</v>
      </c>
    </row>
    <row r="3011" spans="27:27">
      <c r="AA3011" s="158" t="s">
        <v>6381</v>
      </c>
    </row>
    <row r="3012" spans="27:27">
      <c r="AA3012" s="158" t="s">
        <v>6382</v>
      </c>
    </row>
    <row r="3013" spans="27:27">
      <c r="AA3013" s="158" t="s">
        <v>1616</v>
      </c>
    </row>
    <row r="3014" spans="27:27">
      <c r="AA3014" s="158" t="s">
        <v>6383</v>
      </c>
    </row>
    <row r="3015" spans="27:27">
      <c r="AA3015" s="158" t="s">
        <v>1617</v>
      </c>
    </row>
    <row r="3016" spans="27:27">
      <c r="AA3016" s="158" t="s">
        <v>6384</v>
      </c>
    </row>
    <row r="3017" spans="27:27">
      <c r="AA3017" s="158" t="s">
        <v>6385</v>
      </c>
    </row>
    <row r="3018" spans="27:27">
      <c r="AA3018" s="158" t="s">
        <v>6386</v>
      </c>
    </row>
    <row r="3019" spans="27:27">
      <c r="AA3019" s="158" t="s">
        <v>6387</v>
      </c>
    </row>
    <row r="3020" spans="27:27">
      <c r="AA3020" s="158" t="s">
        <v>6388</v>
      </c>
    </row>
    <row r="3021" spans="27:27">
      <c r="AA3021" s="158" t="s">
        <v>6389</v>
      </c>
    </row>
    <row r="3022" spans="27:27">
      <c r="AA3022" s="158" t="s">
        <v>6390</v>
      </c>
    </row>
    <row r="3023" spans="27:27">
      <c r="AA3023" s="158" t="s">
        <v>6391</v>
      </c>
    </row>
    <row r="3024" spans="27:27">
      <c r="AA3024" s="158" t="s">
        <v>6392</v>
      </c>
    </row>
    <row r="3025" spans="27:27">
      <c r="AA3025" s="158" t="s">
        <v>6393</v>
      </c>
    </row>
    <row r="3026" spans="27:27">
      <c r="AA3026" s="158" t="s">
        <v>6394</v>
      </c>
    </row>
    <row r="3027" spans="27:27">
      <c r="AA3027" s="158" t="s">
        <v>6395</v>
      </c>
    </row>
    <row r="3028" spans="27:27">
      <c r="AA3028" s="158" t="s">
        <v>6396</v>
      </c>
    </row>
    <row r="3029" spans="27:27">
      <c r="AA3029" s="158" t="s">
        <v>6397</v>
      </c>
    </row>
    <row r="3030" spans="27:27">
      <c r="AA3030" s="158" t="s">
        <v>6398</v>
      </c>
    </row>
    <row r="3031" spans="27:27">
      <c r="AA3031" s="158" t="s">
        <v>6399</v>
      </c>
    </row>
    <row r="3032" spans="27:27">
      <c r="AA3032" s="158" t="s">
        <v>6400</v>
      </c>
    </row>
    <row r="3033" spans="27:27">
      <c r="AA3033" s="158" t="s">
        <v>6401</v>
      </c>
    </row>
    <row r="3034" spans="27:27">
      <c r="AA3034" s="158" t="s">
        <v>6402</v>
      </c>
    </row>
    <row r="3035" spans="27:27">
      <c r="AA3035" s="158" t="s">
        <v>6403</v>
      </c>
    </row>
    <row r="3036" spans="27:27">
      <c r="AA3036" s="158" t="s">
        <v>6404</v>
      </c>
    </row>
    <row r="3037" spans="27:27">
      <c r="AA3037" s="158" t="s">
        <v>6405</v>
      </c>
    </row>
    <row r="3038" spans="27:27">
      <c r="AA3038" s="158" t="s">
        <v>6406</v>
      </c>
    </row>
    <row r="3039" spans="27:27">
      <c r="AA3039" s="158" t="s">
        <v>6407</v>
      </c>
    </row>
    <row r="3040" spans="27:27">
      <c r="AA3040" s="158" t="s">
        <v>1618</v>
      </c>
    </row>
    <row r="3041" spans="27:27">
      <c r="AA3041" s="158" t="s">
        <v>3613</v>
      </c>
    </row>
    <row r="3042" spans="27:27">
      <c r="AA3042" s="158" t="s">
        <v>6408</v>
      </c>
    </row>
    <row r="3043" spans="27:27">
      <c r="AA3043" s="158" t="s">
        <v>6409</v>
      </c>
    </row>
    <row r="3044" spans="27:27">
      <c r="AA3044" s="158" t="s">
        <v>6410</v>
      </c>
    </row>
    <row r="3045" spans="27:27">
      <c r="AA3045" s="158" t="s">
        <v>6411</v>
      </c>
    </row>
    <row r="3046" spans="27:27">
      <c r="AA3046" s="158" t="s">
        <v>6412</v>
      </c>
    </row>
    <row r="3047" spans="27:27">
      <c r="AA3047" s="158" t="s">
        <v>6413</v>
      </c>
    </row>
    <row r="3048" spans="27:27">
      <c r="AA3048" s="158" t="s">
        <v>6414</v>
      </c>
    </row>
    <row r="3049" spans="27:27">
      <c r="AA3049" s="158" t="s">
        <v>6415</v>
      </c>
    </row>
    <row r="3050" spans="27:27">
      <c r="AA3050" s="158" t="s">
        <v>6416</v>
      </c>
    </row>
    <row r="3051" spans="27:27">
      <c r="AA3051" s="158" t="s">
        <v>6417</v>
      </c>
    </row>
    <row r="3052" spans="27:27">
      <c r="AA3052" s="158" t="s">
        <v>6418</v>
      </c>
    </row>
    <row r="3053" spans="27:27">
      <c r="AA3053" s="158" t="s">
        <v>6419</v>
      </c>
    </row>
    <row r="3054" spans="27:27">
      <c r="AA3054" s="158" t="s">
        <v>6420</v>
      </c>
    </row>
    <row r="3055" spans="27:27">
      <c r="AA3055" s="158" t="s">
        <v>1619</v>
      </c>
    </row>
    <row r="3056" spans="27:27">
      <c r="AA3056" s="158" t="s">
        <v>1620</v>
      </c>
    </row>
    <row r="3057" spans="27:27">
      <c r="AA3057" s="158" t="s">
        <v>6421</v>
      </c>
    </row>
    <row r="3058" spans="27:27">
      <c r="AA3058" s="158" t="s">
        <v>1621</v>
      </c>
    </row>
    <row r="3059" spans="27:27">
      <c r="AA3059" s="158" t="s">
        <v>6422</v>
      </c>
    </row>
    <row r="3060" spans="27:27">
      <c r="AA3060" s="158" t="s">
        <v>1622</v>
      </c>
    </row>
    <row r="3061" spans="27:27">
      <c r="AA3061" s="158" t="s">
        <v>6423</v>
      </c>
    </row>
    <row r="3062" spans="27:27">
      <c r="AA3062" s="158" t="s">
        <v>6424</v>
      </c>
    </row>
    <row r="3063" spans="27:27">
      <c r="AA3063" s="158" t="s">
        <v>1623</v>
      </c>
    </row>
    <row r="3064" spans="27:27">
      <c r="AA3064" s="158" t="s">
        <v>1624</v>
      </c>
    </row>
    <row r="3065" spans="27:27">
      <c r="AA3065" s="158" t="s">
        <v>3614</v>
      </c>
    </row>
    <row r="3066" spans="27:27">
      <c r="AA3066" s="158" t="s">
        <v>6425</v>
      </c>
    </row>
    <row r="3067" spans="27:27">
      <c r="AA3067" s="158" t="s">
        <v>6426</v>
      </c>
    </row>
    <row r="3068" spans="27:27">
      <c r="AA3068" s="158" t="s">
        <v>6427</v>
      </c>
    </row>
    <row r="3069" spans="27:27">
      <c r="AA3069" s="158" t="s">
        <v>6428</v>
      </c>
    </row>
    <row r="3070" spans="27:27">
      <c r="AA3070" s="158" t="s">
        <v>6429</v>
      </c>
    </row>
    <row r="3071" spans="27:27">
      <c r="AA3071" s="158" t="s">
        <v>6430</v>
      </c>
    </row>
    <row r="3072" spans="27:27">
      <c r="AA3072" s="158" t="s">
        <v>6431</v>
      </c>
    </row>
    <row r="3073" spans="27:27">
      <c r="AA3073" s="158" t="s">
        <v>6432</v>
      </c>
    </row>
    <row r="3074" spans="27:27">
      <c r="AA3074" s="158" t="s">
        <v>6433</v>
      </c>
    </row>
    <row r="3075" spans="27:27">
      <c r="AA3075" s="158" t="s">
        <v>3615</v>
      </c>
    </row>
    <row r="3076" spans="27:27">
      <c r="AA3076" s="158" t="s">
        <v>1625</v>
      </c>
    </row>
    <row r="3077" spans="27:27">
      <c r="AA3077" s="158" t="s">
        <v>6434</v>
      </c>
    </row>
    <row r="3078" spans="27:27">
      <c r="AA3078" s="158" t="s">
        <v>6435</v>
      </c>
    </row>
    <row r="3079" spans="27:27">
      <c r="AA3079" s="158" t="s">
        <v>6436</v>
      </c>
    </row>
    <row r="3080" spans="27:27">
      <c r="AA3080" s="158" t="s">
        <v>6437</v>
      </c>
    </row>
    <row r="3081" spans="27:27">
      <c r="AA3081" s="158" t="s">
        <v>1626</v>
      </c>
    </row>
    <row r="3082" spans="27:27">
      <c r="AA3082" s="158" t="s">
        <v>3616</v>
      </c>
    </row>
    <row r="3083" spans="27:27">
      <c r="AA3083" s="158" t="s">
        <v>184</v>
      </c>
    </row>
    <row r="3084" spans="27:27">
      <c r="AA3084" s="158" t="s">
        <v>185</v>
      </c>
    </row>
    <row r="3085" spans="27:27">
      <c r="AA3085" s="158" t="s">
        <v>6438</v>
      </c>
    </row>
    <row r="3086" spans="27:27">
      <c r="AA3086" s="158" t="s">
        <v>6439</v>
      </c>
    </row>
    <row r="3087" spans="27:27">
      <c r="AA3087" s="158" t="s">
        <v>6440</v>
      </c>
    </row>
    <row r="3088" spans="27:27">
      <c r="AA3088" s="158" t="s">
        <v>6441</v>
      </c>
    </row>
    <row r="3089" spans="27:27">
      <c r="AA3089" s="158" t="s">
        <v>1627</v>
      </c>
    </row>
    <row r="3090" spans="27:27">
      <c r="AA3090" s="158" t="s">
        <v>3617</v>
      </c>
    </row>
    <row r="3091" spans="27:27">
      <c r="AA3091" s="158" t="s">
        <v>1628</v>
      </c>
    </row>
    <row r="3092" spans="27:27">
      <c r="AA3092" s="158" t="s">
        <v>6442</v>
      </c>
    </row>
    <row r="3093" spans="27:27">
      <c r="AA3093" s="158" t="s">
        <v>6443</v>
      </c>
    </row>
    <row r="3094" spans="27:27">
      <c r="AA3094" s="158" t="s">
        <v>6444</v>
      </c>
    </row>
    <row r="3095" spans="27:27">
      <c r="AA3095" s="158" t="s">
        <v>6445</v>
      </c>
    </row>
    <row r="3096" spans="27:27">
      <c r="AA3096" s="158" t="s">
        <v>1629</v>
      </c>
    </row>
    <row r="3097" spans="27:27">
      <c r="AA3097" s="158" t="s">
        <v>6446</v>
      </c>
    </row>
    <row r="3098" spans="27:27">
      <c r="AA3098" s="158" t="s">
        <v>6447</v>
      </c>
    </row>
    <row r="3099" spans="27:27">
      <c r="AA3099" s="158" t="s">
        <v>6448</v>
      </c>
    </row>
    <row r="3100" spans="27:27">
      <c r="AA3100" s="158" t="s">
        <v>6449</v>
      </c>
    </row>
    <row r="3101" spans="27:27">
      <c r="AA3101" s="158" t="s">
        <v>1630</v>
      </c>
    </row>
    <row r="3102" spans="27:27">
      <c r="AA3102" s="158" t="s">
        <v>3618</v>
      </c>
    </row>
    <row r="3103" spans="27:27">
      <c r="AA3103" s="158" t="s">
        <v>1631</v>
      </c>
    </row>
    <row r="3104" spans="27:27">
      <c r="AA3104" s="158" t="s">
        <v>6450</v>
      </c>
    </row>
    <row r="3105" spans="27:27">
      <c r="AA3105" s="158" t="s">
        <v>6451</v>
      </c>
    </row>
    <row r="3106" spans="27:27">
      <c r="AA3106" s="158" t="s">
        <v>6452</v>
      </c>
    </row>
    <row r="3107" spans="27:27">
      <c r="AA3107" s="158" t="s">
        <v>6453</v>
      </c>
    </row>
    <row r="3108" spans="27:27">
      <c r="AA3108" s="158" t="s">
        <v>6454</v>
      </c>
    </row>
    <row r="3109" spans="27:27">
      <c r="AA3109" s="158" t="s">
        <v>6455</v>
      </c>
    </row>
    <row r="3110" spans="27:27">
      <c r="AA3110" s="158" t="s">
        <v>6456</v>
      </c>
    </row>
    <row r="3111" spans="27:27">
      <c r="AA3111" s="158" t="s">
        <v>6457</v>
      </c>
    </row>
    <row r="3112" spans="27:27">
      <c r="AA3112" s="158" t="s">
        <v>6458</v>
      </c>
    </row>
    <row r="3113" spans="27:27">
      <c r="AA3113" s="158" t="s">
        <v>6459</v>
      </c>
    </row>
    <row r="3114" spans="27:27">
      <c r="AA3114" s="158" t="s">
        <v>1632</v>
      </c>
    </row>
    <row r="3115" spans="27:27">
      <c r="AA3115" s="158" t="s">
        <v>6460</v>
      </c>
    </row>
    <row r="3116" spans="27:27">
      <c r="AA3116" s="158" t="s">
        <v>1633</v>
      </c>
    </row>
    <row r="3117" spans="27:27">
      <c r="AA3117" s="158" t="s">
        <v>6461</v>
      </c>
    </row>
    <row r="3118" spans="27:27">
      <c r="AA3118" s="158" t="s">
        <v>6462</v>
      </c>
    </row>
    <row r="3119" spans="27:27">
      <c r="AA3119" s="158" t="s">
        <v>6463</v>
      </c>
    </row>
    <row r="3120" spans="27:27">
      <c r="AA3120" s="158" t="s">
        <v>6464</v>
      </c>
    </row>
    <row r="3121" spans="27:27">
      <c r="AA3121" s="158" t="s">
        <v>6465</v>
      </c>
    </row>
    <row r="3122" spans="27:27">
      <c r="AA3122" s="158" t="s">
        <v>6466</v>
      </c>
    </row>
    <row r="3123" spans="27:27">
      <c r="AA3123" s="158" t="s">
        <v>6467</v>
      </c>
    </row>
    <row r="3124" spans="27:27">
      <c r="AA3124" s="158" t="s">
        <v>6468</v>
      </c>
    </row>
    <row r="3125" spans="27:27">
      <c r="AA3125" s="158" t="s">
        <v>6469</v>
      </c>
    </row>
    <row r="3126" spans="27:27">
      <c r="AA3126" s="158" t="s">
        <v>6470</v>
      </c>
    </row>
    <row r="3127" spans="27:27">
      <c r="AA3127" s="158" t="s">
        <v>6471</v>
      </c>
    </row>
    <row r="3128" spans="27:27">
      <c r="AA3128" s="158" t="s">
        <v>6472</v>
      </c>
    </row>
    <row r="3129" spans="27:27">
      <c r="AA3129" s="158" t="s">
        <v>6473</v>
      </c>
    </row>
    <row r="3130" spans="27:27">
      <c r="AA3130" s="158" t="s">
        <v>6474</v>
      </c>
    </row>
    <row r="3131" spans="27:27">
      <c r="AA3131" s="158" t="s">
        <v>6475</v>
      </c>
    </row>
    <row r="3132" spans="27:27">
      <c r="AA3132" s="158" t="s">
        <v>6476</v>
      </c>
    </row>
    <row r="3133" spans="27:27">
      <c r="AA3133" s="158" t="s">
        <v>6477</v>
      </c>
    </row>
    <row r="3134" spans="27:27">
      <c r="AA3134" s="158" t="s">
        <v>6478</v>
      </c>
    </row>
    <row r="3135" spans="27:27">
      <c r="AA3135" s="158" t="s">
        <v>1634</v>
      </c>
    </row>
    <row r="3136" spans="27:27">
      <c r="AA3136" s="158" t="s">
        <v>3619</v>
      </c>
    </row>
    <row r="3137" spans="27:27">
      <c r="AA3137" s="158" t="s">
        <v>6479</v>
      </c>
    </row>
    <row r="3138" spans="27:27">
      <c r="AA3138" s="158" t="s">
        <v>6480</v>
      </c>
    </row>
    <row r="3139" spans="27:27">
      <c r="AA3139" s="158" t="s">
        <v>6481</v>
      </c>
    </row>
    <row r="3140" spans="27:27">
      <c r="AA3140" s="158" t="s">
        <v>1635</v>
      </c>
    </row>
    <row r="3141" spans="27:27">
      <c r="AA3141" s="158" t="s">
        <v>6482</v>
      </c>
    </row>
    <row r="3142" spans="27:27">
      <c r="AA3142" s="158" t="s">
        <v>6483</v>
      </c>
    </row>
    <row r="3143" spans="27:27">
      <c r="AA3143" s="158" t="s">
        <v>6484</v>
      </c>
    </row>
    <row r="3144" spans="27:27">
      <c r="AA3144" s="158" t="s">
        <v>6485</v>
      </c>
    </row>
    <row r="3145" spans="27:27">
      <c r="AA3145" s="158" t="s">
        <v>6486</v>
      </c>
    </row>
    <row r="3146" spans="27:27">
      <c r="AA3146" s="158" t="s">
        <v>6487</v>
      </c>
    </row>
    <row r="3147" spans="27:27">
      <c r="AA3147" s="158" t="s">
        <v>1636</v>
      </c>
    </row>
    <row r="3148" spans="27:27">
      <c r="AA3148" s="158" t="s">
        <v>3620</v>
      </c>
    </row>
    <row r="3149" spans="27:27">
      <c r="AA3149" s="158" t="s">
        <v>1637</v>
      </c>
    </row>
    <row r="3150" spans="27:27">
      <c r="AA3150" s="158" t="s">
        <v>6488</v>
      </c>
    </row>
    <row r="3151" spans="27:27">
      <c r="AA3151" s="158" t="s">
        <v>6489</v>
      </c>
    </row>
    <row r="3152" spans="27:27">
      <c r="AA3152" s="158" t="s">
        <v>6490</v>
      </c>
    </row>
    <row r="3153" spans="27:27">
      <c r="AA3153" s="158" t="s">
        <v>6491</v>
      </c>
    </row>
    <row r="3154" spans="27:27">
      <c r="AA3154" s="158" t="s">
        <v>6492</v>
      </c>
    </row>
    <row r="3155" spans="27:27">
      <c r="AA3155" s="158" t="s">
        <v>1638</v>
      </c>
    </row>
    <row r="3156" spans="27:27">
      <c r="AA3156" s="158" t="s">
        <v>6493</v>
      </c>
    </row>
    <row r="3157" spans="27:27">
      <c r="AA3157" s="158" t="s">
        <v>6494</v>
      </c>
    </row>
    <row r="3158" spans="27:27">
      <c r="AA3158" s="158" t="s">
        <v>1639</v>
      </c>
    </row>
    <row r="3159" spans="27:27">
      <c r="AA3159" s="158" t="s">
        <v>6495</v>
      </c>
    </row>
    <row r="3160" spans="27:27">
      <c r="AA3160" s="158" t="s">
        <v>1640</v>
      </c>
    </row>
    <row r="3161" spans="27:27">
      <c r="AA3161" s="158" t="s">
        <v>6496</v>
      </c>
    </row>
    <row r="3162" spans="27:27">
      <c r="AA3162" s="158" t="s">
        <v>6497</v>
      </c>
    </row>
    <row r="3163" spans="27:27">
      <c r="AA3163" s="158" t="s">
        <v>1641</v>
      </c>
    </row>
    <row r="3164" spans="27:27">
      <c r="AA3164" s="158" t="s">
        <v>3621</v>
      </c>
    </row>
    <row r="3165" spans="27:27">
      <c r="AA3165" s="158" t="s">
        <v>6498</v>
      </c>
    </row>
    <row r="3166" spans="27:27">
      <c r="AA3166" s="158" t="s">
        <v>6499</v>
      </c>
    </row>
    <row r="3167" spans="27:27">
      <c r="AA3167" s="158" t="s">
        <v>6500</v>
      </c>
    </row>
    <row r="3168" spans="27:27">
      <c r="AA3168" s="158" t="s">
        <v>1642</v>
      </c>
    </row>
    <row r="3169" spans="27:27">
      <c r="AA3169" s="158" t="s">
        <v>3622</v>
      </c>
    </row>
    <row r="3170" spans="27:27">
      <c r="AA3170" s="158" t="s">
        <v>1643</v>
      </c>
    </row>
    <row r="3171" spans="27:27">
      <c r="AA3171" s="158" t="s">
        <v>6501</v>
      </c>
    </row>
    <row r="3172" spans="27:27">
      <c r="AA3172" s="158" t="s">
        <v>1644</v>
      </c>
    </row>
    <row r="3173" spans="27:27">
      <c r="AA3173" s="158" t="s">
        <v>6502</v>
      </c>
    </row>
    <row r="3174" spans="27:27">
      <c r="AA3174" s="158" t="s">
        <v>6503</v>
      </c>
    </row>
    <row r="3175" spans="27:27">
      <c r="AA3175" s="158" t="s">
        <v>6504</v>
      </c>
    </row>
    <row r="3176" spans="27:27">
      <c r="AA3176" s="158" t="s">
        <v>1645</v>
      </c>
    </row>
    <row r="3177" spans="27:27">
      <c r="AA3177" s="158" t="s">
        <v>6505</v>
      </c>
    </row>
    <row r="3178" spans="27:27">
      <c r="AA3178" s="158" t="s">
        <v>1646</v>
      </c>
    </row>
    <row r="3179" spans="27:27">
      <c r="AA3179" s="158" t="s">
        <v>3623</v>
      </c>
    </row>
    <row r="3180" spans="27:27">
      <c r="AA3180" s="158" t="s">
        <v>1647</v>
      </c>
    </row>
    <row r="3181" spans="27:27">
      <c r="AA3181" s="158" t="s">
        <v>6506</v>
      </c>
    </row>
    <row r="3182" spans="27:27">
      <c r="AA3182" s="158" t="s">
        <v>6507</v>
      </c>
    </row>
    <row r="3183" spans="27:27">
      <c r="AA3183" s="158" t="s">
        <v>6508</v>
      </c>
    </row>
    <row r="3184" spans="27:27">
      <c r="AA3184" s="158" t="s">
        <v>6509</v>
      </c>
    </row>
    <row r="3185" spans="27:27">
      <c r="AA3185" s="158" t="s">
        <v>6510</v>
      </c>
    </row>
    <row r="3186" spans="27:27">
      <c r="AA3186" s="158" t="s">
        <v>1648</v>
      </c>
    </row>
    <row r="3187" spans="27:27">
      <c r="AA3187" s="158" t="s">
        <v>1649</v>
      </c>
    </row>
    <row r="3188" spans="27:27">
      <c r="AA3188" s="158" t="s">
        <v>1650</v>
      </c>
    </row>
    <row r="3189" spans="27:27">
      <c r="AA3189" s="158" t="s">
        <v>6511</v>
      </c>
    </row>
    <row r="3190" spans="27:27">
      <c r="AA3190" s="158" t="s">
        <v>1651</v>
      </c>
    </row>
    <row r="3191" spans="27:27">
      <c r="AA3191" s="158" t="s">
        <v>6512</v>
      </c>
    </row>
    <row r="3192" spans="27:27">
      <c r="AA3192" s="158" t="s">
        <v>1652</v>
      </c>
    </row>
    <row r="3193" spans="27:27">
      <c r="AA3193" s="158" t="s">
        <v>1653</v>
      </c>
    </row>
    <row r="3194" spans="27:27">
      <c r="AA3194" s="158" t="s">
        <v>6513</v>
      </c>
    </row>
    <row r="3195" spans="27:27">
      <c r="AA3195" s="158" t="s">
        <v>6514</v>
      </c>
    </row>
    <row r="3196" spans="27:27">
      <c r="AA3196" s="158" t="s">
        <v>6515</v>
      </c>
    </row>
    <row r="3197" spans="27:27">
      <c r="AA3197" s="158" t="s">
        <v>6516</v>
      </c>
    </row>
    <row r="3198" spans="27:27">
      <c r="AA3198" s="158" t="s">
        <v>6517</v>
      </c>
    </row>
    <row r="3199" spans="27:27">
      <c r="AA3199" s="158" t="s">
        <v>6518</v>
      </c>
    </row>
    <row r="3200" spans="27:27">
      <c r="AA3200" s="158" t="s">
        <v>6519</v>
      </c>
    </row>
    <row r="3201" spans="27:27">
      <c r="AA3201" s="158" t="s">
        <v>6520</v>
      </c>
    </row>
    <row r="3202" spans="27:27">
      <c r="AA3202" s="158" t="s">
        <v>6521</v>
      </c>
    </row>
    <row r="3203" spans="27:27">
      <c r="AA3203" s="158" t="s">
        <v>6522</v>
      </c>
    </row>
    <row r="3204" spans="27:27">
      <c r="AA3204" s="158" t="s">
        <v>6523</v>
      </c>
    </row>
    <row r="3205" spans="27:27">
      <c r="AA3205" s="158" t="s">
        <v>1654</v>
      </c>
    </row>
    <row r="3206" spans="27:27">
      <c r="AA3206" s="158" t="s">
        <v>1655</v>
      </c>
    </row>
    <row r="3207" spans="27:27">
      <c r="AA3207" s="158" t="s">
        <v>1656</v>
      </c>
    </row>
    <row r="3208" spans="27:27">
      <c r="AA3208" s="158" t="s">
        <v>6524</v>
      </c>
    </row>
    <row r="3209" spans="27:27">
      <c r="AA3209" s="158" t="s">
        <v>6525</v>
      </c>
    </row>
    <row r="3210" spans="27:27">
      <c r="AA3210" s="158" t="s">
        <v>6526</v>
      </c>
    </row>
    <row r="3211" spans="27:27">
      <c r="AA3211" s="158" t="s">
        <v>6527</v>
      </c>
    </row>
    <row r="3212" spans="27:27">
      <c r="AA3212" s="158" t="s">
        <v>1657</v>
      </c>
    </row>
    <row r="3213" spans="27:27">
      <c r="AA3213" s="158" t="s">
        <v>6528</v>
      </c>
    </row>
    <row r="3214" spans="27:27">
      <c r="AA3214" s="158" t="s">
        <v>6529</v>
      </c>
    </row>
    <row r="3215" spans="27:27">
      <c r="AA3215" s="158" t="s">
        <v>6530</v>
      </c>
    </row>
    <row r="3216" spans="27:27">
      <c r="AA3216" s="158" t="s">
        <v>1658</v>
      </c>
    </row>
    <row r="3217" spans="27:27">
      <c r="AA3217" s="158" t="s">
        <v>1659</v>
      </c>
    </row>
    <row r="3218" spans="27:27">
      <c r="AA3218" s="158" t="s">
        <v>1660</v>
      </c>
    </row>
    <row r="3219" spans="27:27">
      <c r="AA3219" s="158" t="s">
        <v>6531</v>
      </c>
    </row>
    <row r="3220" spans="27:27">
      <c r="AA3220" s="158" t="s">
        <v>6532</v>
      </c>
    </row>
    <row r="3221" spans="27:27">
      <c r="AA3221" s="158" t="s">
        <v>6533</v>
      </c>
    </row>
    <row r="3222" spans="27:27">
      <c r="AA3222" s="158" t="s">
        <v>6534</v>
      </c>
    </row>
    <row r="3223" spans="27:27">
      <c r="AA3223" s="158" t="s">
        <v>1661</v>
      </c>
    </row>
    <row r="3224" spans="27:27">
      <c r="AA3224" s="158" t="s">
        <v>3624</v>
      </c>
    </row>
    <row r="3225" spans="27:27">
      <c r="AA3225" s="158" t="s">
        <v>1662</v>
      </c>
    </row>
    <row r="3226" spans="27:27">
      <c r="AA3226" s="158" t="s">
        <v>6535</v>
      </c>
    </row>
    <row r="3227" spans="27:27">
      <c r="AA3227" s="158" t="s">
        <v>6536</v>
      </c>
    </row>
    <row r="3228" spans="27:27">
      <c r="AA3228" s="158" t="s">
        <v>1663</v>
      </c>
    </row>
    <row r="3229" spans="27:27">
      <c r="AA3229" s="158" t="s">
        <v>6537</v>
      </c>
    </row>
    <row r="3230" spans="27:27">
      <c r="AA3230" s="158" t="s">
        <v>1664</v>
      </c>
    </row>
    <row r="3231" spans="27:27">
      <c r="AA3231" s="158" t="s">
        <v>1665</v>
      </c>
    </row>
    <row r="3232" spans="27:27">
      <c r="AA3232" s="158" t="s">
        <v>1666</v>
      </c>
    </row>
    <row r="3233" spans="27:27">
      <c r="AA3233" s="158" t="s">
        <v>6538</v>
      </c>
    </row>
    <row r="3234" spans="27:27">
      <c r="AA3234" s="158" t="s">
        <v>6539</v>
      </c>
    </row>
    <row r="3235" spans="27:27">
      <c r="AA3235" s="158" t="s">
        <v>6540</v>
      </c>
    </row>
    <row r="3236" spans="27:27">
      <c r="AA3236" s="158" t="s">
        <v>6541</v>
      </c>
    </row>
    <row r="3237" spans="27:27">
      <c r="AA3237" s="158" t="s">
        <v>1667</v>
      </c>
    </row>
    <row r="3238" spans="27:27">
      <c r="AA3238" s="158" t="s">
        <v>1668</v>
      </c>
    </row>
    <row r="3239" spans="27:27">
      <c r="AA3239" s="158" t="s">
        <v>1669</v>
      </c>
    </row>
    <row r="3240" spans="27:27">
      <c r="AA3240" s="158" t="s">
        <v>6542</v>
      </c>
    </row>
    <row r="3241" spans="27:27">
      <c r="AA3241" s="158" t="s">
        <v>6543</v>
      </c>
    </row>
    <row r="3242" spans="27:27">
      <c r="AA3242" s="158" t="s">
        <v>6544</v>
      </c>
    </row>
    <row r="3243" spans="27:27">
      <c r="AA3243" s="158" t="s">
        <v>6545</v>
      </c>
    </row>
    <row r="3244" spans="27:27">
      <c r="AA3244" s="158" t="s">
        <v>6546</v>
      </c>
    </row>
    <row r="3245" spans="27:27">
      <c r="AA3245" s="158" t="s">
        <v>6547</v>
      </c>
    </row>
    <row r="3246" spans="27:27">
      <c r="AA3246" s="158" t="s">
        <v>1670</v>
      </c>
    </row>
    <row r="3247" spans="27:27">
      <c r="AA3247" s="158" t="s">
        <v>1671</v>
      </c>
    </row>
    <row r="3248" spans="27:27">
      <c r="AA3248" s="158" t="s">
        <v>1672</v>
      </c>
    </row>
    <row r="3249" spans="27:27">
      <c r="AA3249" s="158" t="s">
        <v>6548</v>
      </c>
    </row>
    <row r="3250" spans="27:27">
      <c r="AA3250" s="158" t="s">
        <v>6549</v>
      </c>
    </row>
    <row r="3251" spans="27:27">
      <c r="AA3251" s="158" t="s">
        <v>3625</v>
      </c>
    </row>
    <row r="3252" spans="27:27">
      <c r="AA3252" s="158" t="s">
        <v>6550</v>
      </c>
    </row>
    <row r="3253" spans="27:27">
      <c r="AA3253" s="158" t="s">
        <v>1673</v>
      </c>
    </row>
    <row r="3254" spans="27:27">
      <c r="AA3254" s="158" t="s">
        <v>6551</v>
      </c>
    </row>
    <row r="3255" spans="27:27">
      <c r="AA3255" s="158" t="s">
        <v>6552</v>
      </c>
    </row>
    <row r="3256" spans="27:27">
      <c r="AA3256" s="158" t="s">
        <v>1674</v>
      </c>
    </row>
    <row r="3257" spans="27:27">
      <c r="AA3257" s="158" t="s">
        <v>3626</v>
      </c>
    </row>
    <row r="3258" spans="27:27">
      <c r="AA3258" s="158" t="s">
        <v>1675</v>
      </c>
    </row>
    <row r="3259" spans="27:27">
      <c r="AA3259" s="158" t="s">
        <v>3627</v>
      </c>
    </row>
    <row r="3260" spans="27:27">
      <c r="AA3260" s="158" t="s">
        <v>6553</v>
      </c>
    </row>
    <row r="3261" spans="27:27">
      <c r="AA3261" s="158" t="s">
        <v>6554</v>
      </c>
    </row>
    <row r="3262" spans="27:27">
      <c r="AA3262" s="158" t="s">
        <v>6555</v>
      </c>
    </row>
    <row r="3263" spans="27:27">
      <c r="AA3263" s="158" t="s">
        <v>6556</v>
      </c>
    </row>
    <row r="3264" spans="27:27">
      <c r="AA3264" s="158" t="s">
        <v>1676</v>
      </c>
    </row>
    <row r="3265" spans="27:27">
      <c r="AA3265" s="158" t="s">
        <v>6557</v>
      </c>
    </row>
    <row r="3266" spans="27:27">
      <c r="AA3266" s="158" t="s">
        <v>6558</v>
      </c>
    </row>
    <row r="3267" spans="27:27">
      <c r="AA3267" s="158" t="s">
        <v>1677</v>
      </c>
    </row>
    <row r="3268" spans="27:27">
      <c r="AA3268" s="158" t="s">
        <v>6559</v>
      </c>
    </row>
    <row r="3269" spans="27:27">
      <c r="AA3269" s="158" t="s">
        <v>6560</v>
      </c>
    </row>
    <row r="3270" spans="27:27">
      <c r="AA3270" s="158" t="s">
        <v>6561</v>
      </c>
    </row>
    <row r="3271" spans="27:27">
      <c r="AA3271" s="158" t="s">
        <v>6562</v>
      </c>
    </row>
    <row r="3272" spans="27:27">
      <c r="AA3272" s="158" t="s">
        <v>1678</v>
      </c>
    </row>
    <row r="3273" spans="27:27">
      <c r="AA3273" s="158" t="s">
        <v>6563</v>
      </c>
    </row>
    <row r="3274" spans="27:27">
      <c r="AA3274" s="158" t="s">
        <v>6564</v>
      </c>
    </row>
    <row r="3275" spans="27:27">
      <c r="AA3275" s="158" t="s">
        <v>6565</v>
      </c>
    </row>
    <row r="3276" spans="27:27">
      <c r="AA3276" s="158" t="s">
        <v>6566</v>
      </c>
    </row>
    <row r="3277" spans="27:27">
      <c r="AA3277" s="158" t="s">
        <v>6567</v>
      </c>
    </row>
    <row r="3278" spans="27:27">
      <c r="AA3278" s="158" t="s">
        <v>1679</v>
      </c>
    </row>
    <row r="3279" spans="27:27">
      <c r="AA3279" s="158" t="s">
        <v>6568</v>
      </c>
    </row>
    <row r="3280" spans="27:27">
      <c r="AA3280" s="158" t="s">
        <v>3628</v>
      </c>
    </row>
    <row r="3281" spans="27:27">
      <c r="AA3281" s="158" t="s">
        <v>6569</v>
      </c>
    </row>
    <row r="3282" spans="27:27">
      <c r="AA3282" s="158" t="s">
        <v>6570</v>
      </c>
    </row>
    <row r="3283" spans="27:27">
      <c r="AA3283" s="158" t="s">
        <v>1680</v>
      </c>
    </row>
    <row r="3284" spans="27:27">
      <c r="AA3284" s="158" t="s">
        <v>1681</v>
      </c>
    </row>
    <row r="3285" spans="27:27">
      <c r="AA3285" s="158" t="s">
        <v>1682</v>
      </c>
    </row>
    <row r="3286" spans="27:27">
      <c r="AA3286" s="158" t="s">
        <v>6571</v>
      </c>
    </row>
    <row r="3287" spans="27:27">
      <c r="AA3287" s="158" t="s">
        <v>6572</v>
      </c>
    </row>
    <row r="3288" spans="27:27">
      <c r="AA3288" s="158" t="s">
        <v>6573</v>
      </c>
    </row>
    <row r="3289" spans="27:27">
      <c r="AA3289" s="158" t="s">
        <v>3629</v>
      </c>
    </row>
    <row r="3290" spans="27:27">
      <c r="AA3290" s="158" t="s">
        <v>6574</v>
      </c>
    </row>
    <row r="3291" spans="27:27">
      <c r="AA3291" s="158" t="s">
        <v>1683</v>
      </c>
    </row>
    <row r="3292" spans="27:27">
      <c r="AA3292" s="158" t="s">
        <v>6575</v>
      </c>
    </row>
    <row r="3293" spans="27:27">
      <c r="AA3293" s="158" t="s">
        <v>6576</v>
      </c>
    </row>
    <row r="3294" spans="27:27">
      <c r="AA3294" s="158" t="s">
        <v>1684</v>
      </c>
    </row>
    <row r="3295" spans="27:27">
      <c r="AA3295" s="158" t="s">
        <v>3630</v>
      </c>
    </row>
    <row r="3296" spans="27:27">
      <c r="AA3296" s="158" t="s">
        <v>1685</v>
      </c>
    </row>
    <row r="3297" spans="27:27">
      <c r="AA3297" s="158" t="s">
        <v>3631</v>
      </c>
    </row>
    <row r="3298" spans="27:27">
      <c r="AA3298" s="158" t="s">
        <v>6577</v>
      </c>
    </row>
    <row r="3299" spans="27:27">
      <c r="AA3299" s="158" t="s">
        <v>6578</v>
      </c>
    </row>
    <row r="3300" spans="27:27">
      <c r="AA3300" s="158" t="s">
        <v>6579</v>
      </c>
    </row>
    <row r="3301" spans="27:27">
      <c r="AA3301" s="158" t="s">
        <v>6580</v>
      </c>
    </row>
    <row r="3302" spans="27:27">
      <c r="AA3302" s="158" t="s">
        <v>6581</v>
      </c>
    </row>
    <row r="3303" spans="27:27">
      <c r="AA3303" s="158" t="s">
        <v>6582</v>
      </c>
    </row>
    <row r="3304" spans="27:27">
      <c r="AA3304" s="158" t="s">
        <v>3632</v>
      </c>
    </row>
    <row r="3305" spans="27:27">
      <c r="AA3305" s="158" t="s">
        <v>6583</v>
      </c>
    </row>
    <row r="3306" spans="27:27">
      <c r="AA3306" s="158" t="s">
        <v>6584</v>
      </c>
    </row>
    <row r="3307" spans="27:27">
      <c r="AA3307" s="158" t="s">
        <v>1686</v>
      </c>
    </row>
    <row r="3308" spans="27:27">
      <c r="AA3308" s="158" t="s">
        <v>6585</v>
      </c>
    </row>
    <row r="3309" spans="27:27">
      <c r="AA3309" s="158" t="s">
        <v>1687</v>
      </c>
    </row>
    <row r="3310" spans="27:27">
      <c r="AA3310" s="158" t="s">
        <v>1688</v>
      </c>
    </row>
    <row r="3311" spans="27:27">
      <c r="AA3311" s="158" t="s">
        <v>1689</v>
      </c>
    </row>
    <row r="3312" spans="27:27">
      <c r="AA3312" s="158" t="s">
        <v>6586</v>
      </c>
    </row>
    <row r="3313" spans="27:27">
      <c r="AA3313" s="158" t="s">
        <v>1690</v>
      </c>
    </row>
    <row r="3314" spans="27:27">
      <c r="AA3314" s="158" t="s">
        <v>6587</v>
      </c>
    </row>
    <row r="3315" spans="27:27">
      <c r="AA3315" s="158" t="s">
        <v>6588</v>
      </c>
    </row>
    <row r="3316" spans="27:27">
      <c r="AA3316" s="158" t="s">
        <v>6589</v>
      </c>
    </row>
    <row r="3317" spans="27:27">
      <c r="AA3317" s="158" t="s">
        <v>6590</v>
      </c>
    </row>
    <row r="3318" spans="27:27">
      <c r="AA3318" s="158" t="s">
        <v>6591</v>
      </c>
    </row>
    <row r="3319" spans="27:27">
      <c r="AA3319" s="158" t="s">
        <v>6592</v>
      </c>
    </row>
    <row r="3320" spans="27:27">
      <c r="AA3320" s="158" t="s">
        <v>6593</v>
      </c>
    </row>
    <row r="3321" spans="27:27">
      <c r="AA3321" s="158" t="s">
        <v>6594</v>
      </c>
    </row>
    <row r="3322" spans="27:27">
      <c r="AA3322" s="158" t="s">
        <v>1691</v>
      </c>
    </row>
    <row r="3323" spans="27:27">
      <c r="AA3323" s="158" t="s">
        <v>6595</v>
      </c>
    </row>
    <row r="3324" spans="27:27">
      <c r="AA3324" s="158" t="s">
        <v>1692</v>
      </c>
    </row>
    <row r="3325" spans="27:27">
      <c r="AA3325" s="158" t="s">
        <v>6596</v>
      </c>
    </row>
    <row r="3326" spans="27:27">
      <c r="AA3326" s="158" t="s">
        <v>6597</v>
      </c>
    </row>
    <row r="3327" spans="27:27">
      <c r="AA3327" s="158" t="s">
        <v>1693</v>
      </c>
    </row>
    <row r="3328" spans="27:27">
      <c r="AA3328" s="158" t="s">
        <v>6598</v>
      </c>
    </row>
    <row r="3329" spans="27:27">
      <c r="AA3329" s="158" t="s">
        <v>1694</v>
      </c>
    </row>
    <row r="3330" spans="27:27">
      <c r="AA3330" s="158" t="s">
        <v>6599</v>
      </c>
    </row>
    <row r="3331" spans="27:27">
      <c r="AA3331" s="158" t="s">
        <v>6600</v>
      </c>
    </row>
    <row r="3332" spans="27:27">
      <c r="AA3332" s="158" t="s">
        <v>1695</v>
      </c>
    </row>
    <row r="3333" spans="27:27">
      <c r="AA3333" s="158" t="s">
        <v>6601</v>
      </c>
    </row>
    <row r="3334" spans="27:27">
      <c r="AA3334" s="158" t="s">
        <v>6602</v>
      </c>
    </row>
    <row r="3335" spans="27:27">
      <c r="AA3335" s="158" t="s">
        <v>6603</v>
      </c>
    </row>
    <row r="3336" spans="27:27">
      <c r="AA3336" s="158" t="s">
        <v>6604</v>
      </c>
    </row>
    <row r="3337" spans="27:27">
      <c r="AA3337" s="158" t="s">
        <v>1696</v>
      </c>
    </row>
    <row r="3338" spans="27:27">
      <c r="AA3338" s="158" t="s">
        <v>3633</v>
      </c>
    </row>
    <row r="3339" spans="27:27">
      <c r="AA3339" s="158" t="s">
        <v>1697</v>
      </c>
    </row>
    <row r="3340" spans="27:27">
      <c r="AA3340" s="158" t="s">
        <v>6605</v>
      </c>
    </row>
    <row r="3341" spans="27:27">
      <c r="AA3341" s="158" t="s">
        <v>1698</v>
      </c>
    </row>
    <row r="3342" spans="27:27">
      <c r="AA3342" s="158" t="s">
        <v>1699</v>
      </c>
    </row>
    <row r="3343" spans="27:27">
      <c r="AA3343" s="158" t="s">
        <v>6606</v>
      </c>
    </row>
    <row r="3344" spans="27:27">
      <c r="AA3344" s="158" t="s">
        <v>6607</v>
      </c>
    </row>
    <row r="3345" spans="27:27">
      <c r="AA3345" s="158" t="s">
        <v>3634</v>
      </c>
    </row>
    <row r="3346" spans="27:27">
      <c r="AA3346" s="158" t="s">
        <v>1700</v>
      </c>
    </row>
    <row r="3347" spans="27:27">
      <c r="AA3347" s="158" t="s">
        <v>6608</v>
      </c>
    </row>
    <row r="3348" spans="27:27">
      <c r="AA3348" s="158" t="s">
        <v>6609</v>
      </c>
    </row>
    <row r="3349" spans="27:27">
      <c r="AA3349" s="158" t="s">
        <v>6610</v>
      </c>
    </row>
    <row r="3350" spans="27:27">
      <c r="AA3350" s="158" t="s">
        <v>1701</v>
      </c>
    </row>
    <row r="3351" spans="27:27">
      <c r="AA3351" s="158" t="s">
        <v>6611</v>
      </c>
    </row>
    <row r="3352" spans="27:27">
      <c r="AA3352" s="158" t="s">
        <v>6612</v>
      </c>
    </row>
    <row r="3353" spans="27:27">
      <c r="AA3353" s="158" t="s">
        <v>6613</v>
      </c>
    </row>
    <row r="3354" spans="27:27">
      <c r="AA3354" s="158" t="s">
        <v>1702</v>
      </c>
    </row>
    <row r="3355" spans="27:27">
      <c r="AA3355" s="158" t="s">
        <v>6614</v>
      </c>
    </row>
    <row r="3356" spans="27:27">
      <c r="AA3356" s="158" t="s">
        <v>6615</v>
      </c>
    </row>
    <row r="3357" spans="27:27">
      <c r="AA3357" s="158" t="s">
        <v>6616</v>
      </c>
    </row>
    <row r="3358" spans="27:27">
      <c r="AA3358" s="158" t="s">
        <v>6617</v>
      </c>
    </row>
    <row r="3359" spans="27:27">
      <c r="AA3359" s="158" t="s">
        <v>1703</v>
      </c>
    </row>
    <row r="3360" spans="27:27">
      <c r="AA3360" s="158" t="s">
        <v>6618</v>
      </c>
    </row>
    <row r="3361" spans="27:27">
      <c r="AA3361" s="158" t="s">
        <v>6619</v>
      </c>
    </row>
    <row r="3362" spans="27:27">
      <c r="AA3362" s="158" t="s">
        <v>6620</v>
      </c>
    </row>
    <row r="3363" spans="27:27">
      <c r="AA3363" s="158" t="s">
        <v>6621</v>
      </c>
    </row>
    <row r="3364" spans="27:27">
      <c r="AA3364" s="158" t="s">
        <v>186</v>
      </c>
    </row>
    <row r="3365" spans="27:27">
      <c r="AA3365" s="158" t="s">
        <v>187</v>
      </c>
    </row>
    <row r="3366" spans="27:27">
      <c r="AA3366" s="158" t="s">
        <v>188</v>
      </c>
    </row>
    <row r="3367" spans="27:27">
      <c r="AA3367" s="158" t="s">
        <v>6622</v>
      </c>
    </row>
    <row r="3368" spans="27:27">
      <c r="AA3368" s="158" t="s">
        <v>189</v>
      </c>
    </row>
    <row r="3369" spans="27:27">
      <c r="AA3369" s="158" t="s">
        <v>6623</v>
      </c>
    </row>
    <row r="3370" spans="27:27">
      <c r="AA3370" s="158" t="s">
        <v>6624</v>
      </c>
    </row>
    <row r="3371" spans="27:27">
      <c r="AA3371" s="158" t="s">
        <v>6625</v>
      </c>
    </row>
    <row r="3372" spans="27:27">
      <c r="AA3372" s="158" t="s">
        <v>6626</v>
      </c>
    </row>
    <row r="3373" spans="27:27">
      <c r="AA3373" s="158" t="s">
        <v>6627</v>
      </c>
    </row>
    <row r="3374" spans="27:27">
      <c r="AA3374" s="158" t="s">
        <v>6628</v>
      </c>
    </row>
    <row r="3375" spans="27:27">
      <c r="AA3375" s="158" t="s">
        <v>190</v>
      </c>
    </row>
    <row r="3376" spans="27:27">
      <c r="AA3376" s="158" t="s">
        <v>191</v>
      </c>
    </row>
    <row r="3377" spans="27:27">
      <c r="AA3377" s="158" t="s">
        <v>192</v>
      </c>
    </row>
    <row r="3378" spans="27:27">
      <c r="AA3378" s="158" t="s">
        <v>6629</v>
      </c>
    </row>
    <row r="3379" spans="27:27">
      <c r="AA3379" s="158" t="s">
        <v>193</v>
      </c>
    </row>
    <row r="3380" spans="27:27">
      <c r="AA3380" s="158" t="s">
        <v>6630</v>
      </c>
    </row>
    <row r="3381" spans="27:27">
      <c r="AA3381" s="158" t="s">
        <v>194</v>
      </c>
    </row>
    <row r="3382" spans="27:27">
      <c r="AA3382" s="158" t="s">
        <v>6631</v>
      </c>
    </row>
    <row r="3383" spans="27:27">
      <c r="AA3383" s="158" t="s">
        <v>195</v>
      </c>
    </row>
    <row r="3384" spans="27:27">
      <c r="AA3384" s="158" t="s">
        <v>6632</v>
      </c>
    </row>
    <row r="3385" spans="27:27">
      <c r="AA3385" s="158" t="s">
        <v>6633</v>
      </c>
    </row>
    <row r="3386" spans="27:27">
      <c r="AA3386" s="158" t="s">
        <v>196</v>
      </c>
    </row>
    <row r="3387" spans="27:27">
      <c r="AA3387" s="158" t="s">
        <v>6634</v>
      </c>
    </row>
    <row r="3388" spans="27:27">
      <c r="AA3388" s="158" t="s">
        <v>6635</v>
      </c>
    </row>
    <row r="3389" spans="27:27">
      <c r="AA3389" s="158" t="s">
        <v>197</v>
      </c>
    </row>
    <row r="3390" spans="27:27">
      <c r="AA3390" s="158" t="s">
        <v>6636</v>
      </c>
    </row>
    <row r="3391" spans="27:27">
      <c r="AA3391" s="158" t="s">
        <v>6637</v>
      </c>
    </row>
    <row r="3392" spans="27:27">
      <c r="AA3392" s="158" t="s">
        <v>6638</v>
      </c>
    </row>
    <row r="3393" spans="27:27">
      <c r="AA3393" s="158" t="s">
        <v>198</v>
      </c>
    </row>
    <row r="3394" spans="27:27">
      <c r="AA3394" s="158" t="s">
        <v>6639</v>
      </c>
    </row>
    <row r="3395" spans="27:27">
      <c r="AA3395" s="158" t="s">
        <v>6640</v>
      </c>
    </row>
    <row r="3396" spans="27:27">
      <c r="AA3396" s="158" t="s">
        <v>6641</v>
      </c>
    </row>
    <row r="3397" spans="27:27">
      <c r="AA3397" s="158" t="s">
        <v>199</v>
      </c>
    </row>
    <row r="3398" spans="27:27">
      <c r="AA3398" s="158" t="s">
        <v>6642</v>
      </c>
    </row>
    <row r="3399" spans="27:27">
      <c r="AA3399" s="158" t="s">
        <v>6643</v>
      </c>
    </row>
    <row r="3400" spans="27:27">
      <c r="AA3400" s="158" t="s">
        <v>6644</v>
      </c>
    </row>
    <row r="3401" spans="27:27">
      <c r="AA3401" s="158" t="s">
        <v>6645</v>
      </c>
    </row>
    <row r="3402" spans="27:27">
      <c r="AA3402" s="158" t="s">
        <v>200</v>
      </c>
    </row>
    <row r="3403" spans="27:27">
      <c r="AA3403" s="158" t="s">
        <v>6646</v>
      </c>
    </row>
    <row r="3404" spans="27:27">
      <c r="AA3404" s="158" t="s">
        <v>6647</v>
      </c>
    </row>
    <row r="3405" spans="27:27">
      <c r="AA3405" s="158" t="s">
        <v>6648</v>
      </c>
    </row>
    <row r="3406" spans="27:27">
      <c r="AA3406" s="158" t="s">
        <v>6649</v>
      </c>
    </row>
    <row r="3407" spans="27:27">
      <c r="AA3407" s="158" t="s">
        <v>201</v>
      </c>
    </row>
    <row r="3408" spans="27:27">
      <c r="AA3408" s="158" t="s">
        <v>1704</v>
      </c>
    </row>
    <row r="3409" spans="27:27">
      <c r="AA3409" s="158" t="s">
        <v>1705</v>
      </c>
    </row>
    <row r="3410" spans="27:27">
      <c r="AA3410" s="158" t="s">
        <v>6650</v>
      </c>
    </row>
    <row r="3411" spans="27:27">
      <c r="AA3411" s="158" t="s">
        <v>1706</v>
      </c>
    </row>
    <row r="3412" spans="27:27">
      <c r="AA3412" s="158" t="s">
        <v>6651</v>
      </c>
    </row>
    <row r="3413" spans="27:27">
      <c r="AA3413" s="158" t="s">
        <v>202</v>
      </c>
    </row>
    <row r="3414" spans="27:27">
      <c r="AA3414" s="158" t="s">
        <v>6652</v>
      </c>
    </row>
    <row r="3415" spans="27:27">
      <c r="AA3415" s="158" t="s">
        <v>6653</v>
      </c>
    </row>
    <row r="3416" spans="27:27">
      <c r="AA3416" s="158" t="s">
        <v>6654</v>
      </c>
    </row>
    <row r="3417" spans="27:27">
      <c r="AA3417" s="158" t="s">
        <v>203</v>
      </c>
    </row>
    <row r="3418" spans="27:27">
      <c r="AA3418" s="158" t="s">
        <v>6655</v>
      </c>
    </row>
    <row r="3419" spans="27:27">
      <c r="AA3419" s="158" t="s">
        <v>204</v>
      </c>
    </row>
    <row r="3420" spans="27:27">
      <c r="AA3420" s="158" t="s">
        <v>6656</v>
      </c>
    </row>
    <row r="3421" spans="27:27">
      <c r="AA3421" s="158" t="s">
        <v>1707</v>
      </c>
    </row>
    <row r="3422" spans="27:27">
      <c r="AA3422" s="158" t="s">
        <v>205</v>
      </c>
    </row>
    <row r="3423" spans="27:27">
      <c r="AA3423" s="158" t="s">
        <v>206</v>
      </c>
    </row>
    <row r="3424" spans="27:27">
      <c r="AA3424" s="158" t="s">
        <v>6657</v>
      </c>
    </row>
    <row r="3425" spans="27:27">
      <c r="AA3425" s="158" t="s">
        <v>207</v>
      </c>
    </row>
    <row r="3426" spans="27:27">
      <c r="AA3426" s="158" t="s">
        <v>6658</v>
      </c>
    </row>
    <row r="3427" spans="27:27">
      <c r="AA3427" s="158" t="s">
        <v>208</v>
      </c>
    </row>
    <row r="3428" spans="27:27">
      <c r="AA3428" s="158" t="s">
        <v>6659</v>
      </c>
    </row>
    <row r="3429" spans="27:27">
      <c r="AA3429" s="158" t="s">
        <v>6660</v>
      </c>
    </row>
    <row r="3430" spans="27:27">
      <c r="AA3430" s="158" t="s">
        <v>6661</v>
      </c>
    </row>
    <row r="3431" spans="27:27">
      <c r="AA3431" s="158" t="s">
        <v>3635</v>
      </c>
    </row>
    <row r="3432" spans="27:27">
      <c r="AA3432" s="158" t="s">
        <v>1708</v>
      </c>
    </row>
    <row r="3433" spans="27:27">
      <c r="AA3433" s="158" t="s">
        <v>6662</v>
      </c>
    </row>
    <row r="3434" spans="27:27">
      <c r="AA3434" s="158" t="s">
        <v>6663</v>
      </c>
    </row>
    <row r="3435" spans="27:27">
      <c r="AA3435" s="158" t="s">
        <v>1709</v>
      </c>
    </row>
    <row r="3436" spans="27:27">
      <c r="AA3436" s="158" t="s">
        <v>3636</v>
      </c>
    </row>
    <row r="3437" spans="27:27">
      <c r="AA3437" s="158" t="s">
        <v>1710</v>
      </c>
    </row>
    <row r="3438" spans="27:27">
      <c r="AA3438" s="158" t="s">
        <v>209</v>
      </c>
    </row>
    <row r="3439" spans="27:27">
      <c r="AA3439" s="158" t="s">
        <v>210</v>
      </c>
    </row>
    <row r="3440" spans="27:27">
      <c r="AA3440" s="158" t="s">
        <v>211</v>
      </c>
    </row>
    <row r="3441" spans="27:27">
      <c r="AA3441" s="158" t="s">
        <v>212</v>
      </c>
    </row>
    <row r="3442" spans="27:27">
      <c r="AA3442" s="158" t="s">
        <v>213</v>
      </c>
    </row>
    <row r="3443" spans="27:27">
      <c r="AA3443" s="158" t="s">
        <v>3637</v>
      </c>
    </row>
    <row r="3444" spans="27:27">
      <c r="AA3444" s="158" t="s">
        <v>6664</v>
      </c>
    </row>
    <row r="3445" spans="27:27">
      <c r="AA3445" s="158" t="s">
        <v>6665</v>
      </c>
    </row>
    <row r="3446" spans="27:27">
      <c r="AA3446" s="158" t="s">
        <v>6666</v>
      </c>
    </row>
    <row r="3447" spans="27:27">
      <c r="AA3447" s="158" t="s">
        <v>6667</v>
      </c>
    </row>
    <row r="3448" spans="27:27">
      <c r="AA3448" s="158" t="s">
        <v>6668</v>
      </c>
    </row>
    <row r="3449" spans="27:27">
      <c r="AA3449" s="158" t="s">
        <v>6669</v>
      </c>
    </row>
    <row r="3450" spans="27:27">
      <c r="AA3450" s="158" t="s">
        <v>6670</v>
      </c>
    </row>
    <row r="3451" spans="27:27">
      <c r="AA3451" s="158" t="s">
        <v>6671</v>
      </c>
    </row>
    <row r="3452" spans="27:27">
      <c r="AA3452" s="158" t="s">
        <v>214</v>
      </c>
    </row>
    <row r="3453" spans="27:27">
      <c r="AA3453" s="158" t="s">
        <v>215</v>
      </c>
    </row>
    <row r="3454" spans="27:27">
      <c r="AA3454" s="158" t="s">
        <v>3638</v>
      </c>
    </row>
    <row r="3455" spans="27:27">
      <c r="AA3455" s="158" t="s">
        <v>216</v>
      </c>
    </row>
    <row r="3456" spans="27:27">
      <c r="AA3456" s="158" t="s">
        <v>3639</v>
      </c>
    </row>
    <row r="3457" spans="27:27">
      <c r="AA3457" s="158" t="s">
        <v>217</v>
      </c>
    </row>
    <row r="3458" spans="27:27">
      <c r="AA3458" s="158" t="s">
        <v>218</v>
      </c>
    </row>
    <row r="3459" spans="27:27">
      <c r="AA3459" s="158" t="s">
        <v>219</v>
      </c>
    </row>
    <row r="3460" spans="27:27">
      <c r="AA3460" s="158" t="s">
        <v>1711</v>
      </c>
    </row>
    <row r="3461" spans="27:27">
      <c r="AA3461" s="158" t="s">
        <v>6672</v>
      </c>
    </row>
    <row r="3462" spans="27:27">
      <c r="AA3462" s="158" t="s">
        <v>1712</v>
      </c>
    </row>
    <row r="3463" spans="27:27">
      <c r="AA3463" s="158" t="s">
        <v>6673</v>
      </c>
    </row>
    <row r="3464" spans="27:27">
      <c r="AA3464" s="158" t="s">
        <v>6674</v>
      </c>
    </row>
    <row r="3465" spans="27:27">
      <c r="AA3465" s="158" t="s">
        <v>6675</v>
      </c>
    </row>
    <row r="3466" spans="27:27">
      <c r="AA3466" s="158" t="s">
        <v>6676</v>
      </c>
    </row>
    <row r="3467" spans="27:27">
      <c r="AA3467" s="158" t="s">
        <v>6677</v>
      </c>
    </row>
    <row r="3468" spans="27:27">
      <c r="AA3468" s="158" t="s">
        <v>6678</v>
      </c>
    </row>
    <row r="3469" spans="27:27">
      <c r="AA3469" s="158" t="s">
        <v>6679</v>
      </c>
    </row>
    <row r="3470" spans="27:27">
      <c r="AA3470" s="158" t="s">
        <v>1713</v>
      </c>
    </row>
    <row r="3471" spans="27:27">
      <c r="AA3471" s="158" t="s">
        <v>1714</v>
      </c>
    </row>
    <row r="3472" spans="27:27">
      <c r="AA3472" s="158" t="s">
        <v>6680</v>
      </c>
    </row>
    <row r="3473" spans="27:27">
      <c r="AA3473" s="158" t="s">
        <v>1715</v>
      </c>
    </row>
    <row r="3474" spans="27:27">
      <c r="AA3474" s="158" t="s">
        <v>6681</v>
      </c>
    </row>
    <row r="3475" spans="27:27">
      <c r="AA3475" s="158" t="s">
        <v>1716</v>
      </c>
    </row>
    <row r="3476" spans="27:27">
      <c r="AA3476" s="158" t="s">
        <v>6682</v>
      </c>
    </row>
    <row r="3477" spans="27:27">
      <c r="AA3477" s="158" t="s">
        <v>1717</v>
      </c>
    </row>
    <row r="3478" spans="27:27">
      <c r="AA3478" s="158" t="s">
        <v>6683</v>
      </c>
    </row>
    <row r="3479" spans="27:27">
      <c r="AA3479" s="158" t="s">
        <v>1718</v>
      </c>
    </row>
    <row r="3480" spans="27:27">
      <c r="AA3480" s="158" t="s">
        <v>220</v>
      </c>
    </row>
    <row r="3481" spans="27:27">
      <c r="AA3481" s="158" t="s">
        <v>1719</v>
      </c>
    </row>
    <row r="3482" spans="27:27">
      <c r="AA3482" s="158" t="s">
        <v>6684</v>
      </c>
    </row>
    <row r="3483" spans="27:27">
      <c r="AA3483" s="158" t="s">
        <v>1720</v>
      </c>
    </row>
    <row r="3484" spans="27:27">
      <c r="AA3484" s="158" t="s">
        <v>6685</v>
      </c>
    </row>
    <row r="3485" spans="27:27">
      <c r="AA3485" s="158" t="s">
        <v>221</v>
      </c>
    </row>
    <row r="3486" spans="27:27">
      <c r="AA3486" s="158" t="s">
        <v>222</v>
      </c>
    </row>
    <row r="3487" spans="27:27">
      <c r="AA3487" s="158" t="s">
        <v>223</v>
      </c>
    </row>
    <row r="3488" spans="27:27">
      <c r="AA3488" s="158" t="s">
        <v>224</v>
      </c>
    </row>
    <row r="3489" spans="27:27">
      <c r="AA3489" s="158" t="s">
        <v>225</v>
      </c>
    </row>
    <row r="3490" spans="27:27">
      <c r="AA3490" s="158" t="s">
        <v>226</v>
      </c>
    </row>
    <row r="3491" spans="27:27">
      <c r="AA3491" s="158" t="s">
        <v>227</v>
      </c>
    </row>
    <row r="3492" spans="27:27">
      <c r="AA3492" s="158" t="s">
        <v>228</v>
      </c>
    </row>
    <row r="3493" spans="27:27">
      <c r="AA3493" s="158" t="s">
        <v>229</v>
      </c>
    </row>
    <row r="3494" spans="27:27">
      <c r="AA3494" s="158" t="s">
        <v>230</v>
      </c>
    </row>
    <row r="3495" spans="27:27">
      <c r="AA3495" s="158" t="s">
        <v>231</v>
      </c>
    </row>
    <row r="3496" spans="27:27">
      <c r="AA3496" s="158" t="s">
        <v>232</v>
      </c>
    </row>
    <row r="3497" spans="27:27">
      <c r="AA3497" s="158" t="s">
        <v>233</v>
      </c>
    </row>
    <row r="3498" spans="27:27">
      <c r="AA3498" s="158" t="s">
        <v>234</v>
      </c>
    </row>
    <row r="3499" spans="27:27">
      <c r="AA3499" s="158" t="s">
        <v>235</v>
      </c>
    </row>
    <row r="3500" spans="27:27">
      <c r="AA3500" s="158" t="s">
        <v>236</v>
      </c>
    </row>
    <row r="3501" spans="27:27">
      <c r="AA3501" s="158" t="s">
        <v>237</v>
      </c>
    </row>
    <row r="3502" spans="27:27">
      <c r="AA3502" s="158" t="s">
        <v>238</v>
      </c>
    </row>
    <row r="3503" spans="27:27">
      <c r="AA3503" s="158" t="s">
        <v>239</v>
      </c>
    </row>
    <row r="3504" spans="27:27">
      <c r="AA3504" s="158" t="s">
        <v>240</v>
      </c>
    </row>
    <row r="3505" spans="27:27">
      <c r="AA3505" s="158" t="s">
        <v>241</v>
      </c>
    </row>
    <row r="3506" spans="27:27">
      <c r="AA3506" s="158" t="s">
        <v>242</v>
      </c>
    </row>
    <row r="3507" spans="27:27">
      <c r="AA3507" s="158" t="s">
        <v>243</v>
      </c>
    </row>
    <row r="3508" spans="27:27">
      <c r="AA3508" s="158" t="s">
        <v>244</v>
      </c>
    </row>
    <row r="3509" spans="27:27">
      <c r="AA3509" s="158" t="s">
        <v>245</v>
      </c>
    </row>
    <row r="3510" spans="27:27">
      <c r="AA3510" s="158" t="s">
        <v>246</v>
      </c>
    </row>
    <row r="3511" spans="27:27">
      <c r="AA3511" s="158" t="s">
        <v>247</v>
      </c>
    </row>
    <row r="3512" spans="27:27">
      <c r="AA3512" s="158" t="s">
        <v>248</v>
      </c>
    </row>
    <row r="3513" spans="27:27">
      <c r="AA3513" s="158" t="s">
        <v>249</v>
      </c>
    </row>
    <row r="3514" spans="27:27">
      <c r="AA3514" s="158" t="s">
        <v>250</v>
      </c>
    </row>
    <row r="3515" spans="27:27">
      <c r="AA3515" s="158" t="s">
        <v>251</v>
      </c>
    </row>
    <row r="3516" spans="27:27">
      <c r="AA3516" s="158" t="s">
        <v>6686</v>
      </c>
    </row>
    <row r="3517" spans="27:27">
      <c r="AA3517" s="158" t="s">
        <v>252</v>
      </c>
    </row>
    <row r="3518" spans="27:27">
      <c r="AA3518" s="158" t="s">
        <v>253</v>
      </c>
    </row>
    <row r="3519" spans="27:27">
      <c r="AA3519" s="158" t="s">
        <v>254</v>
      </c>
    </row>
    <row r="3520" spans="27:27">
      <c r="AA3520" s="158" t="s">
        <v>255</v>
      </c>
    </row>
    <row r="3521" spans="27:27">
      <c r="AA3521" s="158" t="s">
        <v>6687</v>
      </c>
    </row>
    <row r="3522" spans="27:27">
      <c r="AA3522" s="158" t="s">
        <v>256</v>
      </c>
    </row>
    <row r="3523" spans="27:27">
      <c r="AA3523" s="158" t="s">
        <v>257</v>
      </c>
    </row>
    <row r="3524" spans="27:27">
      <c r="AA3524" s="158" t="s">
        <v>6688</v>
      </c>
    </row>
    <row r="3525" spans="27:27">
      <c r="AA3525" s="158" t="s">
        <v>6689</v>
      </c>
    </row>
    <row r="3526" spans="27:27">
      <c r="AA3526" s="158" t="s">
        <v>6690</v>
      </c>
    </row>
    <row r="3527" spans="27:27">
      <c r="AA3527" s="158" t="s">
        <v>6691</v>
      </c>
    </row>
    <row r="3528" spans="27:27">
      <c r="AA3528" s="158" t="s">
        <v>6692</v>
      </c>
    </row>
    <row r="3529" spans="27:27">
      <c r="AA3529" s="158" t="s">
        <v>6693</v>
      </c>
    </row>
    <row r="3530" spans="27:27">
      <c r="AA3530" s="158" t="s">
        <v>6694</v>
      </c>
    </row>
    <row r="3531" spans="27:27">
      <c r="AA3531" s="158" t="s">
        <v>1721</v>
      </c>
    </row>
    <row r="3532" spans="27:27">
      <c r="AA3532" s="158" t="s">
        <v>6695</v>
      </c>
    </row>
    <row r="3533" spans="27:27">
      <c r="AA3533" s="158" t="s">
        <v>1722</v>
      </c>
    </row>
    <row r="3534" spans="27:27">
      <c r="AA3534" s="158" t="s">
        <v>6696</v>
      </c>
    </row>
    <row r="3535" spans="27:27">
      <c r="AA3535" s="158" t="s">
        <v>6697</v>
      </c>
    </row>
    <row r="3536" spans="27:27">
      <c r="AA3536" s="158" t="s">
        <v>6698</v>
      </c>
    </row>
    <row r="3537" spans="27:27">
      <c r="AA3537" s="158" t="s">
        <v>6699</v>
      </c>
    </row>
    <row r="3538" spans="27:27">
      <c r="AA3538" s="158" t="s">
        <v>6700</v>
      </c>
    </row>
    <row r="3539" spans="27:27">
      <c r="AA3539" s="158" t="s">
        <v>6701</v>
      </c>
    </row>
    <row r="3540" spans="27:27">
      <c r="AA3540" s="158" t="s">
        <v>6702</v>
      </c>
    </row>
    <row r="3541" spans="27:27">
      <c r="AA3541" s="158" t="s">
        <v>1723</v>
      </c>
    </row>
    <row r="3542" spans="27:27">
      <c r="AA3542" s="158" t="s">
        <v>1724</v>
      </c>
    </row>
    <row r="3543" spans="27:27">
      <c r="AA3543" s="158" t="s">
        <v>1725</v>
      </c>
    </row>
    <row r="3544" spans="27:27">
      <c r="AA3544" s="158" t="s">
        <v>6703</v>
      </c>
    </row>
    <row r="3545" spans="27:27">
      <c r="AA3545" s="158" t="s">
        <v>6704</v>
      </c>
    </row>
    <row r="3546" spans="27:27">
      <c r="AA3546" s="158" t="s">
        <v>6705</v>
      </c>
    </row>
    <row r="3547" spans="27:27">
      <c r="AA3547" s="158" t="s">
        <v>1726</v>
      </c>
    </row>
    <row r="3548" spans="27:27">
      <c r="AA3548" s="158" t="s">
        <v>1727</v>
      </c>
    </row>
    <row r="3549" spans="27:27">
      <c r="AA3549" s="158" t="s">
        <v>1728</v>
      </c>
    </row>
    <row r="3550" spans="27:27">
      <c r="AA3550" s="158" t="s">
        <v>6706</v>
      </c>
    </row>
    <row r="3551" spans="27:27">
      <c r="AA3551" s="158" t="s">
        <v>6707</v>
      </c>
    </row>
    <row r="3552" spans="27:27">
      <c r="AA3552" s="158" t="s">
        <v>6708</v>
      </c>
    </row>
    <row r="3553" spans="27:27">
      <c r="AA3553" s="158" t="s">
        <v>6709</v>
      </c>
    </row>
    <row r="3554" spans="27:27">
      <c r="AA3554" s="158" t="s">
        <v>6710</v>
      </c>
    </row>
    <row r="3555" spans="27:27">
      <c r="AA3555" s="158" t="s">
        <v>6711</v>
      </c>
    </row>
    <row r="3556" spans="27:27">
      <c r="AA3556" s="158" t="s">
        <v>6712</v>
      </c>
    </row>
    <row r="3557" spans="27:27">
      <c r="AA3557" s="158" t="s">
        <v>6713</v>
      </c>
    </row>
    <row r="3558" spans="27:27">
      <c r="AA3558" s="158" t="s">
        <v>6714</v>
      </c>
    </row>
    <row r="3559" spans="27:27">
      <c r="AA3559" s="158" t="s">
        <v>1729</v>
      </c>
    </row>
    <row r="3560" spans="27:27">
      <c r="AA3560" s="158" t="s">
        <v>1730</v>
      </c>
    </row>
    <row r="3561" spans="27:27">
      <c r="AA3561" s="158" t="s">
        <v>3640</v>
      </c>
    </row>
    <row r="3562" spans="27:27">
      <c r="AA3562" s="158" t="s">
        <v>6715</v>
      </c>
    </row>
    <row r="3563" spans="27:27">
      <c r="AA3563" s="158" t="s">
        <v>6716</v>
      </c>
    </row>
    <row r="3564" spans="27:27">
      <c r="AA3564" s="158" t="s">
        <v>6717</v>
      </c>
    </row>
    <row r="3565" spans="27:27">
      <c r="AA3565" s="158" t="s">
        <v>6718</v>
      </c>
    </row>
    <row r="3566" spans="27:27">
      <c r="AA3566" s="158" t="s">
        <v>6719</v>
      </c>
    </row>
    <row r="3567" spans="27:27">
      <c r="AA3567" s="158" t="s">
        <v>6720</v>
      </c>
    </row>
    <row r="3568" spans="27:27">
      <c r="AA3568" s="158" t="s">
        <v>6721</v>
      </c>
    </row>
    <row r="3569" spans="27:27">
      <c r="AA3569" s="158" t="s">
        <v>1731</v>
      </c>
    </row>
    <row r="3570" spans="27:27">
      <c r="AA3570" s="158" t="s">
        <v>6722</v>
      </c>
    </row>
    <row r="3571" spans="27:27">
      <c r="AA3571" s="158" t="s">
        <v>6723</v>
      </c>
    </row>
    <row r="3572" spans="27:27">
      <c r="AA3572" s="158" t="s">
        <v>1732</v>
      </c>
    </row>
    <row r="3573" spans="27:27">
      <c r="AA3573" s="158" t="s">
        <v>6724</v>
      </c>
    </row>
    <row r="3574" spans="27:27">
      <c r="AA3574" s="158" t="s">
        <v>6725</v>
      </c>
    </row>
    <row r="3575" spans="27:27">
      <c r="AA3575" s="158" t="s">
        <v>6726</v>
      </c>
    </row>
    <row r="3576" spans="27:27">
      <c r="AA3576" s="158" t="s">
        <v>6727</v>
      </c>
    </row>
    <row r="3577" spans="27:27">
      <c r="AA3577" s="158" t="s">
        <v>6728</v>
      </c>
    </row>
    <row r="3578" spans="27:27">
      <c r="AA3578" s="158" t="s">
        <v>6729</v>
      </c>
    </row>
    <row r="3579" spans="27:27">
      <c r="AA3579" s="158" t="s">
        <v>6730</v>
      </c>
    </row>
    <row r="3580" spans="27:27">
      <c r="AA3580" s="158" t="s">
        <v>6731</v>
      </c>
    </row>
    <row r="3581" spans="27:27">
      <c r="AA3581" s="158" t="s">
        <v>6732</v>
      </c>
    </row>
    <row r="3582" spans="27:27">
      <c r="AA3582" s="158" t="s">
        <v>6733</v>
      </c>
    </row>
    <row r="3583" spans="27:27">
      <c r="AA3583" s="158" t="s">
        <v>6734</v>
      </c>
    </row>
    <row r="3584" spans="27:27">
      <c r="AA3584" s="158" t="s">
        <v>6735</v>
      </c>
    </row>
    <row r="3585" spans="27:27">
      <c r="AA3585" s="158" t="s">
        <v>6736</v>
      </c>
    </row>
    <row r="3586" spans="27:27">
      <c r="AA3586" s="158" t="s">
        <v>6737</v>
      </c>
    </row>
    <row r="3587" spans="27:27">
      <c r="AA3587" s="158" t="s">
        <v>1733</v>
      </c>
    </row>
    <row r="3588" spans="27:27">
      <c r="AA3588" s="158" t="s">
        <v>6738</v>
      </c>
    </row>
    <row r="3589" spans="27:27">
      <c r="AA3589" s="158" t="s">
        <v>6739</v>
      </c>
    </row>
    <row r="3590" spans="27:27">
      <c r="AA3590" s="158" t="s">
        <v>6740</v>
      </c>
    </row>
    <row r="3591" spans="27:27">
      <c r="AA3591" s="158" t="s">
        <v>6741</v>
      </c>
    </row>
    <row r="3592" spans="27:27">
      <c r="AA3592" s="158" t="s">
        <v>1734</v>
      </c>
    </row>
    <row r="3593" spans="27:27">
      <c r="AA3593" s="158" t="s">
        <v>6742</v>
      </c>
    </row>
    <row r="3594" spans="27:27">
      <c r="AA3594" s="158" t="s">
        <v>6743</v>
      </c>
    </row>
    <row r="3595" spans="27:27">
      <c r="AA3595" s="158" t="s">
        <v>1735</v>
      </c>
    </row>
    <row r="3596" spans="27:27">
      <c r="AA3596" s="158" t="s">
        <v>6744</v>
      </c>
    </row>
    <row r="3597" spans="27:27">
      <c r="AA3597" s="158" t="s">
        <v>6745</v>
      </c>
    </row>
    <row r="3598" spans="27:27">
      <c r="AA3598" s="158" t="s">
        <v>1736</v>
      </c>
    </row>
    <row r="3599" spans="27:27">
      <c r="AA3599" s="158" t="s">
        <v>6746</v>
      </c>
    </row>
    <row r="3600" spans="27:27">
      <c r="AA3600" s="158" t="s">
        <v>1737</v>
      </c>
    </row>
    <row r="3601" spans="27:27">
      <c r="AA3601" s="158" t="s">
        <v>6747</v>
      </c>
    </row>
    <row r="3602" spans="27:27">
      <c r="AA3602" s="158" t="s">
        <v>6748</v>
      </c>
    </row>
    <row r="3603" spans="27:27">
      <c r="AA3603" s="158" t="s">
        <v>6749</v>
      </c>
    </row>
    <row r="3604" spans="27:27">
      <c r="AA3604" s="158" t="s">
        <v>6750</v>
      </c>
    </row>
    <row r="3605" spans="27:27">
      <c r="AA3605" s="158" t="s">
        <v>6751</v>
      </c>
    </row>
    <row r="3606" spans="27:27">
      <c r="AA3606" s="158" t="s">
        <v>6752</v>
      </c>
    </row>
    <row r="3607" spans="27:27">
      <c r="AA3607" s="158" t="s">
        <v>6753</v>
      </c>
    </row>
    <row r="3608" spans="27:27">
      <c r="AA3608" s="158" t="s">
        <v>1738</v>
      </c>
    </row>
    <row r="3609" spans="27:27">
      <c r="AA3609" s="158" t="s">
        <v>6754</v>
      </c>
    </row>
    <row r="3610" spans="27:27">
      <c r="AA3610" s="158" t="s">
        <v>6755</v>
      </c>
    </row>
    <row r="3611" spans="27:27">
      <c r="AA3611" s="158" t="s">
        <v>1739</v>
      </c>
    </row>
    <row r="3612" spans="27:27">
      <c r="AA3612" s="158" t="s">
        <v>1740</v>
      </c>
    </row>
    <row r="3613" spans="27:27">
      <c r="AA3613" s="158" t="s">
        <v>1741</v>
      </c>
    </row>
    <row r="3614" spans="27:27">
      <c r="AA3614" s="158" t="s">
        <v>6756</v>
      </c>
    </row>
    <row r="3615" spans="27:27">
      <c r="AA3615" s="158" t="s">
        <v>6757</v>
      </c>
    </row>
    <row r="3616" spans="27:27">
      <c r="AA3616" s="158" t="s">
        <v>6758</v>
      </c>
    </row>
    <row r="3617" spans="27:27">
      <c r="AA3617" s="158" t="s">
        <v>1742</v>
      </c>
    </row>
    <row r="3618" spans="27:27">
      <c r="AA3618" s="158" t="s">
        <v>6759</v>
      </c>
    </row>
    <row r="3619" spans="27:27">
      <c r="AA3619" s="158" t="s">
        <v>6760</v>
      </c>
    </row>
    <row r="3620" spans="27:27">
      <c r="AA3620" s="158" t="s">
        <v>6761</v>
      </c>
    </row>
    <row r="3621" spans="27:27">
      <c r="AA3621" s="158" t="s">
        <v>6762</v>
      </c>
    </row>
    <row r="3622" spans="27:27">
      <c r="AA3622" s="158" t="s">
        <v>1743</v>
      </c>
    </row>
    <row r="3623" spans="27:27">
      <c r="AA3623" s="158" t="s">
        <v>3641</v>
      </c>
    </row>
    <row r="3624" spans="27:27">
      <c r="AA3624" s="158" t="s">
        <v>6763</v>
      </c>
    </row>
    <row r="3625" spans="27:27">
      <c r="AA3625" s="158" t="s">
        <v>6764</v>
      </c>
    </row>
    <row r="3626" spans="27:27">
      <c r="AA3626" s="158" t="s">
        <v>1744</v>
      </c>
    </row>
    <row r="3627" spans="27:27">
      <c r="AA3627" s="158" t="s">
        <v>6765</v>
      </c>
    </row>
    <row r="3628" spans="27:27">
      <c r="AA3628" s="158" t="s">
        <v>1745</v>
      </c>
    </row>
    <row r="3629" spans="27:27">
      <c r="AA3629" s="158" t="s">
        <v>6766</v>
      </c>
    </row>
    <row r="3630" spans="27:27">
      <c r="AA3630" s="158" t="s">
        <v>6767</v>
      </c>
    </row>
    <row r="3631" spans="27:27">
      <c r="AA3631" s="158" t="s">
        <v>6768</v>
      </c>
    </row>
    <row r="3632" spans="27:27">
      <c r="AA3632" s="158" t="s">
        <v>6769</v>
      </c>
    </row>
    <row r="3633" spans="27:27">
      <c r="AA3633" s="158" t="s">
        <v>6770</v>
      </c>
    </row>
    <row r="3634" spans="27:27">
      <c r="AA3634" s="158" t="s">
        <v>6771</v>
      </c>
    </row>
    <row r="3635" spans="27:27">
      <c r="AA3635" s="158" t="s">
        <v>6772</v>
      </c>
    </row>
    <row r="3636" spans="27:27">
      <c r="AA3636" s="158" t="s">
        <v>6773</v>
      </c>
    </row>
    <row r="3637" spans="27:27">
      <c r="AA3637" s="158" t="s">
        <v>6774</v>
      </c>
    </row>
    <row r="3638" spans="27:27">
      <c r="AA3638" s="158" t="s">
        <v>6775</v>
      </c>
    </row>
    <row r="3639" spans="27:27">
      <c r="AA3639" s="158" t="s">
        <v>6776</v>
      </c>
    </row>
    <row r="3640" spans="27:27">
      <c r="AA3640" s="158" t="s">
        <v>1746</v>
      </c>
    </row>
    <row r="3641" spans="27:27">
      <c r="AA3641" s="158" t="s">
        <v>6777</v>
      </c>
    </row>
    <row r="3642" spans="27:27">
      <c r="AA3642" s="158" t="s">
        <v>6778</v>
      </c>
    </row>
    <row r="3643" spans="27:27">
      <c r="AA3643" s="158" t="s">
        <v>6779</v>
      </c>
    </row>
    <row r="3644" spans="27:27">
      <c r="AA3644" s="158" t="s">
        <v>1747</v>
      </c>
    </row>
    <row r="3645" spans="27:27">
      <c r="AA3645" s="158" t="s">
        <v>6780</v>
      </c>
    </row>
    <row r="3646" spans="27:27">
      <c r="AA3646" s="158" t="s">
        <v>6781</v>
      </c>
    </row>
    <row r="3647" spans="27:27">
      <c r="AA3647" s="158" t="s">
        <v>6782</v>
      </c>
    </row>
    <row r="3648" spans="27:27">
      <c r="AA3648" s="158" t="s">
        <v>6783</v>
      </c>
    </row>
    <row r="3649" spans="27:27">
      <c r="AA3649" s="158" t="s">
        <v>1748</v>
      </c>
    </row>
    <row r="3650" spans="27:27">
      <c r="AA3650" s="158" t="s">
        <v>6784</v>
      </c>
    </row>
    <row r="3651" spans="27:27">
      <c r="AA3651" s="158" t="s">
        <v>6785</v>
      </c>
    </row>
    <row r="3652" spans="27:27">
      <c r="AA3652" s="158" t="s">
        <v>1749</v>
      </c>
    </row>
    <row r="3653" spans="27:27">
      <c r="AA3653" s="158" t="s">
        <v>6786</v>
      </c>
    </row>
    <row r="3654" spans="27:27">
      <c r="AA3654" s="158" t="s">
        <v>1750</v>
      </c>
    </row>
    <row r="3655" spans="27:27">
      <c r="AA3655" s="158" t="s">
        <v>6787</v>
      </c>
    </row>
    <row r="3656" spans="27:27">
      <c r="AA3656" s="158" t="s">
        <v>6788</v>
      </c>
    </row>
    <row r="3657" spans="27:27">
      <c r="AA3657" s="158" t="s">
        <v>1751</v>
      </c>
    </row>
    <row r="3658" spans="27:27">
      <c r="AA3658" s="158" t="s">
        <v>1752</v>
      </c>
    </row>
    <row r="3659" spans="27:27">
      <c r="AA3659" s="158" t="s">
        <v>6789</v>
      </c>
    </row>
    <row r="3660" spans="27:27">
      <c r="AA3660" s="158" t="s">
        <v>6790</v>
      </c>
    </row>
    <row r="3661" spans="27:27">
      <c r="AA3661" s="158" t="s">
        <v>6791</v>
      </c>
    </row>
    <row r="3662" spans="27:27">
      <c r="AA3662" s="158" t="s">
        <v>6792</v>
      </c>
    </row>
    <row r="3663" spans="27:27">
      <c r="AA3663" s="158" t="s">
        <v>6793</v>
      </c>
    </row>
    <row r="3664" spans="27:27">
      <c r="AA3664" s="158" t="s">
        <v>6794</v>
      </c>
    </row>
    <row r="3665" spans="27:27">
      <c r="AA3665" s="158" t="s">
        <v>6795</v>
      </c>
    </row>
    <row r="3666" spans="27:27">
      <c r="AA3666" s="158" t="s">
        <v>1753</v>
      </c>
    </row>
    <row r="3667" spans="27:27">
      <c r="AA3667" s="158" t="s">
        <v>6796</v>
      </c>
    </row>
    <row r="3668" spans="27:27">
      <c r="AA3668" s="158" t="s">
        <v>1754</v>
      </c>
    </row>
    <row r="3669" spans="27:27">
      <c r="AA3669" s="158" t="s">
        <v>3642</v>
      </c>
    </row>
    <row r="3670" spans="27:27">
      <c r="AA3670" s="158" t="s">
        <v>1755</v>
      </c>
    </row>
    <row r="3671" spans="27:27">
      <c r="AA3671" s="158" t="s">
        <v>1756</v>
      </c>
    </row>
    <row r="3672" spans="27:27">
      <c r="AA3672" s="158" t="s">
        <v>6797</v>
      </c>
    </row>
    <row r="3673" spans="27:27">
      <c r="AA3673" s="158" t="s">
        <v>6798</v>
      </c>
    </row>
    <row r="3674" spans="27:27">
      <c r="AA3674" s="158" t="s">
        <v>6799</v>
      </c>
    </row>
    <row r="3675" spans="27:27">
      <c r="AA3675" s="158" t="s">
        <v>6800</v>
      </c>
    </row>
    <row r="3676" spans="27:27">
      <c r="AA3676" s="158" t="s">
        <v>1757</v>
      </c>
    </row>
    <row r="3677" spans="27:27">
      <c r="AA3677" s="158" t="s">
        <v>6801</v>
      </c>
    </row>
    <row r="3678" spans="27:27">
      <c r="AA3678" s="158" t="s">
        <v>1758</v>
      </c>
    </row>
    <row r="3679" spans="27:27">
      <c r="AA3679" s="158" t="s">
        <v>6802</v>
      </c>
    </row>
    <row r="3680" spans="27:27">
      <c r="AA3680" s="158" t="s">
        <v>6803</v>
      </c>
    </row>
    <row r="3681" spans="27:27">
      <c r="AA3681" s="158" t="s">
        <v>6804</v>
      </c>
    </row>
    <row r="3682" spans="27:27">
      <c r="AA3682" s="158" t="s">
        <v>6805</v>
      </c>
    </row>
    <row r="3683" spans="27:27">
      <c r="AA3683" s="158" t="s">
        <v>6806</v>
      </c>
    </row>
    <row r="3684" spans="27:27">
      <c r="AA3684" s="158" t="s">
        <v>6807</v>
      </c>
    </row>
    <row r="3685" spans="27:27">
      <c r="AA3685" s="158" t="s">
        <v>6808</v>
      </c>
    </row>
    <row r="3686" spans="27:27">
      <c r="AA3686" s="158" t="s">
        <v>1759</v>
      </c>
    </row>
    <row r="3687" spans="27:27">
      <c r="AA3687" s="158" t="s">
        <v>6809</v>
      </c>
    </row>
    <row r="3688" spans="27:27">
      <c r="AA3688" s="158" t="s">
        <v>1760</v>
      </c>
    </row>
    <row r="3689" spans="27:27">
      <c r="AA3689" s="158" t="s">
        <v>6810</v>
      </c>
    </row>
    <row r="3690" spans="27:27">
      <c r="AA3690" s="158" t="s">
        <v>1761</v>
      </c>
    </row>
    <row r="3691" spans="27:27">
      <c r="AA3691" s="158" t="s">
        <v>6811</v>
      </c>
    </row>
    <row r="3692" spans="27:27">
      <c r="AA3692" s="158" t="s">
        <v>6812</v>
      </c>
    </row>
    <row r="3693" spans="27:27">
      <c r="AA3693" s="158" t="s">
        <v>1762</v>
      </c>
    </row>
    <row r="3694" spans="27:27">
      <c r="AA3694" s="158" t="s">
        <v>6813</v>
      </c>
    </row>
    <row r="3695" spans="27:27">
      <c r="AA3695" s="158" t="s">
        <v>6814</v>
      </c>
    </row>
    <row r="3696" spans="27:27">
      <c r="AA3696" s="158" t="s">
        <v>1763</v>
      </c>
    </row>
    <row r="3697" spans="27:27">
      <c r="AA3697" s="158" t="s">
        <v>6815</v>
      </c>
    </row>
    <row r="3698" spans="27:27">
      <c r="AA3698" s="158" t="s">
        <v>6816</v>
      </c>
    </row>
    <row r="3699" spans="27:27">
      <c r="AA3699" s="158" t="s">
        <v>1764</v>
      </c>
    </row>
    <row r="3700" spans="27:27">
      <c r="AA3700" s="158" t="s">
        <v>6817</v>
      </c>
    </row>
    <row r="3701" spans="27:27">
      <c r="AA3701" s="158" t="s">
        <v>6818</v>
      </c>
    </row>
    <row r="3702" spans="27:27">
      <c r="AA3702" s="158" t="s">
        <v>1765</v>
      </c>
    </row>
    <row r="3703" spans="27:27">
      <c r="AA3703" s="158" t="s">
        <v>6819</v>
      </c>
    </row>
    <row r="3704" spans="27:27">
      <c r="AA3704" s="158" t="s">
        <v>6820</v>
      </c>
    </row>
    <row r="3705" spans="27:27">
      <c r="AA3705" s="158" t="s">
        <v>1766</v>
      </c>
    </row>
    <row r="3706" spans="27:27">
      <c r="AA3706" s="158" t="s">
        <v>6821</v>
      </c>
    </row>
    <row r="3707" spans="27:27">
      <c r="AA3707" s="158" t="s">
        <v>6822</v>
      </c>
    </row>
    <row r="3708" spans="27:27">
      <c r="AA3708" s="158" t="s">
        <v>1767</v>
      </c>
    </row>
    <row r="3709" spans="27:27">
      <c r="AA3709" s="158" t="s">
        <v>6823</v>
      </c>
    </row>
    <row r="3710" spans="27:27">
      <c r="AA3710" s="158" t="s">
        <v>1768</v>
      </c>
    </row>
    <row r="3711" spans="27:27">
      <c r="AA3711" s="158" t="s">
        <v>6824</v>
      </c>
    </row>
    <row r="3712" spans="27:27">
      <c r="AA3712" s="158" t="s">
        <v>6825</v>
      </c>
    </row>
    <row r="3713" spans="27:27">
      <c r="AA3713" s="158" t="s">
        <v>1769</v>
      </c>
    </row>
    <row r="3714" spans="27:27">
      <c r="AA3714" s="158" t="s">
        <v>6826</v>
      </c>
    </row>
    <row r="3715" spans="27:27">
      <c r="AA3715" s="158" t="s">
        <v>6827</v>
      </c>
    </row>
    <row r="3716" spans="27:27">
      <c r="AA3716" s="158" t="s">
        <v>1770</v>
      </c>
    </row>
    <row r="3717" spans="27:27">
      <c r="AA3717" s="158" t="s">
        <v>6828</v>
      </c>
    </row>
    <row r="3718" spans="27:27">
      <c r="AA3718" s="158" t="s">
        <v>6829</v>
      </c>
    </row>
    <row r="3719" spans="27:27">
      <c r="AA3719" s="158" t="s">
        <v>1771</v>
      </c>
    </row>
    <row r="3720" spans="27:27">
      <c r="AA3720" s="158" t="s">
        <v>6830</v>
      </c>
    </row>
    <row r="3721" spans="27:27">
      <c r="AA3721" s="158" t="s">
        <v>6831</v>
      </c>
    </row>
    <row r="3722" spans="27:27">
      <c r="AA3722" s="158" t="s">
        <v>1772</v>
      </c>
    </row>
    <row r="3723" spans="27:27">
      <c r="AA3723" s="158" t="s">
        <v>6832</v>
      </c>
    </row>
    <row r="3724" spans="27:27">
      <c r="AA3724" s="158" t="s">
        <v>6833</v>
      </c>
    </row>
    <row r="3725" spans="27:27">
      <c r="AA3725" s="158" t="s">
        <v>1773</v>
      </c>
    </row>
    <row r="3726" spans="27:27">
      <c r="AA3726" s="158" t="s">
        <v>6834</v>
      </c>
    </row>
    <row r="3727" spans="27:27">
      <c r="AA3727" s="158" t="s">
        <v>6835</v>
      </c>
    </row>
    <row r="3728" spans="27:27">
      <c r="AA3728" s="158" t="s">
        <v>1774</v>
      </c>
    </row>
    <row r="3729" spans="27:27">
      <c r="AA3729" s="158" t="s">
        <v>6836</v>
      </c>
    </row>
    <row r="3730" spans="27:27">
      <c r="AA3730" s="158" t="s">
        <v>1775</v>
      </c>
    </row>
    <row r="3731" spans="27:27">
      <c r="AA3731" s="158" t="s">
        <v>3643</v>
      </c>
    </row>
    <row r="3732" spans="27:27">
      <c r="AA3732" s="158" t="s">
        <v>1776</v>
      </c>
    </row>
    <row r="3733" spans="27:27">
      <c r="AA3733" s="158" t="s">
        <v>6837</v>
      </c>
    </row>
    <row r="3734" spans="27:27">
      <c r="AA3734" s="158" t="s">
        <v>6838</v>
      </c>
    </row>
    <row r="3735" spans="27:27">
      <c r="AA3735" s="158" t="s">
        <v>6839</v>
      </c>
    </row>
    <row r="3736" spans="27:27">
      <c r="AA3736" s="158" t="s">
        <v>1777</v>
      </c>
    </row>
    <row r="3737" spans="27:27">
      <c r="AA3737" s="158" t="s">
        <v>6840</v>
      </c>
    </row>
    <row r="3738" spans="27:27">
      <c r="AA3738" s="158" t="s">
        <v>1778</v>
      </c>
    </row>
    <row r="3739" spans="27:27">
      <c r="AA3739" s="158" t="s">
        <v>6841</v>
      </c>
    </row>
    <row r="3740" spans="27:27">
      <c r="AA3740" s="158" t="s">
        <v>6842</v>
      </c>
    </row>
    <row r="3741" spans="27:27">
      <c r="AA3741" s="158" t="s">
        <v>6843</v>
      </c>
    </row>
    <row r="3742" spans="27:27">
      <c r="AA3742" s="158" t="s">
        <v>6844</v>
      </c>
    </row>
    <row r="3743" spans="27:27">
      <c r="AA3743" s="158" t="s">
        <v>6845</v>
      </c>
    </row>
    <row r="3744" spans="27:27">
      <c r="AA3744" s="158" t="s">
        <v>6846</v>
      </c>
    </row>
    <row r="3745" spans="27:27">
      <c r="AA3745" s="158" t="s">
        <v>6847</v>
      </c>
    </row>
    <row r="3746" spans="27:27">
      <c r="AA3746" s="158" t="s">
        <v>1779</v>
      </c>
    </row>
    <row r="3747" spans="27:27">
      <c r="AA3747" s="158" t="s">
        <v>1780</v>
      </c>
    </row>
    <row r="3748" spans="27:27">
      <c r="AA3748" s="158" t="s">
        <v>1781</v>
      </c>
    </row>
    <row r="3749" spans="27:27">
      <c r="AA3749" s="158" t="s">
        <v>6848</v>
      </c>
    </row>
    <row r="3750" spans="27:27">
      <c r="AA3750" s="158" t="s">
        <v>6849</v>
      </c>
    </row>
    <row r="3751" spans="27:27">
      <c r="AA3751" s="158" t="s">
        <v>6850</v>
      </c>
    </row>
    <row r="3752" spans="27:27">
      <c r="AA3752" s="158" t="s">
        <v>6851</v>
      </c>
    </row>
    <row r="3753" spans="27:27">
      <c r="AA3753" s="158" t="s">
        <v>6852</v>
      </c>
    </row>
    <row r="3754" spans="27:27">
      <c r="AA3754" s="158" t="s">
        <v>1782</v>
      </c>
    </row>
    <row r="3755" spans="27:27">
      <c r="AA3755" s="158" t="s">
        <v>6853</v>
      </c>
    </row>
    <row r="3756" spans="27:27">
      <c r="AA3756" s="158" t="s">
        <v>6854</v>
      </c>
    </row>
    <row r="3757" spans="27:27">
      <c r="AA3757" s="158" t="s">
        <v>6855</v>
      </c>
    </row>
    <row r="3758" spans="27:27">
      <c r="AA3758" s="158" t="s">
        <v>1783</v>
      </c>
    </row>
    <row r="3759" spans="27:27">
      <c r="AA3759" s="158" t="s">
        <v>6856</v>
      </c>
    </row>
    <row r="3760" spans="27:27">
      <c r="AA3760" s="158" t="s">
        <v>1784</v>
      </c>
    </row>
    <row r="3761" spans="27:27">
      <c r="AA3761" s="158" t="s">
        <v>1785</v>
      </c>
    </row>
    <row r="3762" spans="27:27">
      <c r="AA3762" s="158" t="s">
        <v>1786</v>
      </c>
    </row>
    <row r="3763" spans="27:27">
      <c r="AA3763" s="158" t="s">
        <v>6857</v>
      </c>
    </row>
    <row r="3764" spans="27:27">
      <c r="AA3764" s="158" t="s">
        <v>6858</v>
      </c>
    </row>
    <row r="3765" spans="27:27">
      <c r="AA3765" s="158" t="s">
        <v>6859</v>
      </c>
    </row>
    <row r="3766" spans="27:27">
      <c r="AA3766" s="158" t="s">
        <v>1787</v>
      </c>
    </row>
    <row r="3767" spans="27:27">
      <c r="AA3767" s="158" t="s">
        <v>1788</v>
      </c>
    </row>
    <row r="3768" spans="27:27">
      <c r="AA3768" s="158" t="s">
        <v>1789</v>
      </c>
    </row>
    <row r="3769" spans="27:27">
      <c r="AA3769" s="158" t="s">
        <v>6860</v>
      </c>
    </row>
    <row r="3770" spans="27:27">
      <c r="AA3770" s="158" t="s">
        <v>6861</v>
      </c>
    </row>
    <row r="3771" spans="27:27">
      <c r="AA3771" s="158" t="s">
        <v>1790</v>
      </c>
    </row>
    <row r="3772" spans="27:27">
      <c r="AA3772" s="158" t="s">
        <v>6862</v>
      </c>
    </row>
    <row r="3773" spans="27:27">
      <c r="AA3773" s="158" t="s">
        <v>6863</v>
      </c>
    </row>
    <row r="3774" spans="27:27">
      <c r="AA3774" s="158" t="s">
        <v>1791</v>
      </c>
    </row>
    <row r="3775" spans="27:27">
      <c r="AA3775" s="158" t="s">
        <v>6864</v>
      </c>
    </row>
    <row r="3776" spans="27:27">
      <c r="AA3776" s="158" t="s">
        <v>6865</v>
      </c>
    </row>
    <row r="3777" spans="27:27">
      <c r="AA3777" s="158" t="s">
        <v>6866</v>
      </c>
    </row>
    <row r="3778" spans="27:27">
      <c r="AA3778" s="158" t="s">
        <v>1792</v>
      </c>
    </row>
    <row r="3779" spans="27:27">
      <c r="AA3779" s="158" t="s">
        <v>6867</v>
      </c>
    </row>
    <row r="3780" spans="27:27">
      <c r="AA3780" s="158" t="s">
        <v>6868</v>
      </c>
    </row>
    <row r="3781" spans="27:27">
      <c r="AA3781" s="158" t="s">
        <v>1793</v>
      </c>
    </row>
    <row r="3782" spans="27:27">
      <c r="AA3782" s="158" t="s">
        <v>6869</v>
      </c>
    </row>
    <row r="3783" spans="27:27">
      <c r="AA3783" s="158" t="s">
        <v>1794</v>
      </c>
    </row>
    <row r="3784" spans="27:27">
      <c r="AA3784" s="158" t="s">
        <v>6870</v>
      </c>
    </row>
    <row r="3785" spans="27:27">
      <c r="AA3785" s="158" t="s">
        <v>1795</v>
      </c>
    </row>
    <row r="3786" spans="27:27">
      <c r="AA3786" s="158" t="s">
        <v>6871</v>
      </c>
    </row>
    <row r="3787" spans="27:27">
      <c r="AA3787" s="158" t="s">
        <v>1796</v>
      </c>
    </row>
    <row r="3788" spans="27:27">
      <c r="AA3788" s="158" t="s">
        <v>1797</v>
      </c>
    </row>
    <row r="3789" spans="27:27">
      <c r="AA3789" s="158" t="s">
        <v>1798</v>
      </c>
    </row>
    <row r="3790" spans="27:27">
      <c r="AA3790" s="158" t="s">
        <v>6872</v>
      </c>
    </row>
    <row r="3791" spans="27:27">
      <c r="AA3791" s="158" t="s">
        <v>6873</v>
      </c>
    </row>
    <row r="3792" spans="27:27">
      <c r="AA3792" s="158" t="s">
        <v>6874</v>
      </c>
    </row>
    <row r="3793" spans="27:27">
      <c r="AA3793" s="158" t="s">
        <v>1799</v>
      </c>
    </row>
    <row r="3794" spans="27:27">
      <c r="AA3794" s="158" t="s">
        <v>3644</v>
      </c>
    </row>
    <row r="3795" spans="27:27">
      <c r="AA3795" s="158" t="s">
        <v>1800</v>
      </c>
    </row>
    <row r="3796" spans="27:27">
      <c r="AA3796" s="158" t="s">
        <v>1801</v>
      </c>
    </row>
    <row r="3797" spans="27:27">
      <c r="AA3797" s="158" t="s">
        <v>1802</v>
      </c>
    </row>
    <row r="3798" spans="27:27">
      <c r="AA3798" s="158" t="s">
        <v>6875</v>
      </c>
    </row>
    <row r="3799" spans="27:27">
      <c r="AA3799" s="158" t="s">
        <v>6876</v>
      </c>
    </row>
    <row r="3800" spans="27:27">
      <c r="AA3800" s="158" t="s">
        <v>6877</v>
      </c>
    </row>
    <row r="3801" spans="27:27">
      <c r="AA3801" s="158" t="s">
        <v>1803</v>
      </c>
    </row>
    <row r="3802" spans="27:27">
      <c r="AA3802" s="158" t="s">
        <v>6878</v>
      </c>
    </row>
    <row r="3803" spans="27:27">
      <c r="AA3803" s="158" t="s">
        <v>6879</v>
      </c>
    </row>
    <row r="3804" spans="27:27">
      <c r="AA3804" s="158" t="s">
        <v>6880</v>
      </c>
    </row>
    <row r="3805" spans="27:27">
      <c r="AA3805" s="158" t="s">
        <v>6881</v>
      </c>
    </row>
    <row r="3806" spans="27:27">
      <c r="AA3806" s="158" t="s">
        <v>6882</v>
      </c>
    </row>
    <row r="3807" spans="27:27">
      <c r="AA3807" s="158" t="s">
        <v>6883</v>
      </c>
    </row>
    <row r="3808" spans="27:27">
      <c r="AA3808" s="158" t="s">
        <v>1804</v>
      </c>
    </row>
    <row r="3809" spans="27:27">
      <c r="AA3809" s="158" t="s">
        <v>6884</v>
      </c>
    </row>
    <row r="3810" spans="27:27">
      <c r="AA3810" s="158" t="s">
        <v>6885</v>
      </c>
    </row>
    <row r="3811" spans="27:27">
      <c r="AA3811" s="158" t="s">
        <v>6886</v>
      </c>
    </row>
    <row r="3812" spans="27:27">
      <c r="AA3812" s="158" t="s">
        <v>6887</v>
      </c>
    </row>
    <row r="3813" spans="27:27">
      <c r="AA3813" s="158" t="s">
        <v>6888</v>
      </c>
    </row>
    <row r="3814" spans="27:27">
      <c r="AA3814" s="158" t="s">
        <v>6889</v>
      </c>
    </row>
    <row r="3815" spans="27:27">
      <c r="AA3815" s="158" t="s">
        <v>1805</v>
      </c>
    </row>
    <row r="3816" spans="27:27">
      <c r="AA3816" s="158" t="s">
        <v>6890</v>
      </c>
    </row>
    <row r="3817" spans="27:27">
      <c r="AA3817" s="158" t="s">
        <v>1806</v>
      </c>
    </row>
    <row r="3818" spans="27:27">
      <c r="AA3818" s="158" t="s">
        <v>1807</v>
      </c>
    </row>
    <row r="3819" spans="27:27">
      <c r="AA3819" s="158" t="s">
        <v>1808</v>
      </c>
    </row>
    <row r="3820" spans="27:27">
      <c r="AA3820" s="158" t="s">
        <v>6891</v>
      </c>
    </row>
    <row r="3821" spans="27:27">
      <c r="AA3821" s="158" t="s">
        <v>1809</v>
      </c>
    </row>
    <row r="3822" spans="27:27">
      <c r="AA3822" s="158" t="s">
        <v>6892</v>
      </c>
    </row>
    <row r="3823" spans="27:27">
      <c r="AA3823" s="158" t="s">
        <v>6893</v>
      </c>
    </row>
    <row r="3824" spans="27:27">
      <c r="AA3824" s="158" t="s">
        <v>1810</v>
      </c>
    </row>
    <row r="3825" spans="27:27">
      <c r="AA3825" s="158" t="s">
        <v>6894</v>
      </c>
    </row>
    <row r="3826" spans="27:27">
      <c r="AA3826" s="158" t="s">
        <v>1811</v>
      </c>
    </row>
    <row r="3827" spans="27:27">
      <c r="AA3827" s="158" t="s">
        <v>1812</v>
      </c>
    </row>
    <row r="3828" spans="27:27">
      <c r="AA3828" s="158" t="s">
        <v>6895</v>
      </c>
    </row>
    <row r="3829" spans="27:27">
      <c r="AA3829" s="158" t="s">
        <v>6896</v>
      </c>
    </row>
    <row r="3830" spans="27:27">
      <c r="AA3830" s="158" t="s">
        <v>6897</v>
      </c>
    </row>
    <row r="3831" spans="27:27">
      <c r="AA3831" s="158" t="s">
        <v>6898</v>
      </c>
    </row>
    <row r="3832" spans="27:27">
      <c r="AA3832" s="158" t="s">
        <v>6899</v>
      </c>
    </row>
    <row r="3833" spans="27:27">
      <c r="AA3833" s="158" t="s">
        <v>6900</v>
      </c>
    </row>
    <row r="3834" spans="27:27">
      <c r="AA3834" s="158" t="s">
        <v>6901</v>
      </c>
    </row>
    <row r="3835" spans="27:27">
      <c r="AA3835" s="158" t="s">
        <v>6902</v>
      </c>
    </row>
    <row r="3836" spans="27:27">
      <c r="AA3836" s="158" t="s">
        <v>1813</v>
      </c>
    </row>
    <row r="3837" spans="27:27">
      <c r="AA3837" s="158" t="s">
        <v>6903</v>
      </c>
    </row>
    <row r="3838" spans="27:27">
      <c r="AA3838" s="158" t="s">
        <v>6904</v>
      </c>
    </row>
    <row r="3839" spans="27:27">
      <c r="AA3839" s="158" t="s">
        <v>6905</v>
      </c>
    </row>
    <row r="3840" spans="27:27">
      <c r="AA3840" s="158" t="s">
        <v>6906</v>
      </c>
    </row>
    <row r="3841" spans="27:27">
      <c r="AA3841" s="158" t="s">
        <v>6907</v>
      </c>
    </row>
    <row r="3842" spans="27:27">
      <c r="AA3842" s="158" t="s">
        <v>6908</v>
      </c>
    </row>
    <row r="3843" spans="27:27">
      <c r="AA3843" s="158" t="s">
        <v>6909</v>
      </c>
    </row>
    <row r="3844" spans="27:27">
      <c r="AA3844" s="158" t="s">
        <v>1814</v>
      </c>
    </row>
    <row r="3845" spans="27:27">
      <c r="AA3845" s="158" t="s">
        <v>6910</v>
      </c>
    </row>
    <row r="3846" spans="27:27">
      <c r="AA3846" s="158" t="s">
        <v>1815</v>
      </c>
    </row>
    <row r="3847" spans="27:27">
      <c r="AA3847" s="158" t="s">
        <v>6911</v>
      </c>
    </row>
    <row r="3848" spans="27:27">
      <c r="AA3848" s="158" t="s">
        <v>1816</v>
      </c>
    </row>
    <row r="3849" spans="27:27">
      <c r="AA3849" s="158" t="s">
        <v>6912</v>
      </c>
    </row>
    <row r="3850" spans="27:27">
      <c r="AA3850" s="158" t="s">
        <v>1817</v>
      </c>
    </row>
    <row r="3851" spans="27:27">
      <c r="AA3851" s="158" t="s">
        <v>6913</v>
      </c>
    </row>
    <row r="3852" spans="27:27">
      <c r="AA3852" s="158" t="s">
        <v>1818</v>
      </c>
    </row>
    <row r="3853" spans="27:27">
      <c r="AA3853" s="158" t="s">
        <v>3645</v>
      </c>
    </row>
    <row r="3854" spans="27:27">
      <c r="AA3854" s="158" t="s">
        <v>1819</v>
      </c>
    </row>
    <row r="3855" spans="27:27">
      <c r="AA3855" s="158" t="s">
        <v>6914</v>
      </c>
    </row>
    <row r="3856" spans="27:27">
      <c r="AA3856" s="158" t="s">
        <v>6915</v>
      </c>
    </row>
    <row r="3857" spans="27:27">
      <c r="AA3857" s="158" t="s">
        <v>6916</v>
      </c>
    </row>
    <row r="3858" spans="27:27">
      <c r="AA3858" s="158" t="s">
        <v>6917</v>
      </c>
    </row>
    <row r="3859" spans="27:27">
      <c r="AA3859" s="158" t="s">
        <v>6918</v>
      </c>
    </row>
    <row r="3860" spans="27:27">
      <c r="AA3860" s="158" t="s">
        <v>1820</v>
      </c>
    </row>
    <row r="3861" spans="27:27">
      <c r="AA3861" s="158" t="s">
        <v>6919</v>
      </c>
    </row>
    <row r="3862" spans="27:27">
      <c r="AA3862" s="158" t="s">
        <v>1821</v>
      </c>
    </row>
    <row r="3863" spans="27:27">
      <c r="AA3863" s="158" t="s">
        <v>3646</v>
      </c>
    </row>
    <row r="3864" spans="27:27">
      <c r="AA3864" s="158" t="s">
        <v>6920</v>
      </c>
    </row>
    <row r="3865" spans="27:27">
      <c r="AA3865" s="158" t="s">
        <v>6921</v>
      </c>
    </row>
    <row r="3866" spans="27:27">
      <c r="AA3866" s="158" t="s">
        <v>1822</v>
      </c>
    </row>
    <row r="3867" spans="27:27">
      <c r="AA3867" s="158" t="s">
        <v>6922</v>
      </c>
    </row>
    <row r="3868" spans="27:27">
      <c r="AA3868" s="158" t="s">
        <v>1823</v>
      </c>
    </row>
    <row r="3869" spans="27:27">
      <c r="AA3869" s="158" t="s">
        <v>6923</v>
      </c>
    </row>
    <row r="3870" spans="27:27">
      <c r="AA3870" s="158" t="s">
        <v>1824</v>
      </c>
    </row>
    <row r="3871" spans="27:27">
      <c r="AA3871" s="158" t="s">
        <v>1825</v>
      </c>
    </row>
    <row r="3872" spans="27:27">
      <c r="AA3872" s="158" t="s">
        <v>1826</v>
      </c>
    </row>
    <row r="3873" spans="27:27">
      <c r="AA3873" s="158" t="s">
        <v>6924</v>
      </c>
    </row>
    <row r="3874" spans="27:27">
      <c r="AA3874" s="158" t="s">
        <v>6925</v>
      </c>
    </row>
    <row r="3875" spans="27:27">
      <c r="AA3875" s="158" t="s">
        <v>1827</v>
      </c>
    </row>
    <row r="3876" spans="27:27">
      <c r="AA3876" s="158" t="s">
        <v>6926</v>
      </c>
    </row>
    <row r="3877" spans="27:27">
      <c r="AA3877" s="158" t="s">
        <v>1828</v>
      </c>
    </row>
    <row r="3878" spans="27:27">
      <c r="AA3878" s="158" t="s">
        <v>6927</v>
      </c>
    </row>
    <row r="3879" spans="27:27">
      <c r="AA3879" s="158" t="s">
        <v>1829</v>
      </c>
    </row>
    <row r="3880" spans="27:27">
      <c r="AA3880" s="158" t="s">
        <v>6928</v>
      </c>
    </row>
    <row r="3881" spans="27:27">
      <c r="AA3881" s="158" t="s">
        <v>6929</v>
      </c>
    </row>
    <row r="3882" spans="27:27">
      <c r="AA3882" s="158" t="s">
        <v>1830</v>
      </c>
    </row>
    <row r="3883" spans="27:27">
      <c r="AA3883" s="158" t="s">
        <v>6930</v>
      </c>
    </row>
    <row r="3884" spans="27:27">
      <c r="AA3884" s="158" t="s">
        <v>1831</v>
      </c>
    </row>
    <row r="3885" spans="27:27">
      <c r="AA3885" s="158" t="s">
        <v>6931</v>
      </c>
    </row>
    <row r="3886" spans="27:27">
      <c r="AA3886" s="158" t="s">
        <v>6932</v>
      </c>
    </row>
    <row r="3887" spans="27:27">
      <c r="AA3887" s="158" t="s">
        <v>6933</v>
      </c>
    </row>
    <row r="3888" spans="27:27">
      <c r="AA3888" s="158" t="s">
        <v>1832</v>
      </c>
    </row>
    <row r="3889" spans="27:27">
      <c r="AA3889" s="158" t="s">
        <v>6934</v>
      </c>
    </row>
    <row r="3890" spans="27:27">
      <c r="AA3890" s="158" t="s">
        <v>6935</v>
      </c>
    </row>
    <row r="3891" spans="27:27">
      <c r="AA3891" s="158" t="s">
        <v>1833</v>
      </c>
    </row>
    <row r="3892" spans="27:27">
      <c r="AA3892" s="158" t="s">
        <v>6936</v>
      </c>
    </row>
    <row r="3893" spans="27:27">
      <c r="AA3893" s="158" t="s">
        <v>6937</v>
      </c>
    </row>
    <row r="3894" spans="27:27">
      <c r="AA3894" s="158" t="s">
        <v>6938</v>
      </c>
    </row>
    <row r="3895" spans="27:27">
      <c r="AA3895" s="158" t="s">
        <v>1834</v>
      </c>
    </row>
    <row r="3896" spans="27:27">
      <c r="AA3896" s="158" t="s">
        <v>6939</v>
      </c>
    </row>
    <row r="3897" spans="27:27">
      <c r="AA3897" s="158" t="s">
        <v>6940</v>
      </c>
    </row>
    <row r="3898" spans="27:27">
      <c r="AA3898" s="158" t="s">
        <v>1835</v>
      </c>
    </row>
    <row r="3899" spans="27:27">
      <c r="AA3899" s="158" t="s">
        <v>6941</v>
      </c>
    </row>
    <row r="3900" spans="27:27">
      <c r="AA3900" s="158" t="s">
        <v>1836</v>
      </c>
    </row>
    <row r="3901" spans="27:27">
      <c r="AA3901" s="158" t="s">
        <v>6942</v>
      </c>
    </row>
    <row r="3902" spans="27:27">
      <c r="AA3902" s="158" t="s">
        <v>6943</v>
      </c>
    </row>
    <row r="3903" spans="27:27">
      <c r="AA3903" s="158" t="s">
        <v>6944</v>
      </c>
    </row>
    <row r="3904" spans="27:27">
      <c r="AA3904" s="158" t="s">
        <v>1837</v>
      </c>
    </row>
    <row r="3905" spans="27:27">
      <c r="AA3905" s="158" t="s">
        <v>6945</v>
      </c>
    </row>
    <row r="3906" spans="27:27">
      <c r="AA3906" s="158" t="s">
        <v>6946</v>
      </c>
    </row>
    <row r="3907" spans="27:27">
      <c r="AA3907" s="158" t="s">
        <v>1838</v>
      </c>
    </row>
    <row r="3908" spans="27:27">
      <c r="AA3908" s="158" t="s">
        <v>6947</v>
      </c>
    </row>
    <row r="3909" spans="27:27">
      <c r="AA3909" s="158" t="s">
        <v>6948</v>
      </c>
    </row>
    <row r="3910" spans="27:27">
      <c r="AA3910" s="158" t="s">
        <v>6949</v>
      </c>
    </row>
    <row r="3911" spans="27:27">
      <c r="AA3911" s="158" t="s">
        <v>1839</v>
      </c>
    </row>
    <row r="3912" spans="27:27">
      <c r="AA3912" s="158" t="s">
        <v>6950</v>
      </c>
    </row>
    <row r="3913" spans="27:27">
      <c r="AA3913" s="158" t="s">
        <v>6951</v>
      </c>
    </row>
    <row r="3914" spans="27:27">
      <c r="AA3914" s="158" t="s">
        <v>1840</v>
      </c>
    </row>
    <row r="3915" spans="27:27">
      <c r="AA3915" s="158" t="s">
        <v>6952</v>
      </c>
    </row>
    <row r="3916" spans="27:27">
      <c r="AA3916" s="158" t="s">
        <v>6953</v>
      </c>
    </row>
    <row r="3917" spans="27:27">
      <c r="AA3917" s="158" t="s">
        <v>6954</v>
      </c>
    </row>
    <row r="3918" spans="27:27">
      <c r="AA3918" s="158" t="s">
        <v>6955</v>
      </c>
    </row>
    <row r="3919" spans="27:27">
      <c r="AA3919" s="158" t="s">
        <v>1841</v>
      </c>
    </row>
    <row r="3920" spans="27:27">
      <c r="AA3920" s="158" t="s">
        <v>6956</v>
      </c>
    </row>
    <row r="3921" spans="27:27">
      <c r="AA3921" s="158" t="s">
        <v>6957</v>
      </c>
    </row>
    <row r="3922" spans="27:27">
      <c r="AA3922" s="158" t="s">
        <v>1842</v>
      </c>
    </row>
    <row r="3923" spans="27:27">
      <c r="AA3923" s="158" t="s">
        <v>6958</v>
      </c>
    </row>
    <row r="3924" spans="27:27">
      <c r="AA3924" s="158" t="s">
        <v>6959</v>
      </c>
    </row>
    <row r="3925" spans="27:27">
      <c r="AA3925" s="158" t="s">
        <v>1843</v>
      </c>
    </row>
    <row r="3926" spans="27:27">
      <c r="AA3926" s="158" t="s">
        <v>6960</v>
      </c>
    </row>
    <row r="3927" spans="27:27">
      <c r="AA3927" s="158" t="s">
        <v>6961</v>
      </c>
    </row>
    <row r="3928" spans="27:27">
      <c r="AA3928" s="158" t="s">
        <v>6962</v>
      </c>
    </row>
    <row r="3929" spans="27:27">
      <c r="AA3929" s="158" t="s">
        <v>6963</v>
      </c>
    </row>
    <row r="3930" spans="27:27">
      <c r="AA3930" s="158" t="s">
        <v>1844</v>
      </c>
    </row>
    <row r="3931" spans="27:27">
      <c r="AA3931" s="158" t="s">
        <v>6964</v>
      </c>
    </row>
    <row r="3932" spans="27:27">
      <c r="AA3932" s="158" t="s">
        <v>6965</v>
      </c>
    </row>
    <row r="3933" spans="27:27">
      <c r="AA3933" s="158" t="s">
        <v>6966</v>
      </c>
    </row>
    <row r="3934" spans="27:27">
      <c r="AA3934" s="158" t="s">
        <v>6967</v>
      </c>
    </row>
    <row r="3935" spans="27:27">
      <c r="AA3935" s="158" t="s">
        <v>1845</v>
      </c>
    </row>
    <row r="3936" spans="27:27">
      <c r="AA3936" s="158" t="s">
        <v>6968</v>
      </c>
    </row>
    <row r="3937" spans="27:27">
      <c r="AA3937" s="158" t="s">
        <v>6969</v>
      </c>
    </row>
    <row r="3938" spans="27:27">
      <c r="AA3938" s="158" t="s">
        <v>6970</v>
      </c>
    </row>
    <row r="3939" spans="27:27">
      <c r="AA3939" s="158" t="s">
        <v>6971</v>
      </c>
    </row>
    <row r="3940" spans="27:27">
      <c r="AA3940" s="158" t="s">
        <v>1846</v>
      </c>
    </row>
    <row r="3941" spans="27:27">
      <c r="AA3941" s="158" t="s">
        <v>6972</v>
      </c>
    </row>
    <row r="3942" spans="27:27">
      <c r="AA3942" s="158" t="s">
        <v>6973</v>
      </c>
    </row>
    <row r="3943" spans="27:27">
      <c r="AA3943" s="158" t="s">
        <v>6974</v>
      </c>
    </row>
    <row r="3944" spans="27:27">
      <c r="AA3944" s="158" t="s">
        <v>6975</v>
      </c>
    </row>
    <row r="3945" spans="27:27">
      <c r="AA3945" s="158" t="s">
        <v>1847</v>
      </c>
    </row>
    <row r="3946" spans="27:27">
      <c r="AA3946" s="158" t="s">
        <v>6976</v>
      </c>
    </row>
    <row r="3947" spans="27:27">
      <c r="AA3947" s="158" t="s">
        <v>6977</v>
      </c>
    </row>
    <row r="3948" spans="27:27">
      <c r="AA3948" s="158" t="s">
        <v>1848</v>
      </c>
    </row>
    <row r="3949" spans="27:27">
      <c r="AA3949" s="158" t="s">
        <v>6978</v>
      </c>
    </row>
    <row r="3950" spans="27:27">
      <c r="AA3950" s="158" t="s">
        <v>6979</v>
      </c>
    </row>
    <row r="3951" spans="27:27">
      <c r="AA3951" s="158" t="s">
        <v>6980</v>
      </c>
    </row>
    <row r="3952" spans="27:27">
      <c r="AA3952" s="158" t="s">
        <v>258</v>
      </c>
    </row>
    <row r="3953" spans="27:27">
      <c r="AA3953" s="158" t="s">
        <v>6981</v>
      </c>
    </row>
    <row r="3954" spans="27:27">
      <c r="AA3954" s="158" t="s">
        <v>6982</v>
      </c>
    </row>
    <row r="3955" spans="27:27">
      <c r="AA3955" s="158" t="s">
        <v>1849</v>
      </c>
    </row>
    <row r="3956" spans="27:27">
      <c r="AA3956" s="158" t="s">
        <v>6983</v>
      </c>
    </row>
    <row r="3957" spans="27:27">
      <c r="AA3957" s="158" t="s">
        <v>1850</v>
      </c>
    </row>
    <row r="3958" spans="27:27">
      <c r="AA3958" s="158" t="s">
        <v>1851</v>
      </c>
    </row>
    <row r="3959" spans="27:27">
      <c r="AA3959" s="158" t="s">
        <v>1852</v>
      </c>
    </row>
    <row r="3960" spans="27:27">
      <c r="AA3960" s="158" t="s">
        <v>6984</v>
      </c>
    </row>
    <row r="3961" spans="27:27">
      <c r="AA3961" s="158" t="s">
        <v>6985</v>
      </c>
    </row>
    <row r="3962" spans="27:27">
      <c r="AA3962" s="158" t="s">
        <v>6986</v>
      </c>
    </row>
    <row r="3963" spans="27:27">
      <c r="AA3963" s="158" t="s">
        <v>1853</v>
      </c>
    </row>
    <row r="3964" spans="27:27">
      <c r="AA3964" s="158" t="s">
        <v>1854</v>
      </c>
    </row>
    <row r="3965" spans="27:27">
      <c r="AA3965" s="158" t="s">
        <v>6987</v>
      </c>
    </row>
    <row r="3966" spans="27:27">
      <c r="AA3966" s="158" t="s">
        <v>1855</v>
      </c>
    </row>
    <row r="3967" spans="27:27">
      <c r="AA3967" s="158" t="s">
        <v>1856</v>
      </c>
    </row>
    <row r="3968" spans="27:27">
      <c r="AA3968" s="158" t="s">
        <v>1857</v>
      </c>
    </row>
    <row r="3969" spans="27:27">
      <c r="AA3969" s="158" t="s">
        <v>6988</v>
      </c>
    </row>
    <row r="3970" spans="27:27">
      <c r="AA3970" s="158" t="s">
        <v>6989</v>
      </c>
    </row>
    <row r="3971" spans="27:27">
      <c r="AA3971" s="158" t="s">
        <v>6990</v>
      </c>
    </row>
    <row r="3972" spans="27:27">
      <c r="AA3972" s="158" t="s">
        <v>6991</v>
      </c>
    </row>
    <row r="3973" spans="27:27">
      <c r="AA3973" s="158" t="s">
        <v>6992</v>
      </c>
    </row>
    <row r="3974" spans="27:27">
      <c r="AA3974" s="158" t="s">
        <v>6993</v>
      </c>
    </row>
    <row r="3975" spans="27:27">
      <c r="AA3975" s="158" t="s">
        <v>6994</v>
      </c>
    </row>
    <row r="3976" spans="27:27">
      <c r="AA3976" s="158" t="s">
        <v>6995</v>
      </c>
    </row>
    <row r="3977" spans="27:27">
      <c r="AA3977" s="158" t="s">
        <v>6996</v>
      </c>
    </row>
    <row r="3978" spans="27:27">
      <c r="AA3978" s="158" t="s">
        <v>6997</v>
      </c>
    </row>
    <row r="3979" spans="27:27">
      <c r="AA3979" s="158" t="s">
        <v>6998</v>
      </c>
    </row>
    <row r="3980" spans="27:27">
      <c r="AA3980" s="158" t="s">
        <v>6999</v>
      </c>
    </row>
    <row r="3981" spans="27:27">
      <c r="AA3981" s="158" t="s">
        <v>1858</v>
      </c>
    </row>
    <row r="3982" spans="27:27">
      <c r="AA3982" s="158" t="s">
        <v>7000</v>
      </c>
    </row>
    <row r="3983" spans="27:27">
      <c r="AA3983" s="158" t="s">
        <v>7001</v>
      </c>
    </row>
    <row r="3984" spans="27:27">
      <c r="AA3984" s="158" t="s">
        <v>7002</v>
      </c>
    </row>
    <row r="3985" spans="27:27">
      <c r="AA3985" s="158" t="s">
        <v>7003</v>
      </c>
    </row>
    <row r="3986" spans="27:27">
      <c r="AA3986" s="158" t="s">
        <v>7004</v>
      </c>
    </row>
    <row r="3987" spans="27:27">
      <c r="AA3987" s="158" t="s">
        <v>7005</v>
      </c>
    </row>
    <row r="3988" spans="27:27">
      <c r="AA3988" s="158" t="s">
        <v>7006</v>
      </c>
    </row>
    <row r="3989" spans="27:27">
      <c r="AA3989" s="158" t="s">
        <v>1859</v>
      </c>
    </row>
    <row r="3990" spans="27:27">
      <c r="AA3990" s="158" t="s">
        <v>259</v>
      </c>
    </row>
    <row r="3991" spans="27:27">
      <c r="AA3991" s="158" t="s">
        <v>260</v>
      </c>
    </row>
    <row r="3992" spans="27:27">
      <c r="AA3992" s="158" t="s">
        <v>1860</v>
      </c>
    </row>
    <row r="3993" spans="27:27">
      <c r="AA3993" s="158" t="s">
        <v>1861</v>
      </c>
    </row>
    <row r="3994" spans="27:27">
      <c r="AA3994" s="158" t="s">
        <v>1862</v>
      </c>
    </row>
    <row r="3995" spans="27:27">
      <c r="AA3995" s="158" t="s">
        <v>1863</v>
      </c>
    </row>
    <row r="3996" spans="27:27">
      <c r="AA3996" s="158" t="s">
        <v>7007</v>
      </c>
    </row>
    <row r="3997" spans="27:27">
      <c r="AA3997" s="158" t="s">
        <v>7008</v>
      </c>
    </row>
    <row r="3998" spans="27:27">
      <c r="AA3998" s="158" t="s">
        <v>1864</v>
      </c>
    </row>
    <row r="3999" spans="27:27">
      <c r="AA3999" s="158" t="s">
        <v>7009</v>
      </c>
    </row>
    <row r="4000" spans="27:27">
      <c r="AA4000" s="158" t="s">
        <v>1865</v>
      </c>
    </row>
    <row r="4001" spans="27:27">
      <c r="AA4001" s="158" t="s">
        <v>7010</v>
      </c>
    </row>
    <row r="4002" spans="27:27">
      <c r="AA4002" s="158" t="s">
        <v>7011</v>
      </c>
    </row>
    <row r="4003" spans="27:27">
      <c r="AA4003" s="158" t="s">
        <v>7012</v>
      </c>
    </row>
    <row r="4004" spans="27:27">
      <c r="AA4004" s="158" t="s">
        <v>7013</v>
      </c>
    </row>
    <row r="4005" spans="27:27">
      <c r="AA4005" s="158" t="s">
        <v>1866</v>
      </c>
    </row>
    <row r="4006" spans="27:27">
      <c r="AA4006" s="158" t="s">
        <v>261</v>
      </c>
    </row>
    <row r="4007" spans="27:27">
      <c r="AA4007" s="158" t="s">
        <v>262</v>
      </c>
    </row>
    <row r="4008" spans="27:27">
      <c r="AA4008" s="158" t="s">
        <v>1867</v>
      </c>
    </row>
    <row r="4009" spans="27:27">
      <c r="AA4009" s="158" t="s">
        <v>7014</v>
      </c>
    </row>
    <row r="4010" spans="27:27">
      <c r="AA4010" s="158" t="s">
        <v>1868</v>
      </c>
    </row>
    <row r="4011" spans="27:27">
      <c r="AA4011" s="158" t="s">
        <v>7015</v>
      </c>
    </row>
    <row r="4012" spans="27:27">
      <c r="AA4012" s="158" t="s">
        <v>7016</v>
      </c>
    </row>
    <row r="4013" spans="27:27">
      <c r="AA4013" s="158" t="s">
        <v>7017</v>
      </c>
    </row>
    <row r="4014" spans="27:27">
      <c r="AA4014" s="158" t="s">
        <v>7018</v>
      </c>
    </row>
    <row r="4015" spans="27:27">
      <c r="AA4015" s="158" t="s">
        <v>7019</v>
      </c>
    </row>
    <row r="4016" spans="27:27">
      <c r="AA4016" s="158" t="s">
        <v>1869</v>
      </c>
    </row>
    <row r="4017" spans="27:27">
      <c r="AA4017" s="158" t="s">
        <v>7020</v>
      </c>
    </row>
    <row r="4018" spans="27:27">
      <c r="AA4018" s="158" t="s">
        <v>7021</v>
      </c>
    </row>
    <row r="4019" spans="27:27">
      <c r="AA4019" s="158" t="s">
        <v>7022</v>
      </c>
    </row>
    <row r="4020" spans="27:27">
      <c r="AA4020" s="158" t="s">
        <v>7023</v>
      </c>
    </row>
    <row r="4021" spans="27:27">
      <c r="AA4021" s="158" t="s">
        <v>7024</v>
      </c>
    </row>
    <row r="4022" spans="27:27">
      <c r="AA4022" s="158" t="s">
        <v>1870</v>
      </c>
    </row>
    <row r="4023" spans="27:27">
      <c r="AA4023" s="158" t="s">
        <v>7025</v>
      </c>
    </row>
    <row r="4024" spans="27:27">
      <c r="AA4024" s="158" t="s">
        <v>1871</v>
      </c>
    </row>
    <row r="4025" spans="27:27">
      <c r="AA4025" s="158" t="s">
        <v>7026</v>
      </c>
    </row>
    <row r="4026" spans="27:27">
      <c r="AA4026" s="158" t="s">
        <v>7027</v>
      </c>
    </row>
    <row r="4027" spans="27:27">
      <c r="AA4027" s="158" t="s">
        <v>1872</v>
      </c>
    </row>
    <row r="4028" spans="27:27">
      <c r="AA4028" s="158" t="s">
        <v>263</v>
      </c>
    </row>
    <row r="4029" spans="27:27">
      <c r="AA4029" s="158" t="s">
        <v>1873</v>
      </c>
    </row>
    <row r="4030" spans="27:27">
      <c r="AA4030" s="158" t="s">
        <v>7028</v>
      </c>
    </row>
    <row r="4031" spans="27:27">
      <c r="AA4031" s="158" t="s">
        <v>1874</v>
      </c>
    </row>
    <row r="4032" spans="27:27">
      <c r="AA4032" s="158" t="s">
        <v>7029</v>
      </c>
    </row>
    <row r="4033" spans="27:27">
      <c r="AA4033" s="158" t="s">
        <v>7030</v>
      </c>
    </row>
    <row r="4034" spans="27:27">
      <c r="AA4034" s="158" t="s">
        <v>7031</v>
      </c>
    </row>
    <row r="4035" spans="27:27">
      <c r="AA4035" s="158" t="s">
        <v>7032</v>
      </c>
    </row>
    <row r="4036" spans="27:27">
      <c r="AA4036" s="158" t="s">
        <v>1875</v>
      </c>
    </row>
    <row r="4037" spans="27:27">
      <c r="AA4037" s="158" t="s">
        <v>1876</v>
      </c>
    </row>
    <row r="4038" spans="27:27">
      <c r="AA4038" s="158" t="s">
        <v>7033</v>
      </c>
    </row>
    <row r="4039" spans="27:27">
      <c r="AA4039" s="158" t="s">
        <v>1877</v>
      </c>
    </row>
    <row r="4040" spans="27:27">
      <c r="AA4040" s="158" t="s">
        <v>7034</v>
      </c>
    </row>
    <row r="4041" spans="27:27">
      <c r="AA4041" s="158" t="s">
        <v>1878</v>
      </c>
    </row>
    <row r="4042" spans="27:27">
      <c r="AA4042" s="158" t="s">
        <v>7035</v>
      </c>
    </row>
    <row r="4043" spans="27:27">
      <c r="AA4043" s="158" t="s">
        <v>7036</v>
      </c>
    </row>
    <row r="4044" spans="27:27">
      <c r="AA4044" s="158" t="s">
        <v>7037</v>
      </c>
    </row>
    <row r="4045" spans="27:27">
      <c r="AA4045" s="158" t="s">
        <v>7038</v>
      </c>
    </row>
    <row r="4046" spans="27:27">
      <c r="AA4046" s="158" t="s">
        <v>1879</v>
      </c>
    </row>
    <row r="4047" spans="27:27">
      <c r="AA4047" s="158" t="s">
        <v>7039</v>
      </c>
    </row>
    <row r="4048" spans="27:27">
      <c r="AA4048" s="158" t="s">
        <v>7040</v>
      </c>
    </row>
    <row r="4049" spans="27:27">
      <c r="AA4049" s="158" t="s">
        <v>1880</v>
      </c>
    </row>
    <row r="4050" spans="27:27">
      <c r="AA4050" s="158" t="s">
        <v>7041</v>
      </c>
    </row>
    <row r="4051" spans="27:27">
      <c r="AA4051" s="158" t="s">
        <v>7042</v>
      </c>
    </row>
    <row r="4052" spans="27:27">
      <c r="AA4052" s="158" t="s">
        <v>7043</v>
      </c>
    </row>
    <row r="4053" spans="27:27">
      <c r="AA4053" s="158" t="s">
        <v>7044</v>
      </c>
    </row>
    <row r="4054" spans="27:27">
      <c r="AA4054" s="158" t="s">
        <v>1881</v>
      </c>
    </row>
    <row r="4055" spans="27:27">
      <c r="AA4055" s="158" t="s">
        <v>7045</v>
      </c>
    </row>
    <row r="4056" spans="27:27">
      <c r="AA4056" s="158" t="s">
        <v>7046</v>
      </c>
    </row>
    <row r="4057" spans="27:27">
      <c r="AA4057" s="158" t="s">
        <v>1882</v>
      </c>
    </row>
    <row r="4058" spans="27:27">
      <c r="AA4058" s="158" t="s">
        <v>1883</v>
      </c>
    </row>
    <row r="4059" spans="27:27">
      <c r="AA4059" s="158" t="s">
        <v>7047</v>
      </c>
    </row>
    <row r="4060" spans="27:27">
      <c r="AA4060" s="158" t="s">
        <v>7048</v>
      </c>
    </row>
    <row r="4061" spans="27:27">
      <c r="AA4061" s="158" t="s">
        <v>7049</v>
      </c>
    </row>
    <row r="4062" spans="27:27">
      <c r="AA4062" s="158" t="s">
        <v>1884</v>
      </c>
    </row>
    <row r="4063" spans="27:27">
      <c r="AA4063" s="158" t="s">
        <v>7050</v>
      </c>
    </row>
    <row r="4064" spans="27:27">
      <c r="AA4064" s="158" t="s">
        <v>7051</v>
      </c>
    </row>
    <row r="4065" spans="27:27">
      <c r="AA4065" s="158" t="s">
        <v>7052</v>
      </c>
    </row>
    <row r="4066" spans="27:27">
      <c r="AA4066" s="158" t="s">
        <v>7053</v>
      </c>
    </row>
    <row r="4067" spans="27:27">
      <c r="AA4067" s="158" t="s">
        <v>7054</v>
      </c>
    </row>
    <row r="4068" spans="27:27">
      <c r="AA4068" s="158" t="s">
        <v>1885</v>
      </c>
    </row>
    <row r="4069" spans="27:27">
      <c r="AA4069" s="158" t="s">
        <v>7055</v>
      </c>
    </row>
    <row r="4070" spans="27:27">
      <c r="AA4070" s="158" t="s">
        <v>7056</v>
      </c>
    </row>
    <row r="4071" spans="27:27">
      <c r="AA4071" s="158" t="s">
        <v>7057</v>
      </c>
    </row>
    <row r="4072" spans="27:27">
      <c r="AA4072" s="158" t="s">
        <v>7058</v>
      </c>
    </row>
    <row r="4073" spans="27:27">
      <c r="AA4073" s="158" t="s">
        <v>1886</v>
      </c>
    </row>
    <row r="4074" spans="27:27">
      <c r="AA4074" s="158" t="s">
        <v>1887</v>
      </c>
    </row>
    <row r="4075" spans="27:27">
      <c r="AA4075" s="158" t="s">
        <v>1888</v>
      </c>
    </row>
    <row r="4076" spans="27:27">
      <c r="AA4076" s="158" t="s">
        <v>7059</v>
      </c>
    </row>
    <row r="4077" spans="27:27">
      <c r="AA4077" s="158" t="s">
        <v>1889</v>
      </c>
    </row>
    <row r="4078" spans="27:27">
      <c r="AA4078" s="158" t="s">
        <v>7060</v>
      </c>
    </row>
    <row r="4079" spans="27:27">
      <c r="AA4079" s="158" t="s">
        <v>7061</v>
      </c>
    </row>
    <row r="4080" spans="27:27">
      <c r="AA4080" s="158" t="s">
        <v>7062</v>
      </c>
    </row>
    <row r="4081" spans="27:27">
      <c r="AA4081" s="158" t="s">
        <v>1890</v>
      </c>
    </row>
    <row r="4082" spans="27:27">
      <c r="AA4082" s="158" t="s">
        <v>7063</v>
      </c>
    </row>
    <row r="4083" spans="27:27">
      <c r="AA4083" s="158" t="s">
        <v>7064</v>
      </c>
    </row>
    <row r="4084" spans="27:27">
      <c r="AA4084" s="158" t="s">
        <v>7065</v>
      </c>
    </row>
    <row r="4085" spans="27:27">
      <c r="AA4085" s="158" t="s">
        <v>1891</v>
      </c>
    </row>
    <row r="4086" spans="27:27">
      <c r="AA4086" s="158" t="s">
        <v>7066</v>
      </c>
    </row>
    <row r="4087" spans="27:27">
      <c r="AA4087" s="158" t="s">
        <v>1892</v>
      </c>
    </row>
    <row r="4088" spans="27:27">
      <c r="AA4088" s="158" t="s">
        <v>7067</v>
      </c>
    </row>
    <row r="4089" spans="27:27">
      <c r="AA4089" s="158" t="s">
        <v>7068</v>
      </c>
    </row>
    <row r="4090" spans="27:27">
      <c r="AA4090" s="158" t="s">
        <v>7069</v>
      </c>
    </row>
    <row r="4091" spans="27:27">
      <c r="AA4091" s="158" t="s">
        <v>7070</v>
      </c>
    </row>
    <row r="4092" spans="27:27">
      <c r="AA4092" s="158" t="s">
        <v>1893</v>
      </c>
    </row>
    <row r="4093" spans="27:27">
      <c r="AA4093" s="158" t="s">
        <v>7071</v>
      </c>
    </row>
    <row r="4094" spans="27:27">
      <c r="AA4094" s="158" t="s">
        <v>7072</v>
      </c>
    </row>
    <row r="4095" spans="27:27">
      <c r="AA4095" s="158" t="s">
        <v>7073</v>
      </c>
    </row>
    <row r="4096" spans="27:27">
      <c r="AA4096" s="158" t="s">
        <v>1894</v>
      </c>
    </row>
    <row r="4097" spans="27:27">
      <c r="AA4097" s="158" t="s">
        <v>7074</v>
      </c>
    </row>
    <row r="4098" spans="27:27">
      <c r="AA4098" s="158" t="s">
        <v>1895</v>
      </c>
    </row>
    <row r="4099" spans="27:27">
      <c r="AA4099" s="158" t="s">
        <v>7075</v>
      </c>
    </row>
    <row r="4100" spans="27:27">
      <c r="AA4100" s="158" t="s">
        <v>1896</v>
      </c>
    </row>
    <row r="4101" spans="27:27">
      <c r="AA4101" s="158" t="s">
        <v>7076</v>
      </c>
    </row>
    <row r="4102" spans="27:27">
      <c r="AA4102" s="158" t="s">
        <v>7077</v>
      </c>
    </row>
    <row r="4103" spans="27:27">
      <c r="AA4103" s="158" t="s">
        <v>1897</v>
      </c>
    </row>
    <row r="4104" spans="27:27">
      <c r="AA4104" s="158" t="s">
        <v>7078</v>
      </c>
    </row>
    <row r="4105" spans="27:27">
      <c r="AA4105" s="158" t="s">
        <v>7079</v>
      </c>
    </row>
    <row r="4106" spans="27:27">
      <c r="AA4106" s="158" t="s">
        <v>1898</v>
      </c>
    </row>
    <row r="4107" spans="27:27">
      <c r="AA4107" s="158" t="s">
        <v>7080</v>
      </c>
    </row>
    <row r="4108" spans="27:27">
      <c r="AA4108" s="158" t="s">
        <v>7081</v>
      </c>
    </row>
    <row r="4109" spans="27:27">
      <c r="AA4109" s="158" t="s">
        <v>1899</v>
      </c>
    </row>
    <row r="4110" spans="27:27">
      <c r="AA4110" s="158" t="s">
        <v>7082</v>
      </c>
    </row>
    <row r="4111" spans="27:27">
      <c r="AA4111" s="158" t="s">
        <v>7083</v>
      </c>
    </row>
    <row r="4112" spans="27:27">
      <c r="AA4112" s="158" t="s">
        <v>1900</v>
      </c>
    </row>
    <row r="4113" spans="27:27">
      <c r="AA4113" s="158" t="s">
        <v>7084</v>
      </c>
    </row>
    <row r="4114" spans="27:27">
      <c r="AA4114" s="158" t="s">
        <v>7085</v>
      </c>
    </row>
    <row r="4115" spans="27:27">
      <c r="AA4115" s="158" t="s">
        <v>1901</v>
      </c>
    </row>
    <row r="4116" spans="27:27">
      <c r="AA4116" s="158" t="s">
        <v>7086</v>
      </c>
    </row>
    <row r="4117" spans="27:27">
      <c r="AA4117" s="158" t="s">
        <v>7087</v>
      </c>
    </row>
    <row r="4118" spans="27:27">
      <c r="AA4118" s="158" t="s">
        <v>1902</v>
      </c>
    </row>
    <row r="4119" spans="27:27">
      <c r="AA4119" s="158" t="s">
        <v>7088</v>
      </c>
    </row>
    <row r="4120" spans="27:27">
      <c r="AA4120" s="158" t="s">
        <v>7089</v>
      </c>
    </row>
    <row r="4121" spans="27:27">
      <c r="AA4121" s="158" t="s">
        <v>7090</v>
      </c>
    </row>
    <row r="4122" spans="27:27">
      <c r="AA4122" s="158" t="s">
        <v>1903</v>
      </c>
    </row>
    <row r="4123" spans="27:27">
      <c r="AA4123" s="158" t="s">
        <v>7091</v>
      </c>
    </row>
    <row r="4124" spans="27:27">
      <c r="AA4124" s="158" t="s">
        <v>7092</v>
      </c>
    </row>
    <row r="4125" spans="27:27">
      <c r="AA4125" s="158" t="s">
        <v>1904</v>
      </c>
    </row>
    <row r="4126" spans="27:27">
      <c r="AA4126" s="158" t="s">
        <v>7093</v>
      </c>
    </row>
    <row r="4127" spans="27:27">
      <c r="AA4127" s="158" t="s">
        <v>7094</v>
      </c>
    </row>
    <row r="4128" spans="27:27">
      <c r="AA4128" s="158" t="s">
        <v>1905</v>
      </c>
    </row>
    <row r="4129" spans="27:27">
      <c r="AA4129" s="158" t="s">
        <v>7095</v>
      </c>
    </row>
    <row r="4130" spans="27:27">
      <c r="AA4130" s="158" t="s">
        <v>7096</v>
      </c>
    </row>
    <row r="4131" spans="27:27">
      <c r="AA4131" s="158" t="s">
        <v>7097</v>
      </c>
    </row>
    <row r="4132" spans="27:27">
      <c r="AA4132" s="158" t="s">
        <v>7098</v>
      </c>
    </row>
    <row r="4133" spans="27:27">
      <c r="AA4133" s="158" t="s">
        <v>1906</v>
      </c>
    </row>
    <row r="4134" spans="27:27">
      <c r="AA4134" s="158" t="s">
        <v>7099</v>
      </c>
    </row>
    <row r="4135" spans="27:27">
      <c r="AA4135" s="158" t="s">
        <v>1907</v>
      </c>
    </row>
    <row r="4136" spans="27:27">
      <c r="AA4136" s="158" t="s">
        <v>7100</v>
      </c>
    </row>
    <row r="4137" spans="27:27">
      <c r="AA4137" s="158" t="s">
        <v>7101</v>
      </c>
    </row>
    <row r="4138" spans="27:27">
      <c r="AA4138" s="158" t="s">
        <v>1908</v>
      </c>
    </row>
    <row r="4139" spans="27:27">
      <c r="AA4139" s="158" t="s">
        <v>7102</v>
      </c>
    </row>
    <row r="4140" spans="27:27">
      <c r="AA4140" s="158" t="s">
        <v>7103</v>
      </c>
    </row>
    <row r="4141" spans="27:27">
      <c r="AA4141" s="158" t="s">
        <v>1909</v>
      </c>
    </row>
    <row r="4142" spans="27:27">
      <c r="AA4142" s="158" t="s">
        <v>7104</v>
      </c>
    </row>
    <row r="4143" spans="27:27">
      <c r="AA4143" s="158" t="s">
        <v>7105</v>
      </c>
    </row>
    <row r="4144" spans="27:27">
      <c r="AA4144" s="158" t="s">
        <v>1910</v>
      </c>
    </row>
    <row r="4145" spans="27:27">
      <c r="AA4145" s="158" t="s">
        <v>7106</v>
      </c>
    </row>
    <row r="4146" spans="27:27">
      <c r="AA4146" s="158" t="s">
        <v>7107</v>
      </c>
    </row>
    <row r="4147" spans="27:27">
      <c r="AA4147" s="158" t="s">
        <v>1911</v>
      </c>
    </row>
    <row r="4148" spans="27:27">
      <c r="AA4148" s="158" t="s">
        <v>7108</v>
      </c>
    </row>
    <row r="4149" spans="27:27">
      <c r="AA4149" s="158" t="s">
        <v>7109</v>
      </c>
    </row>
    <row r="4150" spans="27:27">
      <c r="AA4150" s="158" t="s">
        <v>1912</v>
      </c>
    </row>
    <row r="4151" spans="27:27">
      <c r="AA4151" s="158" t="s">
        <v>7110</v>
      </c>
    </row>
    <row r="4152" spans="27:27">
      <c r="AA4152" s="158" t="s">
        <v>7111</v>
      </c>
    </row>
    <row r="4153" spans="27:27">
      <c r="AA4153" s="158" t="s">
        <v>1913</v>
      </c>
    </row>
    <row r="4154" spans="27:27">
      <c r="AA4154" s="158" t="s">
        <v>7112</v>
      </c>
    </row>
    <row r="4155" spans="27:27">
      <c r="AA4155" s="158" t="s">
        <v>1914</v>
      </c>
    </row>
    <row r="4156" spans="27:27">
      <c r="AA4156" s="158" t="s">
        <v>7113</v>
      </c>
    </row>
    <row r="4157" spans="27:27">
      <c r="AA4157" s="158" t="s">
        <v>7114</v>
      </c>
    </row>
    <row r="4158" spans="27:27">
      <c r="AA4158" s="158" t="s">
        <v>1915</v>
      </c>
    </row>
    <row r="4159" spans="27:27">
      <c r="AA4159" s="158" t="s">
        <v>7115</v>
      </c>
    </row>
    <row r="4160" spans="27:27">
      <c r="AA4160" s="158" t="s">
        <v>7116</v>
      </c>
    </row>
    <row r="4161" spans="27:27">
      <c r="AA4161" s="158" t="s">
        <v>1916</v>
      </c>
    </row>
    <row r="4162" spans="27:27">
      <c r="AA4162" s="158" t="s">
        <v>7117</v>
      </c>
    </row>
    <row r="4163" spans="27:27">
      <c r="AA4163" s="158" t="s">
        <v>7118</v>
      </c>
    </row>
    <row r="4164" spans="27:27">
      <c r="AA4164" s="158" t="s">
        <v>1917</v>
      </c>
    </row>
    <row r="4165" spans="27:27">
      <c r="AA4165" s="158" t="s">
        <v>7119</v>
      </c>
    </row>
    <row r="4166" spans="27:27">
      <c r="AA4166" s="158" t="s">
        <v>1918</v>
      </c>
    </row>
    <row r="4167" spans="27:27">
      <c r="AA4167" s="158" t="s">
        <v>7120</v>
      </c>
    </row>
    <row r="4168" spans="27:27">
      <c r="AA4168" s="158" t="s">
        <v>1919</v>
      </c>
    </row>
    <row r="4169" spans="27:27">
      <c r="AA4169" s="158" t="s">
        <v>7121</v>
      </c>
    </row>
    <row r="4170" spans="27:27">
      <c r="AA4170" s="158" t="s">
        <v>264</v>
      </c>
    </row>
    <row r="4171" spans="27:27">
      <c r="AA4171" s="158" t="s">
        <v>265</v>
      </c>
    </row>
    <row r="4172" spans="27:27">
      <c r="AA4172" s="158" t="s">
        <v>266</v>
      </c>
    </row>
    <row r="4173" spans="27:27">
      <c r="AA4173" s="158" t="s">
        <v>267</v>
      </c>
    </row>
    <row r="4174" spans="27:27">
      <c r="AA4174" s="158" t="s">
        <v>268</v>
      </c>
    </row>
    <row r="4175" spans="27:27">
      <c r="AA4175" s="158" t="s">
        <v>3647</v>
      </c>
    </row>
    <row r="4176" spans="27:27">
      <c r="AA4176" s="158" t="s">
        <v>3648</v>
      </c>
    </row>
    <row r="4177" spans="27:27">
      <c r="AA4177" s="158" t="s">
        <v>3649</v>
      </c>
    </row>
    <row r="4178" spans="27:27">
      <c r="AA4178" s="158" t="s">
        <v>3650</v>
      </c>
    </row>
    <row r="4179" spans="27:27">
      <c r="AA4179" s="158" t="s">
        <v>269</v>
      </c>
    </row>
    <row r="4180" spans="27:27">
      <c r="AA4180" s="158" t="s">
        <v>7122</v>
      </c>
    </row>
    <row r="4181" spans="27:27">
      <c r="AA4181" s="158" t="s">
        <v>7123</v>
      </c>
    </row>
    <row r="4182" spans="27:27">
      <c r="AA4182" s="158" t="s">
        <v>270</v>
      </c>
    </row>
    <row r="4183" spans="27:27">
      <c r="AA4183" s="158" t="s">
        <v>3651</v>
      </c>
    </row>
    <row r="4184" spans="27:27">
      <c r="AA4184" s="158" t="s">
        <v>271</v>
      </c>
    </row>
    <row r="4185" spans="27:27">
      <c r="AA4185" s="158" t="s">
        <v>3652</v>
      </c>
    </row>
    <row r="4186" spans="27:27">
      <c r="AA4186" s="158" t="s">
        <v>272</v>
      </c>
    </row>
    <row r="4187" spans="27:27">
      <c r="AA4187" s="158" t="s">
        <v>3653</v>
      </c>
    </row>
    <row r="4188" spans="27:27">
      <c r="AA4188" s="158" t="s">
        <v>273</v>
      </c>
    </row>
    <row r="4189" spans="27:27">
      <c r="AA4189" s="158" t="s">
        <v>3654</v>
      </c>
    </row>
    <row r="4190" spans="27:27">
      <c r="AA4190" s="158" t="s">
        <v>3655</v>
      </c>
    </row>
    <row r="4191" spans="27:27">
      <c r="AA4191" s="158" t="s">
        <v>274</v>
      </c>
    </row>
    <row r="4192" spans="27:27">
      <c r="AA4192" s="158" t="s">
        <v>3656</v>
      </c>
    </row>
    <row r="4193" spans="27:27">
      <c r="AA4193" s="158" t="s">
        <v>3657</v>
      </c>
    </row>
    <row r="4194" spans="27:27">
      <c r="AA4194" s="158" t="s">
        <v>3658</v>
      </c>
    </row>
    <row r="4195" spans="27:27">
      <c r="AA4195" s="158" t="s">
        <v>3659</v>
      </c>
    </row>
    <row r="4196" spans="27:27">
      <c r="AA4196" s="158" t="s">
        <v>275</v>
      </c>
    </row>
    <row r="4197" spans="27:27">
      <c r="AA4197" s="158" t="s">
        <v>3660</v>
      </c>
    </row>
    <row r="4198" spans="27:27">
      <c r="AA4198" s="158" t="s">
        <v>276</v>
      </c>
    </row>
    <row r="4199" spans="27:27">
      <c r="AA4199" s="158" t="s">
        <v>3661</v>
      </c>
    </row>
    <row r="4200" spans="27:27">
      <c r="AA4200" s="158" t="s">
        <v>277</v>
      </c>
    </row>
    <row r="4201" spans="27:27">
      <c r="AA4201" s="158" t="s">
        <v>3662</v>
      </c>
    </row>
    <row r="4202" spans="27:27">
      <c r="AA4202" s="158" t="s">
        <v>3663</v>
      </c>
    </row>
    <row r="4203" spans="27:27">
      <c r="AA4203" s="158" t="s">
        <v>278</v>
      </c>
    </row>
    <row r="4204" spans="27:27">
      <c r="AA4204" s="158" t="s">
        <v>3664</v>
      </c>
    </row>
    <row r="4205" spans="27:27">
      <c r="AA4205" s="158" t="s">
        <v>279</v>
      </c>
    </row>
    <row r="4206" spans="27:27">
      <c r="AA4206" s="158" t="s">
        <v>280</v>
      </c>
    </row>
    <row r="4207" spans="27:27">
      <c r="AA4207" s="158" t="s">
        <v>281</v>
      </c>
    </row>
    <row r="4208" spans="27:27">
      <c r="AA4208" s="158" t="s">
        <v>282</v>
      </c>
    </row>
    <row r="4209" spans="27:27">
      <c r="AA4209" s="158" t="s">
        <v>3665</v>
      </c>
    </row>
    <row r="4210" spans="27:27">
      <c r="AA4210" s="158" t="s">
        <v>3666</v>
      </c>
    </row>
    <row r="4211" spans="27:27">
      <c r="AA4211" s="158" t="s">
        <v>3667</v>
      </c>
    </row>
    <row r="4212" spans="27:27">
      <c r="AA4212" s="158" t="s">
        <v>283</v>
      </c>
    </row>
    <row r="4213" spans="27:27">
      <c r="AA4213" s="158" t="s">
        <v>3668</v>
      </c>
    </row>
    <row r="4214" spans="27:27">
      <c r="AA4214" s="158" t="s">
        <v>7124</v>
      </c>
    </row>
    <row r="4215" spans="27:27">
      <c r="AA4215" s="158" t="s">
        <v>7125</v>
      </c>
    </row>
    <row r="4216" spans="27:27">
      <c r="AA4216" s="158" t="s">
        <v>3669</v>
      </c>
    </row>
    <row r="4217" spans="27:27">
      <c r="AA4217" s="158" t="s">
        <v>7126</v>
      </c>
    </row>
    <row r="4218" spans="27:27">
      <c r="AA4218" s="158" t="s">
        <v>7127</v>
      </c>
    </row>
    <row r="4219" spans="27:27">
      <c r="AA4219" s="158" t="s">
        <v>3670</v>
      </c>
    </row>
    <row r="4220" spans="27:27">
      <c r="AA4220" s="158" t="s">
        <v>284</v>
      </c>
    </row>
    <row r="4221" spans="27:27">
      <c r="AA4221" s="158" t="s">
        <v>285</v>
      </c>
    </row>
    <row r="4222" spans="27:27">
      <c r="AA4222" s="158" t="s">
        <v>286</v>
      </c>
    </row>
    <row r="4223" spans="27:27">
      <c r="AA4223" s="158" t="s">
        <v>7128</v>
      </c>
    </row>
    <row r="4224" spans="27:27">
      <c r="AA4224" s="158" t="s">
        <v>287</v>
      </c>
    </row>
    <row r="4225" spans="27:27">
      <c r="AA4225" s="158" t="s">
        <v>7129</v>
      </c>
    </row>
    <row r="4226" spans="27:27">
      <c r="AA4226" s="158" t="s">
        <v>288</v>
      </c>
    </row>
    <row r="4227" spans="27:27">
      <c r="AA4227" s="158" t="s">
        <v>7130</v>
      </c>
    </row>
    <row r="4228" spans="27:27">
      <c r="AA4228" s="158" t="s">
        <v>7131</v>
      </c>
    </row>
    <row r="4229" spans="27:27">
      <c r="AA4229" s="158" t="s">
        <v>7132</v>
      </c>
    </row>
    <row r="4230" spans="27:27">
      <c r="AA4230" s="158" t="s">
        <v>7133</v>
      </c>
    </row>
    <row r="4231" spans="27:27">
      <c r="AA4231" s="158" t="s">
        <v>7134</v>
      </c>
    </row>
    <row r="4232" spans="27:27">
      <c r="AA4232" s="158" t="s">
        <v>289</v>
      </c>
    </row>
    <row r="4233" spans="27:27">
      <c r="AA4233" s="158" t="s">
        <v>7135</v>
      </c>
    </row>
    <row r="4234" spans="27:27">
      <c r="AA4234" s="158" t="s">
        <v>7136</v>
      </c>
    </row>
    <row r="4235" spans="27:27">
      <c r="AA4235" s="158" t="s">
        <v>7137</v>
      </c>
    </row>
    <row r="4236" spans="27:27">
      <c r="AA4236" s="158" t="s">
        <v>7138</v>
      </c>
    </row>
    <row r="4237" spans="27:27">
      <c r="AA4237" s="158" t="s">
        <v>7139</v>
      </c>
    </row>
    <row r="4238" spans="27:27">
      <c r="AA4238" s="158" t="s">
        <v>290</v>
      </c>
    </row>
    <row r="4239" spans="27:27">
      <c r="AA4239" s="158" t="s">
        <v>291</v>
      </c>
    </row>
    <row r="4240" spans="27:27">
      <c r="AA4240" s="158" t="s">
        <v>292</v>
      </c>
    </row>
    <row r="4241" spans="27:27">
      <c r="AA4241" s="158" t="s">
        <v>7140</v>
      </c>
    </row>
    <row r="4242" spans="27:27">
      <c r="AA4242" s="158" t="s">
        <v>7141</v>
      </c>
    </row>
    <row r="4243" spans="27:27">
      <c r="AA4243" s="158" t="s">
        <v>7142</v>
      </c>
    </row>
    <row r="4244" spans="27:27">
      <c r="AA4244" s="158" t="s">
        <v>293</v>
      </c>
    </row>
    <row r="4245" spans="27:27">
      <c r="AA4245" s="158" t="s">
        <v>294</v>
      </c>
    </row>
    <row r="4246" spans="27:27">
      <c r="AA4246" s="158" t="s">
        <v>295</v>
      </c>
    </row>
    <row r="4247" spans="27:27">
      <c r="AA4247" s="158" t="s">
        <v>296</v>
      </c>
    </row>
    <row r="4248" spans="27:27">
      <c r="AA4248" s="158" t="s">
        <v>297</v>
      </c>
    </row>
    <row r="4249" spans="27:27">
      <c r="AA4249" s="158" t="s">
        <v>298</v>
      </c>
    </row>
    <row r="4250" spans="27:27">
      <c r="AA4250" s="158" t="s">
        <v>7143</v>
      </c>
    </row>
    <row r="4251" spans="27:27">
      <c r="AA4251" s="158" t="s">
        <v>299</v>
      </c>
    </row>
    <row r="4252" spans="27:27">
      <c r="AA4252" s="158" t="s">
        <v>300</v>
      </c>
    </row>
    <row r="4253" spans="27:27">
      <c r="AA4253" s="158" t="s">
        <v>301</v>
      </c>
    </row>
    <row r="4254" spans="27:27">
      <c r="AA4254" s="158" t="s">
        <v>302</v>
      </c>
    </row>
    <row r="4255" spans="27:27">
      <c r="AA4255" s="158" t="s">
        <v>7144</v>
      </c>
    </row>
    <row r="4256" spans="27:27">
      <c r="AA4256" s="158" t="s">
        <v>303</v>
      </c>
    </row>
    <row r="4257" spans="27:27">
      <c r="AA4257" s="158" t="s">
        <v>304</v>
      </c>
    </row>
    <row r="4258" spans="27:27">
      <c r="AA4258" s="158" t="s">
        <v>305</v>
      </c>
    </row>
    <row r="4259" spans="27:27">
      <c r="AA4259" s="158" t="s">
        <v>306</v>
      </c>
    </row>
    <row r="4260" spans="27:27">
      <c r="AA4260" s="158" t="s">
        <v>7145</v>
      </c>
    </row>
    <row r="4261" spans="27:27">
      <c r="AA4261" s="158" t="s">
        <v>7146</v>
      </c>
    </row>
    <row r="4262" spans="27:27">
      <c r="AA4262" s="158" t="s">
        <v>307</v>
      </c>
    </row>
    <row r="4263" spans="27:27">
      <c r="AA4263" s="158" t="s">
        <v>308</v>
      </c>
    </row>
    <row r="4264" spans="27:27">
      <c r="AA4264" s="158" t="s">
        <v>309</v>
      </c>
    </row>
    <row r="4265" spans="27:27">
      <c r="AA4265" s="158" t="s">
        <v>7147</v>
      </c>
    </row>
    <row r="4266" spans="27:27">
      <c r="AA4266" s="158" t="s">
        <v>310</v>
      </c>
    </row>
    <row r="4267" spans="27:27">
      <c r="AA4267" s="158" t="s">
        <v>7148</v>
      </c>
    </row>
    <row r="4268" spans="27:27">
      <c r="AA4268" s="158" t="s">
        <v>311</v>
      </c>
    </row>
    <row r="4269" spans="27:27">
      <c r="AA4269" s="158" t="s">
        <v>7149</v>
      </c>
    </row>
    <row r="4270" spans="27:27">
      <c r="AA4270" s="158" t="s">
        <v>7150</v>
      </c>
    </row>
    <row r="4271" spans="27:27">
      <c r="AA4271" s="158" t="s">
        <v>7151</v>
      </c>
    </row>
    <row r="4272" spans="27:27">
      <c r="AA4272" s="158" t="s">
        <v>312</v>
      </c>
    </row>
    <row r="4273" spans="27:27">
      <c r="AA4273" s="158" t="s">
        <v>7152</v>
      </c>
    </row>
    <row r="4274" spans="27:27">
      <c r="AA4274" s="158" t="s">
        <v>7153</v>
      </c>
    </row>
    <row r="4275" spans="27:27">
      <c r="AA4275" s="158" t="s">
        <v>7154</v>
      </c>
    </row>
    <row r="4276" spans="27:27">
      <c r="AA4276" s="158" t="s">
        <v>7155</v>
      </c>
    </row>
    <row r="4277" spans="27:27">
      <c r="AA4277" s="158" t="s">
        <v>7156</v>
      </c>
    </row>
    <row r="4278" spans="27:27">
      <c r="AA4278" s="158" t="s">
        <v>7157</v>
      </c>
    </row>
    <row r="4279" spans="27:27">
      <c r="AA4279" s="158" t="s">
        <v>7158</v>
      </c>
    </row>
    <row r="4280" spans="27:27">
      <c r="AA4280" s="158" t="s">
        <v>7159</v>
      </c>
    </row>
    <row r="4281" spans="27:27">
      <c r="AA4281" s="158" t="s">
        <v>7160</v>
      </c>
    </row>
    <row r="4282" spans="27:27">
      <c r="AA4282" s="158" t="s">
        <v>7161</v>
      </c>
    </row>
    <row r="4283" spans="27:27">
      <c r="AA4283" s="158" t="s">
        <v>7162</v>
      </c>
    </row>
    <row r="4284" spans="27:27">
      <c r="AA4284" s="158" t="s">
        <v>7163</v>
      </c>
    </row>
    <row r="4285" spans="27:27">
      <c r="AA4285" s="158" t="s">
        <v>313</v>
      </c>
    </row>
    <row r="4286" spans="27:27">
      <c r="AA4286" s="158" t="s">
        <v>7164</v>
      </c>
    </row>
    <row r="4287" spans="27:27">
      <c r="AA4287" s="158" t="s">
        <v>7165</v>
      </c>
    </row>
    <row r="4288" spans="27:27">
      <c r="AA4288" s="158" t="s">
        <v>7166</v>
      </c>
    </row>
    <row r="4289" spans="27:27">
      <c r="AA4289" s="158" t="s">
        <v>7167</v>
      </c>
    </row>
    <row r="4290" spans="27:27">
      <c r="AA4290" s="158" t="s">
        <v>314</v>
      </c>
    </row>
    <row r="4291" spans="27:27">
      <c r="AA4291" s="158" t="s">
        <v>315</v>
      </c>
    </row>
    <row r="4292" spans="27:27">
      <c r="AA4292" s="158" t="s">
        <v>316</v>
      </c>
    </row>
    <row r="4293" spans="27:27">
      <c r="AA4293" s="158" t="s">
        <v>317</v>
      </c>
    </row>
    <row r="4294" spans="27:27">
      <c r="AA4294" s="158" t="s">
        <v>318</v>
      </c>
    </row>
    <row r="4295" spans="27:27">
      <c r="AA4295" s="158" t="s">
        <v>319</v>
      </c>
    </row>
    <row r="4296" spans="27:27">
      <c r="AA4296" s="158" t="s">
        <v>7168</v>
      </c>
    </row>
    <row r="4297" spans="27:27">
      <c r="AA4297" s="158" t="s">
        <v>320</v>
      </c>
    </row>
    <row r="4298" spans="27:27">
      <c r="AA4298" s="158" t="s">
        <v>7169</v>
      </c>
    </row>
    <row r="4299" spans="27:27">
      <c r="AA4299" s="158" t="s">
        <v>7170</v>
      </c>
    </row>
    <row r="4300" spans="27:27">
      <c r="AA4300" s="158" t="s">
        <v>7171</v>
      </c>
    </row>
    <row r="4301" spans="27:27">
      <c r="AA4301" s="158" t="s">
        <v>3671</v>
      </c>
    </row>
    <row r="4302" spans="27:27">
      <c r="AA4302" s="158" t="s">
        <v>7172</v>
      </c>
    </row>
    <row r="4303" spans="27:27">
      <c r="AA4303" s="158" t="s">
        <v>7173</v>
      </c>
    </row>
    <row r="4304" spans="27:27">
      <c r="AA4304" s="158" t="s">
        <v>7174</v>
      </c>
    </row>
    <row r="4305" spans="27:27">
      <c r="AA4305" s="158" t="s">
        <v>7175</v>
      </c>
    </row>
    <row r="4306" spans="27:27">
      <c r="AA4306" s="158" t="s">
        <v>7176</v>
      </c>
    </row>
    <row r="4307" spans="27:27">
      <c r="AA4307" s="158" t="s">
        <v>321</v>
      </c>
    </row>
    <row r="4308" spans="27:27">
      <c r="AA4308" s="158" t="s">
        <v>3672</v>
      </c>
    </row>
    <row r="4309" spans="27:27">
      <c r="AA4309" s="158" t="s">
        <v>7177</v>
      </c>
    </row>
    <row r="4310" spans="27:27">
      <c r="AA4310" s="158" t="s">
        <v>7178</v>
      </c>
    </row>
    <row r="4311" spans="27:27">
      <c r="AA4311" s="158" t="s">
        <v>322</v>
      </c>
    </row>
    <row r="4312" spans="27:27">
      <c r="AA4312" s="158" t="s">
        <v>323</v>
      </c>
    </row>
    <row r="4313" spans="27:27">
      <c r="AA4313" s="158" t="s">
        <v>7179</v>
      </c>
    </row>
    <row r="4314" spans="27:27">
      <c r="AA4314" s="158" t="s">
        <v>7180</v>
      </c>
    </row>
    <row r="4315" spans="27:27">
      <c r="AA4315" s="158" t="s">
        <v>324</v>
      </c>
    </row>
    <row r="4316" spans="27:27">
      <c r="AA4316" s="158" t="s">
        <v>7181</v>
      </c>
    </row>
    <row r="4317" spans="27:27">
      <c r="AA4317" s="158" t="s">
        <v>7182</v>
      </c>
    </row>
    <row r="4318" spans="27:27">
      <c r="AA4318" s="158" t="s">
        <v>7183</v>
      </c>
    </row>
    <row r="4319" spans="27:27">
      <c r="AA4319" s="158" t="s">
        <v>7184</v>
      </c>
    </row>
    <row r="4320" spans="27:27">
      <c r="AA4320" s="158" t="s">
        <v>325</v>
      </c>
    </row>
    <row r="4321" spans="27:27">
      <c r="AA4321" s="158" t="s">
        <v>7185</v>
      </c>
    </row>
    <row r="4322" spans="27:27">
      <c r="AA4322" s="158" t="s">
        <v>7186</v>
      </c>
    </row>
    <row r="4323" spans="27:27">
      <c r="AA4323" s="158" t="s">
        <v>7187</v>
      </c>
    </row>
    <row r="4324" spans="27:27">
      <c r="AA4324" s="158" t="s">
        <v>7188</v>
      </c>
    </row>
    <row r="4325" spans="27:27">
      <c r="AA4325" s="158" t="s">
        <v>326</v>
      </c>
    </row>
    <row r="4326" spans="27:27">
      <c r="AA4326" s="158" t="s">
        <v>7189</v>
      </c>
    </row>
    <row r="4327" spans="27:27">
      <c r="AA4327" s="158" t="s">
        <v>7190</v>
      </c>
    </row>
    <row r="4328" spans="27:27">
      <c r="AA4328" s="158" t="s">
        <v>7191</v>
      </c>
    </row>
    <row r="4329" spans="27:27">
      <c r="AA4329" s="158" t="s">
        <v>7192</v>
      </c>
    </row>
    <row r="4330" spans="27:27">
      <c r="AA4330" s="158" t="s">
        <v>7193</v>
      </c>
    </row>
    <row r="4331" spans="27:27">
      <c r="AA4331" s="158" t="s">
        <v>7194</v>
      </c>
    </row>
    <row r="4332" spans="27:27">
      <c r="AA4332" s="158" t="s">
        <v>7195</v>
      </c>
    </row>
    <row r="4333" spans="27:27">
      <c r="AA4333" s="158" t="s">
        <v>7196</v>
      </c>
    </row>
    <row r="4334" spans="27:27">
      <c r="AA4334" s="158" t="s">
        <v>7197</v>
      </c>
    </row>
    <row r="4335" spans="27:27">
      <c r="AA4335" s="158" t="s">
        <v>7198</v>
      </c>
    </row>
    <row r="4336" spans="27:27">
      <c r="AA4336" s="158" t="s">
        <v>7199</v>
      </c>
    </row>
    <row r="4337" spans="27:27">
      <c r="AA4337" s="158" t="s">
        <v>7200</v>
      </c>
    </row>
    <row r="4338" spans="27:27">
      <c r="AA4338" s="158" t="s">
        <v>7201</v>
      </c>
    </row>
    <row r="4339" spans="27:27">
      <c r="AA4339" s="158" t="s">
        <v>7202</v>
      </c>
    </row>
    <row r="4340" spans="27:27">
      <c r="AA4340" s="158" t="s">
        <v>327</v>
      </c>
    </row>
    <row r="4341" spans="27:27">
      <c r="AA4341" s="158" t="s">
        <v>7203</v>
      </c>
    </row>
    <row r="4342" spans="27:27">
      <c r="AA4342" s="158" t="s">
        <v>7204</v>
      </c>
    </row>
    <row r="4343" spans="27:27">
      <c r="AA4343" s="158" t="s">
        <v>7205</v>
      </c>
    </row>
    <row r="4344" spans="27:27">
      <c r="AA4344" s="158" t="s">
        <v>7206</v>
      </c>
    </row>
    <row r="4345" spans="27:27">
      <c r="AA4345" s="158" t="s">
        <v>7207</v>
      </c>
    </row>
    <row r="4346" spans="27:27">
      <c r="AA4346" s="158" t="s">
        <v>328</v>
      </c>
    </row>
    <row r="4347" spans="27:27">
      <c r="AA4347" s="158" t="s">
        <v>7208</v>
      </c>
    </row>
    <row r="4348" spans="27:27">
      <c r="AA4348" s="158" t="s">
        <v>329</v>
      </c>
    </row>
    <row r="4349" spans="27:27">
      <c r="AA4349" s="158" t="s">
        <v>7209</v>
      </c>
    </row>
    <row r="4350" spans="27:27">
      <c r="AA4350" s="158" t="s">
        <v>7210</v>
      </c>
    </row>
    <row r="4351" spans="27:27">
      <c r="AA4351" s="158" t="s">
        <v>7211</v>
      </c>
    </row>
    <row r="4352" spans="27:27">
      <c r="AA4352" s="158" t="s">
        <v>7212</v>
      </c>
    </row>
    <row r="4353" spans="27:27">
      <c r="AA4353" s="158" t="s">
        <v>330</v>
      </c>
    </row>
    <row r="4354" spans="27:27">
      <c r="AA4354" s="158" t="s">
        <v>331</v>
      </c>
    </row>
    <row r="4355" spans="27:27">
      <c r="AA4355" s="158" t="s">
        <v>332</v>
      </c>
    </row>
    <row r="4356" spans="27:27">
      <c r="AA4356" s="158" t="s">
        <v>333</v>
      </c>
    </row>
    <row r="4357" spans="27:27">
      <c r="AA4357" s="158" t="s">
        <v>7213</v>
      </c>
    </row>
    <row r="4358" spans="27:27">
      <c r="AA4358" s="158" t="s">
        <v>7214</v>
      </c>
    </row>
    <row r="4359" spans="27:27">
      <c r="AA4359" s="158" t="s">
        <v>7215</v>
      </c>
    </row>
    <row r="4360" spans="27:27">
      <c r="AA4360" s="158" t="s">
        <v>334</v>
      </c>
    </row>
    <row r="4361" spans="27:27">
      <c r="AA4361" s="158" t="s">
        <v>7216</v>
      </c>
    </row>
    <row r="4362" spans="27:27">
      <c r="AA4362" s="158" t="s">
        <v>335</v>
      </c>
    </row>
    <row r="4363" spans="27:27">
      <c r="AA4363" s="158" t="s">
        <v>336</v>
      </c>
    </row>
    <row r="4364" spans="27:27">
      <c r="AA4364" s="158" t="s">
        <v>337</v>
      </c>
    </row>
    <row r="4365" spans="27:27">
      <c r="AA4365" s="158" t="s">
        <v>338</v>
      </c>
    </row>
    <row r="4366" spans="27:27">
      <c r="AA4366" s="158" t="s">
        <v>339</v>
      </c>
    </row>
    <row r="4367" spans="27:27">
      <c r="AA4367" s="158" t="s">
        <v>340</v>
      </c>
    </row>
    <row r="4368" spans="27:27">
      <c r="AA4368" s="158" t="s">
        <v>7217</v>
      </c>
    </row>
    <row r="4369" spans="27:27">
      <c r="AA4369" s="158" t="s">
        <v>7218</v>
      </c>
    </row>
    <row r="4370" spans="27:27">
      <c r="AA4370" s="158" t="s">
        <v>341</v>
      </c>
    </row>
    <row r="4371" spans="27:27">
      <c r="AA4371" s="158" t="s">
        <v>342</v>
      </c>
    </row>
    <row r="4372" spans="27:27">
      <c r="AA4372" s="158" t="s">
        <v>343</v>
      </c>
    </row>
    <row r="4373" spans="27:27">
      <c r="AA4373" s="158" t="s">
        <v>7219</v>
      </c>
    </row>
    <row r="4374" spans="27:27">
      <c r="AA4374" s="158" t="s">
        <v>344</v>
      </c>
    </row>
    <row r="4375" spans="27:27">
      <c r="AA4375" s="158" t="s">
        <v>7220</v>
      </c>
    </row>
    <row r="4376" spans="27:27">
      <c r="AA4376" s="158" t="s">
        <v>345</v>
      </c>
    </row>
    <row r="4377" spans="27:27">
      <c r="AA4377" s="158" t="s">
        <v>346</v>
      </c>
    </row>
    <row r="4378" spans="27:27">
      <c r="AA4378" s="158" t="s">
        <v>347</v>
      </c>
    </row>
    <row r="4379" spans="27:27">
      <c r="AA4379" s="158" t="s">
        <v>348</v>
      </c>
    </row>
    <row r="4380" spans="27:27">
      <c r="AA4380" s="158" t="s">
        <v>7221</v>
      </c>
    </row>
    <row r="4381" spans="27:27">
      <c r="AA4381" s="158" t="s">
        <v>349</v>
      </c>
    </row>
    <row r="4382" spans="27:27">
      <c r="AA4382" s="158" t="s">
        <v>7222</v>
      </c>
    </row>
    <row r="4383" spans="27:27">
      <c r="AA4383" s="158" t="s">
        <v>7223</v>
      </c>
    </row>
    <row r="4384" spans="27:27">
      <c r="AA4384" s="158" t="s">
        <v>7224</v>
      </c>
    </row>
    <row r="4385" spans="27:27">
      <c r="AA4385" s="158" t="s">
        <v>7225</v>
      </c>
    </row>
    <row r="4386" spans="27:27">
      <c r="AA4386" s="158" t="s">
        <v>350</v>
      </c>
    </row>
    <row r="4387" spans="27:27">
      <c r="AA4387" s="158" t="s">
        <v>351</v>
      </c>
    </row>
    <row r="4388" spans="27:27">
      <c r="AA4388" s="158" t="s">
        <v>7226</v>
      </c>
    </row>
    <row r="4389" spans="27:27">
      <c r="AA4389" s="158" t="s">
        <v>7227</v>
      </c>
    </row>
    <row r="4390" spans="27:27">
      <c r="AA4390" s="158" t="s">
        <v>7228</v>
      </c>
    </row>
    <row r="4391" spans="27:27">
      <c r="AA4391" s="158" t="s">
        <v>7229</v>
      </c>
    </row>
    <row r="4392" spans="27:27">
      <c r="AA4392" s="158" t="s">
        <v>7230</v>
      </c>
    </row>
    <row r="4393" spans="27:27">
      <c r="AA4393" s="158" t="s">
        <v>7231</v>
      </c>
    </row>
    <row r="4394" spans="27:27">
      <c r="AA4394" s="158" t="s">
        <v>7232</v>
      </c>
    </row>
    <row r="4395" spans="27:27">
      <c r="AA4395" s="158" t="s">
        <v>352</v>
      </c>
    </row>
    <row r="4396" spans="27:27">
      <c r="AA4396" s="158" t="s">
        <v>7233</v>
      </c>
    </row>
    <row r="4397" spans="27:27">
      <c r="AA4397" s="158" t="s">
        <v>7234</v>
      </c>
    </row>
    <row r="4398" spans="27:27">
      <c r="AA4398" s="158" t="s">
        <v>3673</v>
      </c>
    </row>
    <row r="4399" spans="27:27">
      <c r="AA4399" s="158" t="s">
        <v>7235</v>
      </c>
    </row>
    <row r="4400" spans="27:27">
      <c r="AA4400" s="158" t="s">
        <v>7236</v>
      </c>
    </row>
    <row r="4401" spans="27:27">
      <c r="AA4401" s="158" t="s">
        <v>7237</v>
      </c>
    </row>
    <row r="4402" spans="27:27">
      <c r="AA4402" s="158" t="s">
        <v>353</v>
      </c>
    </row>
    <row r="4403" spans="27:27">
      <c r="AA4403" s="158" t="s">
        <v>7238</v>
      </c>
    </row>
    <row r="4404" spans="27:27">
      <c r="AA4404" s="158" t="s">
        <v>7239</v>
      </c>
    </row>
    <row r="4405" spans="27:27">
      <c r="AA4405" s="158" t="s">
        <v>7240</v>
      </c>
    </row>
    <row r="4406" spans="27:27">
      <c r="AA4406" s="158" t="s">
        <v>7241</v>
      </c>
    </row>
    <row r="4407" spans="27:27">
      <c r="AA4407" s="158" t="s">
        <v>7242</v>
      </c>
    </row>
    <row r="4408" spans="27:27">
      <c r="AA4408" s="158" t="s">
        <v>354</v>
      </c>
    </row>
    <row r="4409" spans="27:27">
      <c r="AA4409" s="158" t="s">
        <v>7243</v>
      </c>
    </row>
    <row r="4410" spans="27:27">
      <c r="AA4410" s="158" t="s">
        <v>7244</v>
      </c>
    </row>
    <row r="4411" spans="27:27">
      <c r="AA4411" s="158" t="s">
        <v>7245</v>
      </c>
    </row>
    <row r="4412" spans="27:27">
      <c r="AA4412" s="158" t="s">
        <v>7246</v>
      </c>
    </row>
    <row r="4413" spans="27:27">
      <c r="AA4413" s="158" t="s">
        <v>7247</v>
      </c>
    </row>
    <row r="4414" spans="27:27">
      <c r="AA4414" s="158" t="s">
        <v>7248</v>
      </c>
    </row>
    <row r="4415" spans="27:27">
      <c r="AA4415" s="158" t="s">
        <v>7249</v>
      </c>
    </row>
    <row r="4416" spans="27:27">
      <c r="AA4416" s="158" t="s">
        <v>7250</v>
      </c>
    </row>
    <row r="4417" spans="27:27">
      <c r="AA4417" s="158" t="s">
        <v>7251</v>
      </c>
    </row>
    <row r="4418" spans="27:27">
      <c r="AA4418" s="158" t="s">
        <v>355</v>
      </c>
    </row>
    <row r="4419" spans="27:27">
      <c r="AA4419" s="158" t="s">
        <v>7252</v>
      </c>
    </row>
    <row r="4420" spans="27:27">
      <c r="AA4420" s="158" t="s">
        <v>7253</v>
      </c>
    </row>
    <row r="4421" spans="27:27">
      <c r="AA4421" s="158" t="s">
        <v>7254</v>
      </c>
    </row>
    <row r="4422" spans="27:27">
      <c r="AA4422" s="158" t="s">
        <v>7255</v>
      </c>
    </row>
    <row r="4423" spans="27:27">
      <c r="AA4423" s="158" t="s">
        <v>7256</v>
      </c>
    </row>
    <row r="4424" spans="27:27">
      <c r="AA4424" s="158" t="s">
        <v>7257</v>
      </c>
    </row>
    <row r="4425" spans="27:27">
      <c r="AA4425" s="158" t="s">
        <v>7258</v>
      </c>
    </row>
    <row r="4426" spans="27:27">
      <c r="AA4426" s="158" t="s">
        <v>356</v>
      </c>
    </row>
    <row r="4427" spans="27:27">
      <c r="AA4427" s="158" t="s">
        <v>7259</v>
      </c>
    </row>
    <row r="4428" spans="27:27">
      <c r="AA4428" s="158" t="s">
        <v>7260</v>
      </c>
    </row>
    <row r="4429" spans="27:27">
      <c r="AA4429" s="158" t="s">
        <v>7261</v>
      </c>
    </row>
    <row r="4430" spans="27:27">
      <c r="AA4430" s="158" t="s">
        <v>7262</v>
      </c>
    </row>
    <row r="4431" spans="27:27">
      <c r="AA4431" s="158" t="s">
        <v>7263</v>
      </c>
    </row>
    <row r="4432" spans="27:27">
      <c r="AA4432" s="158" t="s">
        <v>7264</v>
      </c>
    </row>
    <row r="4433" spans="27:27">
      <c r="AA4433" s="158" t="s">
        <v>7265</v>
      </c>
    </row>
    <row r="4434" spans="27:27">
      <c r="AA4434" s="158" t="s">
        <v>7266</v>
      </c>
    </row>
    <row r="4435" spans="27:27">
      <c r="AA4435" s="158" t="s">
        <v>7267</v>
      </c>
    </row>
    <row r="4436" spans="27:27">
      <c r="AA4436" s="158" t="s">
        <v>7268</v>
      </c>
    </row>
    <row r="4437" spans="27:27">
      <c r="AA4437" s="158" t="s">
        <v>7269</v>
      </c>
    </row>
    <row r="4438" spans="27:27">
      <c r="AA4438" s="158" t="s">
        <v>7270</v>
      </c>
    </row>
    <row r="4439" spans="27:27">
      <c r="AA4439" s="158" t="s">
        <v>357</v>
      </c>
    </row>
    <row r="4440" spans="27:27">
      <c r="AA4440" s="158" t="s">
        <v>358</v>
      </c>
    </row>
    <row r="4441" spans="27:27">
      <c r="AA4441" s="158" t="s">
        <v>359</v>
      </c>
    </row>
    <row r="4442" spans="27:27">
      <c r="AA4442" s="158" t="s">
        <v>360</v>
      </c>
    </row>
    <row r="4443" spans="27:27">
      <c r="AA4443" s="158" t="s">
        <v>361</v>
      </c>
    </row>
    <row r="4444" spans="27:27">
      <c r="AA4444" s="158" t="s">
        <v>362</v>
      </c>
    </row>
    <row r="4445" spans="27:27">
      <c r="AA4445" s="158" t="s">
        <v>363</v>
      </c>
    </row>
    <row r="4446" spans="27:27">
      <c r="AA4446" s="158" t="s">
        <v>7271</v>
      </c>
    </row>
    <row r="4447" spans="27:27">
      <c r="AA4447" s="158" t="s">
        <v>7272</v>
      </c>
    </row>
    <row r="4448" spans="27:27">
      <c r="AA4448" s="158" t="s">
        <v>7273</v>
      </c>
    </row>
    <row r="4449" spans="27:27">
      <c r="AA4449" s="158" t="s">
        <v>7274</v>
      </c>
    </row>
    <row r="4450" spans="27:27">
      <c r="AA4450" s="158" t="s">
        <v>7275</v>
      </c>
    </row>
    <row r="4451" spans="27:27">
      <c r="AA4451" s="158" t="s">
        <v>7276</v>
      </c>
    </row>
    <row r="4452" spans="27:27">
      <c r="AA4452" s="158" t="s">
        <v>7277</v>
      </c>
    </row>
    <row r="4453" spans="27:27">
      <c r="AA4453" s="158" t="s">
        <v>7278</v>
      </c>
    </row>
    <row r="4454" spans="27:27">
      <c r="AA4454" s="158" t="s">
        <v>7279</v>
      </c>
    </row>
    <row r="4455" spans="27:27">
      <c r="AA4455" s="158" t="s">
        <v>7280</v>
      </c>
    </row>
    <row r="4456" spans="27:27">
      <c r="AA4456" s="158" t="s">
        <v>7281</v>
      </c>
    </row>
    <row r="4457" spans="27:27">
      <c r="AA4457" s="158" t="s">
        <v>364</v>
      </c>
    </row>
    <row r="4458" spans="27:27">
      <c r="AA4458" s="158" t="s">
        <v>365</v>
      </c>
    </row>
    <row r="4459" spans="27:27">
      <c r="AA4459" s="158" t="s">
        <v>366</v>
      </c>
    </row>
    <row r="4460" spans="27:27">
      <c r="AA4460" s="158" t="s">
        <v>367</v>
      </c>
    </row>
    <row r="4461" spans="27:27">
      <c r="AA4461" s="158" t="s">
        <v>368</v>
      </c>
    </row>
    <row r="4462" spans="27:27">
      <c r="AA4462" s="158" t="s">
        <v>369</v>
      </c>
    </row>
    <row r="4463" spans="27:27">
      <c r="AA4463" s="158" t="s">
        <v>370</v>
      </c>
    </row>
    <row r="4464" spans="27:27">
      <c r="AA4464" s="158" t="s">
        <v>7282</v>
      </c>
    </row>
    <row r="4465" spans="27:27">
      <c r="AA4465" s="158" t="s">
        <v>371</v>
      </c>
    </row>
    <row r="4466" spans="27:27">
      <c r="AA4466" s="158" t="s">
        <v>7283</v>
      </c>
    </row>
    <row r="4467" spans="27:27">
      <c r="AA4467" s="158" t="s">
        <v>7284</v>
      </c>
    </row>
    <row r="4468" spans="27:27">
      <c r="AA4468" s="158" t="s">
        <v>7285</v>
      </c>
    </row>
    <row r="4469" spans="27:27">
      <c r="AA4469" s="158" t="s">
        <v>7286</v>
      </c>
    </row>
    <row r="4470" spans="27:27">
      <c r="AA4470" s="158" t="s">
        <v>7287</v>
      </c>
    </row>
    <row r="4471" spans="27:27">
      <c r="AA4471" s="158" t="s">
        <v>7288</v>
      </c>
    </row>
    <row r="4472" spans="27:27">
      <c r="AA4472" s="158" t="s">
        <v>372</v>
      </c>
    </row>
    <row r="4473" spans="27:27">
      <c r="AA4473" s="158" t="s">
        <v>373</v>
      </c>
    </row>
    <row r="4474" spans="27:27">
      <c r="AA4474" s="158" t="s">
        <v>374</v>
      </c>
    </row>
    <row r="4475" spans="27:27">
      <c r="AA4475" s="158" t="s">
        <v>7289</v>
      </c>
    </row>
    <row r="4476" spans="27:27">
      <c r="AA4476" s="158" t="s">
        <v>7290</v>
      </c>
    </row>
    <row r="4477" spans="27:27">
      <c r="AA4477" s="158" t="s">
        <v>7291</v>
      </c>
    </row>
    <row r="4478" spans="27:27">
      <c r="AA4478" s="158" t="s">
        <v>7292</v>
      </c>
    </row>
    <row r="4479" spans="27:27">
      <c r="AA4479" s="158" t="s">
        <v>7293</v>
      </c>
    </row>
    <row r="4480" spans="27:27">
      <c r="AA4480" s="158" t="s">
        <v>7294</v>
      </c>
    </row>
    <row r="4481" spans="27:27">
      <c r="AA4481" s="158" t="s">
        <v>7295</v>
      </c>
    </row>
    <row r="4482" spans="27:27">
      <c r="AA4482" s="158" t="s">
        <v>375</v>
      </c>
    </row>
    <row r="4483" spans="27:27">
      <c r="AA4483" s="158" t="s">
        <v>376</v>
      </c>
    </row>
    <row r="4484" spans="27:27">
      <c r="AA4484" s="158" t="s">
        <v>7296</v>
      </c>
    </row>
    <row r="4485" spans="27:27">
      <c r="AA4485" s="158" t="s">
        <v>7297</v>
      </c>
    </row>
    <row r="4486" spans="27:27">
      <c r="AA4486" s="158" t="s">
        <v>7298</v>
      </c>
    </row>
    <row r="4487" spans="27:27">
      <c r="AA4487" s="158" t="s">
        <v>377</v>
      </c>
    </row>
    <row r="4488" spans="27:27">
      <c r="AA4488" s="158" t="s">
        <v>7299</v>
      </c>
    </row>
    <row r="4489" spans="27:27">
      <c r="AA4489" s="158" t="s">
        <v>7300</v>
      </c>
    </row>
    <row r="4490" spans="27:27">
      <c r="AA4490" s="158" t="s">
        <v>7301</v>
      </c>
    </row>
    <row r="4491" spans="27:27">
      <c r="AA4491" s="158" t="s">
        <v>378</v>
      </c>
    </row>
    <row r="4492" spans="27:27">
      <c r="AA4492" s="158" t="s">
        <v>7302</v>
      </c>
    </row>
    <row r="4493" spans="27:27">
      <c r="AA4493" s="158" t="s">
        <v>7303</v>
      </c>
    </row>
    <row r="4494" spans="27:27">
      <c r="AA4494" s="158" t="s">
        <v>7304</v>
      </c>
    </row>
    <row r="4495" spans="27:27">
      <c r="AA4495" s="158" t="s">
        <v>7305</v>
      </c>
    </row>
    <row r="4496" spans="27:27">
      <c r="AA4496" s="158" t="s">
        <v>7306</v>
      </c>
    </row>
    <row r="4497" spans="27:27">
      <c r="AA4497" s="158" t="s">
        <v>7307</v>
      </c>
    </row>
    <row r="4498" spans="27:27">
      <c r="AA4498" s="158" t="s">
        <v>7308</v>
      </c>
    </row>
    <row r="4499" spans="27:27">
      <c r="AA4499" s="158" t="s">
        <v>379</v>
      </c>
    </row>
    <row r="4500" spans="27:27">
      <c r="AA4500" s="158" t="s">
        <v>380</v>
      </c>
    </row>
    <row r="4501" spans="27:27">
      <c r="AA4501" s="158" t="s">
        <v>381</v>
      </c>
    </row>
    <row r="4502" spans="27:27">
      <c r="AA4502" s="158" t="s">
        <v>382</v>
      </c>
    </row>
    <row r="4503" spans="27:27">
      <c r="AA4503" s="158" t="s">
        <v>383</v>
      </c>
    </row>
    <row r="4504" spans="27:27">
      <c r="AA4504" s="158" t="s">
        <v>7309</v>
      </c>
    </row>
    <row r="4505" spans="27:27">
      <c r="AA4505" s="158" t="s">
        <v>7310</v>
      </c>
    </row>
    <row r="4506" spans="27:27">
      <c r="AA4506" s="158" t="s">
        <v>7311</v>
      </c>
    </row>
    <row r="4507" spans="27:27">
      <c r="AA4507" s="158" t="s">
        <v>7312</v>
      </c>
    </row>
    <row r="4508" spans="27:27">
      <c r="AA4508" s="158" t="s">
        <v>7313</v>
      </c>
    </row>
    <row r="4509" spans="27:27">
      <c r="AA4509" s="158" t="s">
        <v>7314</v>
      </c>
    </row>
    <row r="4510" spans="27:27">
      <c r="AA4510" s="158" t="s">
        <v>384</v>
      </c>
    </row>
    <row r="4511" spans="27:27">
      <c r="AA4511" s="158" t="s">
        <v>385</v>
      </c>
    </row>
    <row r="4512" spans="27:27">
      <c r="AA4512" s="158" t="s">
        <v>7315</v>
      </c>
    </row>
    <row r="4513" spans="27:27">
      <c r="AA4513" s="158" t="s">
        <v>386</v>
      </c>
    </row>
    <row r="4514" spans="27:27">
      <c r="AA4514" s="158" t="s">
        <v>7316</v>
      </c>
    </row>
    <row r="4515" spans="27:27">
      <c r="AA4515" s="158" t="s">
        <v>387</v>
      </c>
    </row>
    <row r="4516" spans="27:27">
      <c r="AA4516" s="158" t="s">
        <v>7317</v>
      </c>
    </row>
    <row r="4517" spans="27:27">
      <c r="AA4517" s="158" t="s">
        <v>7318</v>
      </c>
    </row>
    <row r="4518" spans="27:27">
      <c r="AA4518" s="158" t="s">
        <v>7319</v>
      </c>
    </row>
    <row r="4519" spans="27:27">
      <c r="AA4519" s="158" t="s">
        <v>388</v>
      </c>
    </row>
    <row r="4520" spans="27:27">
      <c r="AA4520" s="158" t="s">
        <v>389</v>
      </c>
    </row>
    <row r="4521" spans="27:27">
      <c r="AA4521" s="158" t="s">
        <v>390</v>
      </c>
    </row>
    <row r="4522" spans="27:27">
      <c r="AA4522" s="158" t="s">
        <v>391</v>
      </c>
    </row>
    <row r="4523" spans="27:27">
      <c r="AA4523" s="158" t="s">
        <v>392</v>
      </c>
    </row>
    <row r="4524" spans="27:27">
      <c r="AA4524" s="158" t="s">
        <v>393</v>
      </c>
    </row>
    <row r="4525" spans="27:27">
      <c r="AA4525" s="158" t="s">
        <v>7320</v>
      </c>
    </row>
    <row r="4526" spans="27:27">
      <c r="AA4526" s="158" t="s">
        <v>394</v>
      </c>
    </row>
    <row r="4527" spans="27:27">
      <c r="AA4527" s="158" t="s">
        <v>7321</v>
      </c>
    </row>
    <row r="4528" spans="27:27">
      <c r="AA4528" s="158" t="s">
        <v>7322</v>
      </c>
    </row>
    <row r="4529" spans="27:27">
      <c r="AA4529" s="158" t="s">
        <v>7323</v>
      </c>
    </row>
    <row r="4530" spans="27:27">
      <c r="AA4530" s="158" t="s">
        <v>395</v>
      </c>
    </row>
    <row r="4531" spans="27:27">
      <c r="AA4531" s="158" t="s">
        <v>396</v>
      </c>
    </row>
    <row r="4532" spans="27:27">
      <c r="AA4532" s="158" t="s">
        <v>397</v>
      </c>
    </row>
    <row r="4533" spans="27:27">
      <c r="AA4533" s="158" t="s">
        <v>398</v>
      </c>
    </row>
    <row r="4534" spans="27:27">
      <c r="AA4534" s="158" t="s">
        <v>399</v>
      </c>
    </row>
    <row r="4535" spans="27:27">
      <c r="AA4535" s="158" t="s">
        <v>400</v>
      </c>
    </row>
    <row r="4536" spans="27:27">
      <c r="AA4536" s="158" t="s">
        <v>7324</v>
      </c>
    </row>
    <row r="4537" spans="27:27">
      <c r="AA4537" s="158" t="s">
        <v>401</v>
      </c>
    </row>
    <row r="4538" spans="27:27">
      <c r="AA4538" s="158" t="s">
        <v>402</v>
      </c>
    </row>
    <row r="4539" spans="27:27">
      <c r="AA4539" s="158" t="s">
        <v>7325</v>
      </c>
    </row>
    <row r="4540" spans="27:27">
      <c r="AA4540" s="158" t="s">
        <v>7326</v>
      </c>
    </row>
    <row r="4541" spans="27:27">
      <c r="AA4541" s="158" t="s">
        <v>403</v>
      </c>
    </row>
    <row r="4542" spans="27:27">
      <c r="AA4542" s="158" t="s">
        <v>404</v>
      </c>
    </row>
    <row r="4543" spans="27:27">
      <c r="AA4543" s="158" t="s">
        <v>405</v>
      </c>
    </row>
    <row r="4544" spans="27:27">
      <c r="AA4544" s="158" t="s">
        <v>406</v>
      </c>
    </row>
    <row r="4545" spans="27:27">
      <c r="AA4545" s="158" t="s">
        <v>407</v>
      </c>
    </row>
    <row r="4546" spans="27:27">
      <c r="AA4546" s="158" t="s">
        <v>408</v>
      </c>
    </row>
    <row r="4547" spans="27:27">
      <c r="AA4547" s="158" t="s">
        <v>7327</v>
      </c>
    </row>
    <row r="4548" spans="27:27">
      <c r="AA4548" s="158" t="s">
        <v>7328</v>
      </c>
    </row>
    <row r="4549" spans="27:27">
      <c r="AA4549" s="158" t="s">
        <v>409</v>
      </c>
    </row>
    <row r="4550" spans="27:27">
      <c r="AA4550" s="158" t="s">
        <v>410</v>
      </c>
    </row>
    <row r="4551" spans="27:27">
      <c r="AA4551" s="158" t="s">
        <v>7329</v>
      </c>
    </row>
    <row r="4552" spans="27:27">
      <c r="AA4552" s="158" t="s">
        <v>7330</v>
      </c>
    </row>
    <row r="4553" spans="27:27">
      <c r="AA4553" s="158" t="s">
        <v>7331</v>
      </c>
    </row>
    <row r="4554" spans="27:27">
      <c r="AA4554" s="158" t="s">
        <v>7332</v>
      </c>
    </row>
    <row r="4555" spans="27:27">
      <c r="AA4555" s="158" t="s">
        <v>7333</v>
      </c>
    </row>
    <row r="4556" spans="27:27">
      <c r="AA4556" s="158" t="s">
        <v>411</v>
      </c>
    </row>
    <row r="4557" spans="27:27">
      <c r="AA4557" s="158" t="s">
        <v>412</v>
      </c>
    </row>
    <row r="4558" spans="27:27">
      <c r="AA4558" s="158" t="s">
        <v>413</v>
      </c>
    </row>
    <row r="4559" spans="27:27">
      <c r="AA4559" s="158" t="s">
        <v>7334</v>
      </c>
    </row>
    <row r="4560" spans="27:27">
      <c r="AA4560" s="158" t="s">
        <v>414</v>
      </c>
    </row>
    <row r="4561" spans="27:27">
      <c r="AA4561" s="158" t="s">
        <v>415</v>
      </c>
    </row>
    <row r="4562" spans="27:27">
      <c r="AA4562" s="158" t="s">
        <v>416</v>
      </c>
    </row>
    <row r="4563" spans="27:27">
      <c r="AA4563" s="158" t="s">
        <v>417</v>
      </c>
    </row>
    <row r="4564" spans="27:27">
      <c r="AA4564" s="158" t="s">
        <v>418</v>
      </c>
    </row>
    <row r="4565" spans="27:27">
      <c r="AA4565" s="158" t="s">
        <v>419</v>
      </c>
    </row>
    <row r="4566" spans="27:27">
      <c r="AA4566" s="158" t="s">
        <v>7335</v>
      </c>
    </row>
    <row r="4567" spans="27:27">
      <c r="AA4567" s="158" t="s">
        <v>7336</v>
      </c>
    </row>
    <row r="4568" spans="27:27">
      <c r="AA4568" s="158" t="s">
        <v>7337</v>
      </c>
    </row>
    <row r="4569" spans="27:27">
      <c r="AA4569" s="158" t="s">
        <v>7338</v>
      </c>
    </row>
    <row r="4570" spans="27:27">
      <c r="AA4570" s="158" t="s">
        <v>7339</v>
      </c>
    </row>
    <row r="4571" spans="27:27">
      <c r="AA4571" s="158" t="s">
        <v>7340</v>
      </c>
    </row>
    <row r="4572" spans="27:27">
      <c r="AA4572" s="158" t="s">
        <v>420</v>
      </c>
    </row>
    <row r="4573" spans="27:27">
      <c r="AA4573" s="158" t="s">
        <v>421</v>
      </c>
    </row>
    <row r="4574" spans="27:27">
      <c r="AA4574" s="158" t="s">
        <v>7341</v>
      </c>
    </row>
    <row r="4575" spans="27:27">
      <c r="AA4575" s="158" t="s">
        <v>422</v>
      </c>
    </row>
    <row r="4576" spans="27:27">
      <c r="AA4576" s="158" t="s">
        <v>423</v>
      </c>
    </row>
    <row r="4577" spans="27:27">
      <c r="AA4577" s="158" t="s">
        <v>424</v>
      </c>
    </row>
    <row r="4578" spans="27:27">
      <c r="AA4578" s="158" t="s">
        <v>425</v>
      </c>
    </row>
    <row r="4579" spans="27:27">
      <c r="AA4579" s="158" t="s">
        <v>426</v>
      </c>
    </row>
    <row r="4580" spans="27:27">
      <c r="AA4580" s="158" t="s">
        <v>427</v>
      </c>
    </row>
    <row r="4581" spans="27:27">
      <c r="AA4581" s="158" t="s">
        <v>428</v>
      </c>
    </row>
    <row r="4582" spans="27:27">
      <c r="AA4582" s="158" t="s">
        <v>7342</v>
      </c>
    </row>
    <row r="4583" spans="27:27">
      <c r="AA4583" s="158" t="s">
        <v>429</v>
      </c>
    </row>
    <row r="4584" spans="27:27">
      <c r="AA4584" s="158" t="s">
        <v>7343</v>
      </c>
    </row>
    <row r="4585" spans="27:27">
      <c r="AA4585" s="158" t="s">
        <v>7344</v>
      </c>
    </row>
    <row r="4586" spans="27:27">
      <c r="AA4586" s="158" t="s">
        <v>7345</v>
      </c>
    </row>
    <row r="4587" spans="27:27">
      <c r="AA4587" s="158" t="s">
        <v>7346</v>
      </c>
    </row>
    <row r="4588" spans="27:27">
      <c r="AA4588" s="158" t="s">
        <v>7347</v>
      </c>
    </row>
    <row r="4589" spans="27:27">
      <c r="AA4589" s="158" t="s">
        <v>7348</v>
      </c>
    </row>
    <row r="4590" spans="27:27">
      <c r="AA4590" s="158" t="s">
        <v>430</v>
      </c>
    </row>
    <row r="4591" spans="27:27">
      <c r="AA4591" s="158" t="s">
        <v>7349</v>
      </c>
    </row>
    <row r="4592" spans="27:27">
      <c r="AA4592" s="158" t="s">
        <v>431</v>
      </c>
    </row>
    <row r="4593" spans="27:27">
      <c r="AA4593" s="158" t="s">
        <v>432</v>
      </c>
    </row>
    <row r="4594" spans="27:27">
      <c r="AA4594" s="158" t="s">
        <v>433</v>
      </c>
    </row>
    <row r="4595" spans="27:27">
      <c r="AA4595" s="158" t="s">
        <v>434</v>
      </c>
    </row>
    <row r="4596" spans="27:27">
      <c r="AA4596" s="158" t="s">
        <v>435</v>
      </c>
    </row>
    <row r="4597" spans="27:27">
      <c r="AA4597" s="158" t="s">
        <v>436</v>
      </c>
    </row>
    <row r="4598" spans="27:27">
      <c r="AA4598" s="158" t="s">
        <v>437</v>
      </c>
    </row>
    <row r="4599" spans="27:27">
      <c r="AA4599" s="158" t="s">
        <v>7350</v>
      </c>
    </row>
    <row r="4600" spans="27:27">
      <c r="AA4600" s="158" t="s">
        <v>7351</v>
      </c>
    </row>
    <row r="4601" spans="27:27">
      <c r="AA4601" s="158" t="s">
        <v>7352</v>
      </c>
    </row>
    <row r="4602" spans="27:27">
      <c r="AA4602" s="158" t="s">
        <v>7353</v>
      </c>
    </row>
    <row r="4603" spans="27:27">
      <c r="AA4603" s="158" t="s">
        <v>438</v>
      </c>
    </row>
    <row r="4604" spans="27:27">
      <c r="AA4604" s="158" t="s">
        <v>7354</v>
      </c>
    </row>
    <row r="4605" spans="27:27">
      <c r="AA4605" s="158" t="s">
        <v>439</v>
      </c>
    </row>
    <row r="4606" spans="27:27">
      <c r="AA4606" s="158" t="s">
        <v>440</v>
      </c>
    </row>
    <row r="4607" spans="27:27">
      <c r="AA4607" s="158" t="s">
        <v>7355</v>
      </c>
    </row>
    <row r="4608" spans="27:27">
      <c r="AA4608" s="158" t="s">
        <v>441</v>
      </c>
    </row>
    <row r="4609" spans="27:27">
      <c r="AA4609" s="158" t="s">
        <v>7356</v>
      </c>
    </row>
    <row r="4610" spans="27:27">
      <c r="AA4610" s="158" t="s">
        <v>442</v>
      </c>
    </row>
    <row r="4611" spans="27:27">
      <c r="AA4611" s="158" t="s">
        <v>7357</v>
      </c>
    </row>
    <row r="4612" spans="27:27">
      <c r="AA4612" s="158" t="s">
        <v>7358</v>
      </c>
    </row>
    <row r="4613" spans="27:27">
      <c r="AA4613" s="158" t="s">
        <v>7359</v>
      </c>
    </row>
    <row r="4614" spans="27:27">
      <c r="AA4614" s="158" t="s">
        <v>7360</v>
      </c>
    </row>
    <row r="4615" spans="27:27">
      <c r="AA4615" s="158" t="s">
        <v>443</v>
      </c>
    </row>
    <row r="4616" spans="27:27">
      <c r="AA4616" s="158" t="s">
        <v>7361</v>
      </c>
    </row>
    <row r="4617" spans="27:27">
      <c r="AA4617" s="158" t="s">
        <v>7362</v>
      </c>
    </row>
    <row r="4618" spans="27:27">
      <c r="AA4618" s="158" t="s">
        <v>7363</v>
      </c>
    </row>
    <row r="4619" spans="27:27">
      <c r="AA4619" s="158" t="s">
        <v>7364</v>
      </c>
    </row>
    <row r="4620" spans="27:27">
      <c r="AA4620" s="158" t="s">
        <v>444</v>
      </c>
    </row>
    <row r="4621" spans="27:27">
      <c r="AA4621" s="158" t="s">
        <v>7365</v>
      </c>
    </row>
    <row r="4622" spans="27:27">
      <c r="AA4622" s="158" t="s">
        <v>445</v>
      </c>
    </row>
    <row r="4623" spans="27:27">
      <c r="AA4623" s="158" t="s">
        <v>446</v>
      </c>
    </row>
    <row r="4624" spans="27:27">
      <c r="AA4624" s="158" t="s">
        <v>447</v>
      </c>
    </row>
    <row r="4625" spans="27:27">
      <c r="AA4625" s="158" t="s">
        <v>448</v>
      </c>
    </row>
    <row r="4626" spans="27:27">
      <c r="AA4626" s="158" t="s">
        <v>7366</v>
      </c>
    </row>
    <row r="4627" spans="27:27">
      <c r="AA4627" s="158" t="s">
        <v>7367</v>
      </c>
    </row>
    <row r="4628" spans="27:27">
      <c r="AA4628" s="158" t="s">
        <v>449</v>
      </c>
    </row>
    <row r="4629" spans="27:27">
      <c r="AA4629" s="158" t="s">
        <v>7368</v>
      </c>
    </row>
    <row r="4630" spans="27:27">
      <c r="AA4630" s="158" t="s">
        <v>450</v>
      </c>
    </row>
    <row r="4631" spans="27:27">
      <c r="AA4631" s="158" t="s">
        <v>7369</v>
      </c>
    </row>
    <row r="4632" spans="27:27">
      <c r="AA4632" s="158" t="s">
        <v>451</v>
      </c>
    </row>
    <row r="4633" spans="27:27">
      <c r="AA4633" s="158" t="s">
        <v>7370</v>
      </c>
    </row>
    <row r="4634" spans="27:27">
      <c r="AA4634" s="158" t="s">
        <v>452</v>
      </c>
    </row>
    <row r="4635" spans="27:27">
      <c r="AA4635" s="158" t="s">
        <v>7371</v>
      </c>
    </row>
    <row r="4636" spans="27:27">
      <c r="AA4636" s="158" t="s">
        <v>453</v>
      </c>
    </row>
    <row r="4637" spans="27:27">
      <c r="AA4637" s="158" t="s">
        <v>7372</v>
      </c>
    </row>
    <row r="4638" spans="27:27">
      <c r="AA4638" s="158" t="s">
        <v>7373</v>
      </c>
    </row>
    <row r="4639" spans="27:27">
      <c r="AA4639" s="158" t="s">
        <v>454</v>
      </c>
    </row>
    <row r="4640" spans="27:27">
      <c r="AA4640" s="158" t="s">
        <v>455</v>
      </c>
    </row>
    <row r="4641" spans="27:27">
      <c r="AA4641" s="158" t="s">
        <v>456</v>
      </c>
    </row>
    <row r="4642" spans="27:27">
      <c r="AA4642" s="158" t="s">
        <v>3674</v>
      </c>
    </row>
    <row r="4643" spans="27:27">
      <c r="AA4643" s="158" t="s">
        <v>457</v>
      </c>
    </row>
    <row r="4644" spans="27:27">
      <c r="AA4644" s="158" t="s">
        <v>7374</v>
      </c>
    </row>
    <row r="4645" spans="27:27">
      <c r="AA4645" s="158" t="s">
        <v>7375</v>
      </c>
    </row>
    <row r="4646" spans="27:27">
      <c r="AA4646" s="158" t="s">
        <v>458</v>
      </c>
    </row>
    <row r="4647" spans="27:27">
      <c r="AA4647" s="158" t="s">
        <v>459</v>
      </c>
    </row>
    <row r="4648" spans="27:27">
      <c r="AA4648" s="158" t="s">
        <v>460</v>
      </c>
    </row>
    <row r="4649" spans="27:27">
      <c r="AA4649" s="158" t="s">
        <v>461</v>
      </c>
    </row>
    <row r="4650" spans="27:27">
      <c r="AA4650" s="158" t="s">
        <v>7376</v>
      </c>
    </row>
    <row r="4651" spans="27:27">
      <c r="AA4651" s="158" t="s">
        <v>7377</v>
      </c>
    </row>
    <row r="4652" spans="27:27">
      <c r="AA4652" s="158" t="s">
        <v>7378</v>
      </c>
    </row>
    <row r="4653" spans="27:27">
      <c r="AA4653" s="158" t="s">
        <v>462</v>
      </c>
    </row>
    <row r="4654" spans="27:27">
      <c r="AA4654" s="158" t="s">
        <v>463</v>
      </c>
    </row>
    <row r="4655" spans="27:27">
      <c r="AA4655" s="158" t="s">
        <v>7379</v>
      </c>
    </row>
    <row r="4656" spans="27:27">
      <c r="AA4656" s="158" t="s">
        <v>7380</v>
      </c>
    </row>
    <row r="4657" spans="27:27">
      <c r="AA4657" s="158" t="s">
        <v>7381</v>
      </c>
    </row>
    <row r="4658" spans="27:27">
      <c r="AA4658" s="158" t="s">
        <v>464</v>
      </c>
    </row>
    <row r="4659" spans="27:27">
      <c r="AA4659" s="158" t="s">
        <v>465</v>
      </c>
    </row>
    <row r="4660" spans="27:27">
      <c r="AA4660" s="158" t="s">
        <v>466</v>
      </c>
    </row>
    <row r="4661" spans="27:27">
      <c r="AA4661" s="158" t="s">
        <v>467</v>
      </c>
    </row>
    <row r="4662" spans="27:27">
      <c r="AA4662" s="158" t="s">
        <v>7382</v>
      </c>
    </row>
    <row r="4663" spans="27:27">
      <c r="AA4663" s="158" t="s">
        <v>7383</v>
      </c>
    </row>
    <row r="4664" spans="27:27">
      <c r="AA4664" s="158" t="s">
        <v>7384</v>
      </c>
    </row>
    <row r="4665" spans="27:27">
      <c r="AA4665" s="158" t="s">
        <v>468</v>
      </c>
    </row>
    <row r="4666" spans="27:27">
      <c r="AA4666" s="158" t="s">
        <v>469</v>
      </c>
    </row>
    <row r="4667" spans="27:27">
      <c r="AA4667" s="158" t="s">
        <v>7385</v>
      </c>
    </row>
    <row r="4668" spans="27:27">
      <c r="AA4668" s="158" t="s">
        <v>7386</v>
      </c>
    </row>
    <row r="4669" spans="27:27">
      <c r="AA4669" s="158" t="s">
        <v>470</v>
      </c>
    </row>
    <row r="4670" spans="27:27">
      <c r="AA4670" s="158" t="s">
        <v>471</v>
      </c>
    </row>
    <row r="4671" spans="27:27">
      <c r="AA4671" s="158" t="s">
        <v>3675</v>
      </c>
    </row>
    <row r="4672" spans="27:27">
      <c r="AA4672" s="158" t="s">
        <v>472</v>
      </c>
    </row>
    <row r="4673" spans="27:27">
      <c r="AA4673" s="158" t="s">
        <v>7387</v>
      </c>
    </row>
    <row r="4674" spans="27:27">
      <c r="AA4674" s="158" t="s">
        <v>7388</v>
      </c>
    </row>
    <row r="4675" spans="27:27">
      <c r="AA4675" s="158" t="s">
        <v>473</v>
      </c>
    </row>
    <row r="4676" spans="27:27">
      <c r="AA4676" s="158" t="s">
        <v>474</v>
      </c>
    </row>
    <row r="4677" spans="27:27">
      <c r="AA4677" s="158" t="s">
        <v>475</v>
      </c>
    </row>
    <row r="4678" spans="27:27">
      <c r="AA4678" s="158" t="s">
        <v>476</v>
      </c>
    </row>
    <row r="4679" spans="27:27">
      <c r="AA4679" s="158" t="s">
        <v>7389</v>
      </c>
    </row>
    <row r="4680" spans="27:27">
      <c r="AA4680" s="158" t="s">
        <v>7390</v>
      </c>
    </row>
    <row r="4681" spans="27:27">
      <c r="AA4681" s="158" t="s">
        <v>7391</v>
      </c>
    </row>
    <row r="4682" spans="27:27">
      <c r="AA4682" s="158" t="s">
        <v>477</v>
      </c>
    </row>
    <row r="4683" spans="27:27">
      <c r="AA4683" s="158" t="s">
        <v>478</v>
      </c>
    </row>
    <row r="4684" spans="27:27">
      <c r="AA4684" s="158" t="s">
        <v>7392</v>
      </c>
    </row>
    <row r="4685" spans="27:27">
      <c r="AA4685" s="158" t="s">
        <v>7393</v>
      </c>
    </row>
    <row r="4686" spans="27:27">
      <c r="AA4686" s="158" t="s">
        <v>7394</v>
      </c>
    </row>
    <row r="4687" spans="27:27">
      <c r="AA4687" s="158" t="s">
        <v>479</v>
      </c>
    </row>
    <row r="4688" spans="27:27">
      <c r="AA4688" s="158" t="s">
        <v>480</v>
      </c>
    </row>
    <row r="4689" spans="27:27">
      <c r="AA4689" s="158" t="s">
        <v>481</v>
      </c>
    </row>
    <row r="4690" spans="27:27">
      <c r="AA4690" s="158" t="s">
        <v>482</v>
      </c>
    </row>
    <row r="4691" spans="27:27">
      <c r="AA4691" s="158" t="s">
        <v>7395</v>
      </c>
    </row>
    <row r="4692" spans="27:27">
      <c r="AA4692" s="158" t="s">
        <v>7396</v>
      </c>
    </row>
    <row r="4693" spans="27:27">
      <c r="AA4693" s="158" t="s">
        <v>7397</v>
      </c>
    </row>
    <row r="4694" spans="27:27">
      <c r="AA4694" s="158" t="s">
        <v>483</v>
      </c>
    </row>
    <row r="4695" spans="27:27">
      <c r="AA4695" s="158" t="s">
        <v>484</v>
      </c>
    </row>
    <row r="4696" spans="27:27">
      <c r="AA4696" s="158" t="s">
        <v>7398</v>
      </c>
    </row>
    <row r="4697" spans="27:27">
      <c r="AA4697" s="158" t="s">
        <v>7399</v>
      </c>
    </row>
    <row r="4698" spans="27:27">
      <c r="AA4698" s="158" t="s">
        <v>485</v>
      </c>
    </row>
    <row r="4699" spans="27:27">
      <c r="AA4699" s="158" t="s">
        <v>486</v>
      </c>
    </row>
    <row r="4700" spans="27:27">
      <c r="AA4700" s="158" t="s">
        <v>3676</v>
      </c>
    </row>
    <row r="4701" spans="27:27">
      <c r="AA4701" s="158" t="s">
        <v>7400</v>
      </c>
    </row>
    <row r="4702" spans="27:27">
      <c r="AA4702" s="158" t="s">
        <v>487</v>
      </c>
    </row>
    <row r="4703" spans="27:27">
      <c r="AA4703" s="158" t="s">
        <v>488</v>
      </c>
    </row>
    <row r="4704" spans="27:27">
      <c r="AA4704" s="158" t="s">
        <v>7401</v>
      </c>
    </row>
    <row r="4705" spans="27:27">
      <c r="AA4705" s="158" t="s">
        <v>7402</v>
      </c>
    </row>
    <row r="4706" spans="27:27">
      <c r="AA4706" s="158" t="s">
        <v>489</v>
      </c>
    </row>
    <row r="4707" spans="27:27">
      <c r="AA4707" s="158" t="s">
        <v>3677</v>
      </c>
    </row>
    <row r="4708" spans="27:27">
      <c r="AA4708" s="158" t="s">
        <v>7403</v>
      </c>
    </row>
    <row r="4709" spans="27:27">
      <c r="AA4709" s="158" t="s">
        <v>7404</v>
      </c>
    </row>
    <row r="4710" spans="27:27">
      <c r="AA4710" s="158" t="s">
        <v>490</v>
      </c>
    </row>
    <row r="4711" spans="27:27">
      <c r="AA4711" s="158" t="s">
        <v>491</v>
      </c>
    </row>
    <row r="4712" spans="27:27">
      <c r="AA4712" s="158" t="s">
        <v>492</v>
      </c>
    </row>
    <row r="4713" spans="27:27">
      <c r="AA4713" s="158" t="s">
        <v>493</v>
      </c>
    </row>
    <row r="4714" spans="27:27">
      <c r="AA4714" s="158" t="s">
        <v>494</v>
      </c>
    </row>
    <row r="4715" spans="27:27">
      <c r="AA4715" s="158" t="s">
        <v>495</v>
      </c>
    </row>
    <row r="4716" spans="27:27">
      <c r="AA4716" s="158" t="s">
        <v>496</v>
      </c>
    </row>
    <row r="4717" spans="27:27">
      <c r="AA4717" s="158" t="s">
        <v>7405</v>
      </c>
    </row>
    <row r="4718" spans="27:27">
      <c r="AA4718" s="158" t="s">
        <v>497</v>
      </c>
    </row>
    <row r="4719" spans="27:27">
      <c r="AA4719" s="158" t="s">
        <v>498</v>
      </c>
    </row>
    <row r="4720" spans="27:27">
      <c r="AA4720" s="158" t="s">
        <v>499</v>
      </c>
    </row>
    <row r="4721" spans="27:27">
      <c r="AA4721" s="158" t="s">
        <v>500</v>
      </c>
    </row>
    <row r="4722" spans="27:27">
      <c r="AA4722" s="158" t="s">
        <v>501</v>
      </c>
    </row>
    <row r="4723" spans="27:27">
      <c r="AA4723" s="158" t="s">
        <v>502</v>
      </c>
    </row>
    <row r="4724" spans="27:27">
      <c r="AA4724" s="158" t="s">
        <v>503</v>
      </c>
    </row>
    <row r="4725" spans="27:27">
      <c r="AA4725" s="158" t="s">
        <v>504</v>
      </c>
    </row>
    <row r="4726" spans="27:27">
      <c r="AA4726" s="158" t="s">
        <v>7406</v>
      </c>
    </row>
    <row r="4727" spans="27:27">
      <c r="AA4727" s="158" t="s">
        <v>7407</v>
      </c>
    </row>
    <row r="4728" spans="27:27">
      <c r="AA4728" s="158" t="s">
        <v>505</v>
      </c>
    </row>
    <row r="4729" spans="27:27">
      <c r="AA4729" s="158" t="s">
        <v>506</v>
      </c>
    </row>
    <row r="4730" spans="27:27">
      <c r="AA4730" s="158" t="s">
        <v>507</v>
      </c>
    </row>
    <row r="4731" spans="27:27">
      <c r="AA4731" s="158" t="s">
        <v>508</v>
      </c>
    </row>
    <row r="4732" spans="27:27">
      <c r="AA4732" s="158" t="s">
        <v>509</v>
      </c>
    </row>
    <row r="4733" spans="27:27">
      <c r="AA4733" s="158" t="s">
        <v>510</v>
      </c>
    </row>
    <row r="4734" spans="27:27">
      <c r="AA4734" s="158" t="s">
        <v>511</v>
      </c>
    </row>
    <row r="4735" spans="27:27">
      <c r="AA4735" s="158" t="s">
        <v>512</v>
      </c>
    </row>
    <row r="4736" spans="27:27">
      <c r="AA4736" s="158" t="s">
        <v>513</v>
      </c>
    </row>
    <row r="4737" spans="27:27">
      <c r="AA4737" s="158" t="s">
        <v>514</v>
      </c>
    </row>
    <row r="4738" spans="27:27">
      <c r="AA4738" s="158" t="s">
        <v>515</v>
      </c>
    </row>
    <row r="4739" spans="27:27">
      <c r="AA4739" s="158" t="s">
        <v>516</v>
      </c>
    </row>
    <row r="4740" spans="27:27">
      <c r="AA4740" s="158" t="s">
        <v>517</v>
      </c>
    </row>
    <row r="4741" spans="27:27">
      <c r="AA4741" s="158" t="s">
        <v>518</v>
      </c>
    </row>
    <row r="4742" spans="27:27">
      <c r="AA4742" s="158" t="s">
        <v>519</v>
      </c>
    </row>
    <row r="4743" spans="27:27">
      <c r="AA4743" s="158" t="s">
        <v>520</v>
      </c>
    </row>
    <row r="4744" spans="27:27">
      <c r="AA4744" s="158" t="s">
        <v>521</v>
      </c>
    </row>
    <row r="4745" spans="27:27">
      <c r="AA4745" s="158" t="s">
        <v>522</v>
      </c>
    </row>
    <row r="4746" spans="27:27">
      <c r="AA4746" s="158" t="s">
        <v>523</v>
      </c>
    </row>
    <row r="4747" spans="27:27">
      <c r="AA4747" s="158" t="s">
        <v>524</v>
      </c>
    </row>
    <row r="4748" spans="27:27">
      <c r="AA4748" s="158" t="s">
        <v>525</v>
      </c>
    </row>
    <row r="4749" spans="27:27">
      <c r="AA4749" s="158" t="s">
        <v>526</v>
      </c>
    </row>
    <row r="4750" spans="27:27">
      <c r="AA4750" s="158" t="s">
        <v>527</v>
      </c>
    </row>
    <row r="4751" spans="27:27">
      <c r="AA4751" s="158" t="s">
        <v>528</v>
      </c>
    </row>
    <row r="4752" spans="27:27">
      <c r="AA4752" s="158" t="s">
        <v>529</v>
      </c>
    </row>
    <row r="4753" spans="27:27">
      <c r="AA4753" s="158" t="s">
        <v>530</v>
      </c>
    </row>
    <row r="4754" spans="27:27">
      <c r="AA4754" s="158" t="s">
        <v>531</v>
      </c>
    </row>
    <row r="4755" spans="27:27">
      <c r="AA4755" s="158" t="s">
        <v>532</v>
      </c>
    </row>
    <row r="4756" spans="27:27">
      <c r="AA4756" s="158" t="s">
        <v>3678</v>
      </c>
    </row>
    <row r="4757" spans="27:27">
      <c r="AA4757" s="158" t="s">
        <v>7408</v>
      </c>
    </row>
    <row r="4758" spans="27:27">
      <c r="AA4758" s="158" t="s">
        <v>7409</v>
      </c>
    </row>
    <row r="4759" spans="27:27">
      <c r="AA4759" s="158" t="s">
        <v>7410</v>
      </c>
    </row>
    <row r="4760" spans="27:27">
      <c r="AA4760" s="158" t="s">
        <v>533</v>
      </c>
    </row>
    <row r="4761" spans="27:27">
      <c r="AA4761" s="158" t="s">
        <v>7411</v>
      </c>
    </row>
    <row r="4762" spans="27:27">
      <c r="AA4762" s="158" t="s">
        <v>3679</v>
      </c>
    </row>
    <row r="4763" spans="27:27">
      <c r="AA4763" s="158" t="s">
        <v>7412</v>
      </c>
    </row>
    <row r="4764" spans="27:27">
      <c r="AA4764" s="158" t="s">
        <v>7413</v>
      </c>
    </row>
    <row r="4765" spans="27:27">
      <c r="AA4765" s="158" t="s">
        <v>7414</v>
      </c>
    </row>
    <row r="4766" spans="27:27">
      <c r="AA4766" s="158" t="s">
        <v>7415</v>
      </c>
    </row>
    <row r="4767" spans="27:27">
      <c r="AA4767" s="158" t="s">
        <v>7416</v>
      </c>
    </row>
    <row r="4768" spans="27:27">
      <c r="AA4768" s="158" t="s">
        <v>7417</v>
      </c>
    </row>
    <row r="4769" spans="27:27">
      <c r="AA4769" s="158" t="s">
        <v>7418</v>
      </c>
    </row>
    <row r="4770" spans="27:27">
      <c r="AA4770" s="158" t="s">
        <v>7419</v>
      </c>
    </row>
    <row r="4771" spans="27:27">
      <c r="AA4771" s="158" t="s">
        <v>7420</v>
      </c>
    </row>
    <row r="4772" spans="27:27">
      <c r="AA4772" s="158" t="s">
        <v>7421</v>
      </c>
    </row>
    <row r="4773" spans="27:27">
      <c r="AA4773" s="158" t="s">
        <v>7422</v>
      </c>
    </row>
    <row r="4774" spans="27:27">
      <c r="AA4774" s="158" t="s">
        <v>7423</v>
      </c>
    </row>
    <row r="4775" spans="27:27">
      <c r="AA4775" s="158" t="s">
        <v>7424</v>
      </c>
    </row>
    <row r="4776" spans="27:27">
      <c r="AA4776" s="158" t="s">
        <v>7425</v>
      </c>
    </row>
    <row r="4777" spans="27:27">
      <c r="AA4777" s="158" t="s">
        <v>7426</v>
      </c>
    </row>
    <row r="4778" spans="27:27">
      <c r="AA4778" s="158" t="s">
        <v>7427</v>
      </c>
    </row>
    <row r="4779" spans="27:27">
      <c r="AA4779" s="158" t="s">
        <v>534</v>
      </c>
    </row>
    <row r="4780" spans="27:27">
      <c r="AA4780" s="158" t="s">
        <v>535</v>
      </c>
    </row>
    <row r="4781" spans="27:27">
      <c r="AA4781" s="158" t="s">
        <v>536</v>
      </c>
    </row>
    <row r="4782" spans="27:27">
      <c r="AA4782" s="158" t="s">
        <v>537</v>
      </c>
    </row>
    <row r="4783" spans="27:27">
      <c r="AA4783" s="158" t="s">
        <v>538</v>
      </c>
    </row>
    <row r="4784" spans="27:27">
      <c r="AA4784" s="158" t="s">
        <v>539</v>
      </c>
    </row>
    <row r="4785" spans="27:27">
      <c r="AA4785" s="158" t="s">
        <v>540</v>
      </c>
    </row>
    <row r="4786" spans="27:27">
      <c r="AA4786" s="158" t="s">
        <v>541</v>
      </c>
    </row>
    <row r="4787" spans="27:27">
      <c r="AA4787" s="158" t="s">
        <v>542</v>
      </c>
    </row>
    <row r="4788" spans="27:27">
      <c r="AA4788" s="158" t="s">
        <v>543</v>
      </c>
    </row>
    <row r="4789" spans="27:27">
      <c r="AA4789" s="158" t="s">
        <v>544</v>
      </c>
    </row>
    <row r="4790" spans="27:27">
      <c r="AA4790" s="158" t="s">
        <v>545</v>
      </c>
    </row>
    <row r="4791" spans="27:27">
      <c r="AA4791" s="158" t="s">
        <v>546</v>
      </c>
    </row>
    <row r="4792" spans="27:27">
      <c r="AA4792" s="158" t="s">
        <v>547</v>
      </c>
    </row>
    <row r="4793" spans="27:27">
      <c r="AA4793" s="158" t="s">
        <v>548</v>
      </c>
    </row>
    <row r="4794" spans="27:27">
      <c r="AA4794" s="158" t="s">
        <v>549</v>
      </c>
    </row>
    <row r="4795" spans="27:27">
      <c r="AA4795" s="158" t="s">
        <v>550</v>
      </c>
    </row>
    <row r="4796" spans="27:27">
      <c r="AA4796" s="158" t="s">
        <v>551</v>
      </c>
    </row>
    <row r="4797" spans="27:27">
      <c r="AA4797" s="158" t="s">
        <v>552</v>
      </c>
    </row>
    <row r="4798" spans="27:27">
      <c r="AA4798" s="158" t="s">
        <v>553</v>
      </c>
    </row>
    <row r="4799" spans="27:27">
      <c r="AA4799" s="158" t="s">
        <v>554</v>
      </c>
    </row>
    <row r="4800" spans="27:27">
      <c r="AA4800" s="158" t="s">
        <v>555</v>
      </c>
    </row>
    <row r="4801" spans="27:27">
      <c r="AA4801" s="158" t="s">
        <v>556</v>
      </c>
    </row>
    <row r="4802" spans="27:27">
      <c r="AA4802" s="158" t="s">
        <v>557</v>
      </c>
    </row>
    <row r="4803" spans="27:27">
      <c r="AA4803" s="158" t="s">
        <v>558</v>
      </c>
    </row>
    <row r="4804" spans="27:27">
      <c r="AA4804" s="158" t="s">
        <v>559</v>
      </c>
    </row>
    <row r="4805" spans="27:27">
      <c r="AA4805" s="158" t="s">
        <v>560</v>
      </c>
    </row>
    <row r="4806" spans="27:27">
      <c r="AA4806" s="158" t="s">
        <v>561</v>
      </c>
    </row>
    <row r="4807" spans="27:27">
      <c r="AA4807" s="158" t="s">
        <v>562</v>
      </c>
    </row>
    <row r="4808" spans="27:27">
      <c r="AA4808" s="158" t="s">
        <v>3680</v>
      </c>
    </row>
    <row r="4809" spans="27:27">
      <c r="AA4809" s="158" t="s">
        <v>7428</v>
      </c>
    </row>
    <row r="4810" spans="27:27">
      <c r="AA4810" s="158" t="s">
        <v>7429</v>
      </c>
    </row>
    <row r="4811" spans="27:27">
      <c r="AA4811" s="158" t="s">
        <v>7430</v>
      </c>
    </row>
    <row r="4812" spans="27:27">
      <c r="AA4812" s="158" t="s">
        <v>7431</v>
      </c>
    </row>
    <row r="4813" spans="27:27">
      <c r="AA4813" s="158" t="s">
        <v>7432</v>
      </c>
    </row>
    <row r="4814" spans="27:27">
      <c r="AA4814" s="158" t="s">
        <v>7433</v>
      </c>
    </row>
    <row r="4815" spans="27:27">
      <c r="AA4815" s="158" t="s">
        <v>7434</v>
      </c>
    </row>
    <row r="4816" spans="27:27">
      <c r="AA4816" s="158" t="s">
        <v>7435</v>
      </c>
    </row>
    <row r="4817" spans="27:27">
      <c r="AA4817" s="158" t="s">
        <v>7436</v>
      </c>
    </row>
    <row r="4818" spans="27:27">
      <c r="AA4818" s="158" t="s">
        <v>7437</v>
      </c>
    </row>
    <row r="4819" spans="27:27">
      <c r="AA4819" s="158" t="s">
        <v>7438</v>
      </c>
    </row>
    <row r="4820" spans="27:27">
      <c r="AA4820" s="158" t="s">
        <v>7439</v>
      </c>
    </row>
    <row r="4821" spans="27:27">
      <c r="AA4821" s="158" t="s">
        <v>7440</v>
      </c>
    </row>
    <row r="4822" spans="27:27">
      <c r="AA4822" s="158" t="s">
        <v>7441</v>
      </c>
    </row>
    <row r="4823" spans="27:27">
      <c r="AA4823" s="158" t="s">
        <v>563</v>
      </c>
    </row>
    <row r="4824" spans="27:27">
      <c r="AA4824" s="158" t="s">
        <v>3681</v>
      </c>
    </row>
    <row r="4825" spans="27:27">
      <c r="AA4825" s="158" t="s">
        <v>7442</v>
      </c>
    </row>
    <row r="4826" spans="27:27">
      <c r="AA4826" s="158" t="s">
        <v>7443</v>
      </c>
    </row>
    <row r="4827" spans="27:27">
      <c r="AA4827" s="158" t="s">
        <v>7444</v>
      </c>
    </row>
    <row r="4828" spans="27:27">
      <c r="AA4828" s="158" t="s">
        <v>7445</v>
      </c>
    </row>
    <row r="4829" spans="27:27">
      <c r="AA4829" s="158" t="s">
        <v>7446</v>
      </c>
    </row>
    <row r="4830" spans="27:27">
      <c r="AA4830" s="158" t="s">
        <v>564</v>
      </c>
    </row>
    <row r="4831" spans="27:27">
      <c r="AA4831" s="158" t="s">
        <v>7447</v>
      </c>
    </row>
    <row r="4832" spans="27:27">
      <c r="AA4832" s="158" t="s">
        <v>565</v>
      </c>
    </row>
    <row r="4833" spans="27:27">
      <c r="AA4833" s="158" t="s">
        <v>566</v>
      </c>
    </row>
    <row r="4834" spans="27:27">
      <c r="AA4834" s="158" t="s">
        <v>3682</v>
      </c>
    </row>
    <row r="4835" spans="27:27">
      <c r="AA4835" s="158" t="s">
        <v>567</v>
      </c>
    </row>
    <row r="4836" spans="27:27">
      <c r="AA4836" s="158" t="s">
        <v>568</v>
      </c>
    </row>
    <row r="4837" spans="27:27">
      <c r="AA4837" s="158" t="s">
        <v>569</v>
      </c>
    </row>
    <row r="4838" spans="27:27">
      <c r="AA4838" s="158" t="s">
        <v>570</v>
      </c>
    </row>
    <row r="4839" spans="27:27">
      <c r="AA4839" s="158" t="s">
        <v>7448</v>
      </c>
    </row>
    <row r="4840" spans="27:27">
      <c r="AA4840" s="158" t="s">
        <v>571</v>
      </c>
    </row>
    <row r="4841" spans="27:27">
      <c r="AA4841" s="158" t="s">
        <v>572</v>
      </c>
    </row>
    <row r="4842" spans="27:27">
      <c r="AA4842" s="158" t="s">
        <v>573</v>
      </c>
    </row>
    <row r="4843" spans="27:27">
      <c r="AA4843" s="158" t="s">
        <v>574</v>
      </c>
    </row>
    <row r="4844" spans="27:27">
      <c r="AA4844" s="158" t="s">
        <v>575</v>
      </c>
    </row>
    <row r="4845" spans="27:27">
      <c r="AA4845" s="158" t="s">
        <v>576</v>
      </c>
    </row>
    <row r="4846" spans="27:27">
      <c r="AA4846" s="158" t="s">
        <v>577</v>
      </c>
    </row>
    <row r="4847" spans="27:27">
      <c r="AA4847" s="158" t="s">
        <v>578</v>
      </c>
    </row>
    <row r="4848" spans="27:27">
      <c r="AA4848" s="158" t="s">
        <v>579</v>
      </c>
    </row>
    <row r="4849" spans="27:27">
      <c r="AA4849" s="158" t="s">
        <v>580</v>
      </c>
    </row>
    <row r="4850" spans="27:27">
      <c r="AA4850" s="158" t="s">
        <v>581</v>
      </c>
    </row>
    <row r="4851" spans="27:27">
      <c r="AA4851" s="158" t="s">
        <v>582</v>
      </c>
    </row>
    <row r="4852" spans="27:27">
      <c r="AA4852" s="158" t="s">
        <v>583</v>
      </c>
    </row>
    <row r="4853" spans="27:27">
      <c r="AA4853" s="158" t="s">
        <v>584</v>
      </c>
    </row>
    <row r="4854" spans="27:27">
      <c r="AA4854" s="158" t="s">
        <v>585</v>
      </c>
    </row>
    <row r="4855" spans="27:27">
      <c r="AA4855" s="158" t="s">
        <v>7449</v>
      </c>
    </row>
    <row r="4856" spans="27:27">
      <c r="AA4856" s="158" t="s">
        <v>7450</v>
      </c>
    </row>
    <row r="4857" spans="27:27">
      <c r="AA4857" s="158" t="s">
        <v>586</v>
      </c>
    </row>
    <row r="4858" spans="27:27">
      <c r="AA4858" s="158" t="s">
        <v>587</v>
      </c>
    </row>
    <row r="4859" spans="27:27">
      <c r="AA4859" s="158" t="s">
        <v>588</v>
      </c>
    </row>
    <row r="4860" spans="27:27">
      <c r="AA4860" s="158" t="s">
        <v>589</v>
      </c>
    </row>
    <row r="4861" spans="27:27">
      <c r="AA4861" s="158" t="s">
        <v>7451</v>
      </c>
    </row>
    <row r="4862" spans="27:27">
      <c r="AA4862" s="158" t="s">
        <v>7452</v>
      </c>
    </row>
    <row r="4863" spans="27:27">
      <c r="AA4863" s="158" t="s">
        <v>7453</v>
      </c>
    </row>
    <row r="4864" spans="27:27">
      <c r="AA4864" s="158" t="s">
        <v>7454</v>
      </c>
    </row>
    <row r="4865" spans="27:27">
      <c r="AA4865" s="158" t="s">
        <v>7455</v>
      </c>
    </row>
    <row r="4866" spans="27:27">
      <c r="AA4866" s="158" t="s">
        <v>7456</v>
      </c>
    </row>
    <row r="4867" spans="27:27">
      <c r="AA4867" s="158" t="s">
        <v>590</v>
      </c>
    </row>
    <row r="4868" spans="27:27">
      <c r="AA4868" s="158" t="s">
        <v>7457</v>
      </c>
    </row>
    <row r="4869" spans="27:27">
      <c r="AA4869" s="158" t="s">
        <v>7458</v>
      </c>
    </row>
    <row r="4870" spans="27:27">
      <c r="AA4870" s="158" t="s">
        <v>7459</v>
      </c>
    </row>
    <row r="4871" spans="27:27">
      <c r="AA4871" s="158" t="s">
        <v>7460</v>
      </c>
    </row>
    <row r="4872" spans="27:27">
      <c r="AA4872" s="158" t="s">
        <v>7461</v>
      </c>
    </row>
    <row r="4873" spans="27:27">
      <c r="AA4873" s="158" t="s">
        <v>3683</v>
      </c>
    </row>
    <row r="4874" spans="27:27">
      <c r="AA4874" s="158" t="s">
        <v>7462</v>
      </c>
    </row>
    <row r="4875" spans="27:27">
      <c r="AA4875" s="158" t="s">
        <v>591</v>
      </c>
    </row>
    <row r="4876" spans="27:27">
      <c r="AA4876" s="158" t="s">
        <v>592</v>
      </c>
    </row>
    <row r="4877" spans="27:27">
      <c r="AA4877" s="158" t="s">
        <v>593</v>
      </c>
    </row>
    <row r="4878" spans="27:27">
      <c r="AA4878" s="158" t="s">
        <v>594</v>
      </c>
    </row>
    <row r="4879" spans="27:27">
      <c r="AA4879" s="158" t="s">
        <v>595</v>
      </c>
    </row>
    <row r="4880" spans="27:27">
      <c r="AA4880" s="158" t="s">
        <v>596</v>
      </c>
    </row>
    <row r="4881" spans="27:27">
      <c r="AA4881" s="158" t="s">
        <v>597</v>
      </c>
    </row>
    <row r="4882" spans="27:27">
      <c r="AA4882" s="158" t="s">
        <v>598</v>
      </c>
    </row>
    <row r="4883" spans="27:27">
      <c r="AA4883" s="158" t="s">
        <v>599</v>
      </c>
    </row>
    <row r="4884" spans="27:27">
      <c r="AA4884" s="158" t="s">
        <v>600</v>
      </c>
    </row>
    <row r="4885" spans="27:27">
      <c r="AA4885" s="158" t="s">
        <v>3684</v>
      </c>
    </row>
    <row r="4886" spans="27:27">
      <c r="AA4886" s="158" t="s">
        <v>7463</v>
      </c>
    </row>
    <row r="4887" spans="27:27">
      <c r="AA4887" s="158" t="s">
        <v>7464</v>
      </c>
    </row>
    <row r="4888" spans="27:27">
      <c r="AA4888" s="158" t="s">
        <v>601</v>
      </c>
    </row>
    <row r="4889" spans="27:27">
      <c r="AA4889" s="158" t="s">
        <v>602</v>
      </c>
    </row>
    <row r="4890" spans="27:27">
      <c r="AA4890" s="158" t="s">
        <v>7465</v>
      </c>
    </row>
    <row r="4891" spans="27:27">
      <c r="AA4891" s="158" t="s">
        <v>603</v>
      </c>
    </row>
    <row r="4892" spans="27:27">
      <c r="AA4892" s="158" t="s">
        <v>7466</v>
      </c>
    </row>
    <row r="4893" spans="27:27">
      <c r="AA4893" s="158" t="s">
        <v>7467</v>
      </c>
    </row>
    <row r="4894" spans="27:27">
      <c r="AA4894" s="158" t="s">
        <v>604</v>
      </c>
    </row>
    <row r="4895" spans="27:27">
      <c r="AA4895" s="158" t="s">
        <v>3685</v>
      </c>
    </row>
    <row r="4896" spans="27:27">
      <c r="AA4896" s="158" t="s">
        <v>7468</v>
      </c>
    </row>
    <row r="4897" spans="27:27">
      <c r="AA4897" s="158" t="s">
        <v>7469</v>
      </c>
    </row>
    <row r="4898" spans="27:27">
      <c r="AA4898" s="158" t="s">
        <v>7470</v>
      </c>
    </row>
    <row r="4899" spans="27:27">
      <c r="AA4899" s="158" t="s">
        <v>7471</v>
      </c>
    </row>
    <row r="4900" spans="27:27">
      <c r="AA4900" s="158" t="s">
        <v>7472</v>
      </c>
    </row>
    <row r="4901" spans="27:27">
      <c r="AA4901" s="158" t="s">
        <v>7473</v>
      </c>
    </row>
    <row r="4902" spans="27:27">
      <c r="AA4902" s="158" t="s">
        <v>7474</v>
      </c>
    </row>
    <row r="4903" spans="27:27">
      <c r="AA4903" s="158" t="s">
        <v>7475</v>
      </c>
    </row>
    <row r="4904" spans="27:27">
      <c r="AA4904" s="158" t="s">
        <v>7476</v>
      </c>
    </row>
    <row r="4905" spans="27:27">
      <c r="AA4905" s="158" t="s">
        <v>7477</v>
      </c>
    </row>
    <row r="4906" spans="27:27">
      <c r="AA4906" s="158" t="s">
        <v>7478</v>
      </c>
    </row>
    <row r="4907" spans="27:27">
      <c r="AA4907" s="158" t="s">
        <v>7479</v>
      </c>
    </row>
    <row r="4908" spans="27:27">
      <c r="AA4908" s="158" t="s">
        <v>7480</v>
      </c>
    </row>
    <row r="4909" spans="27:27">
      <c r="AA4909" s="158" t="s">
        <v>7481</v>
      </c>
    </row>
    <row r="4910" spans="27:27">
      <c r="AA4910" s="158" t="s">
        <v>7482</v>
      </c>
    </row>
    <row r="4911" spans="27:27">
      <c r="AA4911" s="158" t="s">
        <v>7483</v>
      </c>
    </row>
    <row r="4912" spans="27:27">
      <c r="AA4912" s="158" t="s">
        <v>7484</v>
      </c>
    </row>
    <row r="4913" spans="27:27">
      <c r="AA4913" s="158" t="s">
        <v>7485</v>
      </c>
    </row>
    <row r="4914" spans="27:27">
      <c r="AA4914" s="158" t="s">
        <v>7486</v>
      </c>
    </row>
    <row r="4915" spans="27:27">
      <c r="AA4915" s="158" t="s">
        <v>7487</v>
      </c>
    </row>
    <row r="4916" spans="27:27">
      <c r="AA4916" s="158" t="s">
        <v>7488</v>
      </c>
    </row>
    <row r="4917" spans="27:27">
      <c r="AA4917" s="158" t="s">
        <v>7489</v>
      </c>
    </row>
    <row r="4918" spans="27:27">
      <c r="AA4918" s="158" t="s">
        <v>7490</v>
      </c>
    </row>
    <row r="4919" spans="27:27">
      <c r="AA4919" s="158" t="s">
        <v>605</v>
      </c>
    </row>
    <row r="4920" spans="27:27">
      <c r="AA4920" s="158" t="s">
        <v>606</v>
      </c>
    </row>
    <row r="4921" spans="27:27">
      <c r="AA4921" s="158" t="s">
        <v>607</v>
      </c>
    </row>
    <row r="4922" spans="27:27">
      <c r="AA4922" s="158" t="s">
        <v>608</v>
      </c>
    </row>
    <row r="4923" spans="27:27">
      <c r="AA4923" s="158" t="s">
        <v>609</v>
      </c>
    </row>
    <row r="4924" spans="27:27">
      <c r="AA4924" s="158" t="s">
        <v>610</v>
      </c>
    </row>
    <row r="4925" spans="27:27">
      <c r="AA4925" s="158" t="s">
        <v>611</v>
      </c>
    </row>
    <row r="4926" spans="27:27">
      <c r="AA4926" s="158" t="s">
        <v>612</v>
      </c>
    </row>
    <row r="4927" spans="27:27">
      <c r="AA4927" s="158" t="s">
        <v>613</v>
      </c>
    </row>
    <row r="4928" spans="27:27">
      <c r="AA4928" s="158" t="s">
        <v>614</v>
      </c>
    </row>
    <row r="4929" spans="27:27">
      <c r="AA4929" s="158" t="s">
        <v>615</v>
      </c>
    </row>
    <row r="4930" spans="27:27">
      <c r="AA4930" s="158" t="s">
        <v>616</v>
      </c>
    </row>
    <row r="4931" spans="27:27">
      <c r="AA4931" s="158" t="s">
        <v>617</v>
      </c>
    </row>
    <row r="4932" spans="27:27">
      <c r="AA4932" s="158" t="s">
        <v>3686</v>
      </c>
    </row>
    <row r="4933" spans="27:27">
      <c r="AA4933" s="158" t="s">
        <v>7491</v>
      </c>
    </row>
    <row r="4934" spans="27:27">
      <c r="AA4934" s="158" t="s">
        <v>7492</v>
      </c>
    </row>
    <row r="4935" spans="27:27">
      <c r="AA4935" s="158" t="s">
        <v>7493</v>
      </c>
    </row>
    <row r="4936" spans="27:27">
      <c r="AA4936" s="158" t="s">
        <v>7494</v>
      </c>
    </row>
    <row r="4937" spans="27:27">
      <c r="AA4937" s="158" t="s">
        <v>7495</v>
      </c>
    </row>
    <row r="4938" spans="27:27">
      <c r="AA4938" s="158" t="s">
        <v>7496</v>
      </c>
    </row>
    <row r="4939" spans="27:27">
      <c r="AA4939" s="158" t="s">
        <v>7497</v>
      </c>
    </row>
    <row r="4940" spans="27:27">
      <c r="AA4940" s="158" t="s">
        <v>7498</v>
      </c>
    </row>
    <row r="4941" spans="27:27">
      <c r="AA4941" s="158" t="s">
        <v>7499</v>
      </c>
    </row>
    <row r="4942" spans="27:27">
      <c r="AA4942" s="158" t="s">
        <v>7500</v>
      </c>
    </row>
    <row r="4943" spans="27:27">
      <c r="AA4943" s="158" t="s">
        <v>7501</v>
      </c>
    </row>
    <row r="4944" spans="27:27">
      <c r="AA4944" s="158" t="s">
        <v>7502</v>
      </c>
    </row>
    <row r="4945" spans="27:27">
      <c r="AA4945" s="158" t="s">
        <v>7503</v>
      </c>
    </row>
    <row r="4946" spans="27:27">
      <c r="AA4946" s="158" t="s">
        <v>7504</v>
      </c>
    </row>
    <row r="4947" spans="27:27">
      <c r="AA4947" s="158" t="s">
        <v>7505</v>
      </c>
    </row>
    <row r="4948" spans="27:27">
      <c r="AA4948" s="158" t="s">
        <v>7506</v>
      </c>
    </row>
    <row r="4949" spans="27:27">
      <c r="AA4949" s="158" t="s">
        <v>618</v>
      </c>
    </row>
    <row r="4950" spans="27:27">
      <c r="AA4950" s="158" t="s">
        <v>3687</v>
      </c>
    </row>
    <row r="4951" spans="27:27">
      <c r="AA4951" s="158" t="s">
        <v>7507</v>
      </c>
    </row>
    <row r="4952" spans="27:27">
      <c r="AA4952" s="158" t="s">
        <v>7508</v>
      </c>
    </row>
    <row r="4953" spans="27:27">
      <c r="AA4953" s="158" t="s">
        <v>7509</v>
      </c>
    </row>
    <row r="4954" spans="27:27">
      <c r="AA4954" s="158" t="s">
        <v>619</v>
      </c>
    </row>
    <row r="4955" spans="27:27">
      <c r="AA4955" s="158" t="s">
        <v>7510</v>
      </c>
    </row>
    <row r="4956" spans="27:27">
      <c r="AA4956" s="158" t="s">
        <v>7511</v>
      </c>
    </row>
    <row r="4957" spans="27:27">
      <c r="AA4957" s="158" t="s">
        <v>7512</v>
      </c>
    </row>
    <row r="4958" spans="27:27">
      <c r="AA4958" s="158" t="s">
        <v>7513</v>
      </c>
    </row>
    <row r="4959" spans="27:27">
      <c r="AA4959" s="158" t="s">
        <v>7514</v>
      </c>
    </row>
    <row r="4960" spans="27:27">
      <c r="AA4960" s="158" t="s">
        <v>7515</v>
      </c>
    </row>
    <row r="4961" spans="27:27">
      <c r="AA4961" s="158" t="s">
        <v>7516</v>
      </c>
    </row>
    <row r="4962" spans="27:27">
      <c r="AA4962" s="158" t="s">
        <v>7517</v>
      </c>
    </row>
    <row r="4963" spans="27:27">
      <c r="AA4963" s="158" t="s">
        <v>7518</v>
      </c>
    </row>
    <row r="4964" spans="27:27">
      <c r="AA4964" s="158" t="s">
        <v>7519</v>
      </c>
    </row>
    <row r="4965" spans="27:27">
      <c r="AA4965" s="158" t="s">
        <v>7520</v>
      </c>
    </row>
    <row r="4966" spans="27:27">
      <c r="AA4966" s="158" t="s">
        <v>620</v>
      </c>
    </row>
    <row r="4967" spans="27:27">
      <c r="AA4967" s="158" t="s">
        <v>7521</v>
      </c>
    </row>
    <row r="4968" spans="27:27">
      <c r="AA4968" s="158" t="s">
        <v>621</v>
      </c>
    </row>
    <row r="4969" spans="27:27">
      <c r="AA4969" s="158" t="s">
        <v>7522</v>
      </c>
    </row>
    <row r="4970" spans="27:27">
      <c r="AA4970" s="158" t="s">
        <v>7523</v>
      </c>
    </row>
    <row r="4971" spans="27:27">
      <c r="AA4971" s="158" t="s">
        <v>7524</v>
      </c>
    </row>
    <row r="4972" spans="27:27">
      <c r="AA4972" s="158" t="s">
        <v>7525</v>
      </c>
    </row>
    <row r="4973" spans="27:27">
      <c r="AA4973" s="158" t="s">
        <v>7526</v>
      </c>
    </row>
    <row r="4974" spans="27:27">
      <c r="AA4974" s="158" t="s">
        <v>7527</v>
      </c>
    </row>
    <row r="4975" spans="27:27">
      <c r="AA4975" s="158" t="s">
        <v>7528</v>
      </c>
    </row>
    <row r="4976" spans="27:27">
      <c r="AA4976" s="158" t="s">
        <v>7529</v>
      </c>
    </row>
    <row r="4977" spans="27:27">
      <c r="AA4977" s="158" t="s">
        <v>7530</v>
      </c>
    </row>
    <row r="4978" spans="27:27">
      <c r="AA4978" s="158" t="s">
        <v>7531</v>
      </c>
    </row>
    <row r="4979" spans="27:27">
      <c r="AA4979" s="158" t="s">
        <v>7532</v>
      </c>
    </row>
    <row r="4980" spans="27:27">
      <c r="AA4980" s="158" t="s">
        <v>7533</v>
      </c>
    </row>
    <row r="4981" spans="27:27">
      <c r="AA4981" s="158" t="s">
        <v>7534</v>
      </c>
    </row>
    <row r="4982" spans="27:27">
      <c r="AA4982" s="158" t="s">
        <v>7535</v>
      </c>
    </row>
    <row r="4983" spans="27:27">
      <c r="AA4983" s="158" t="s">
        <v>7536</v>
      </c>
    </row>
    <row r="4984" spans="27:27">
      <c r="AA4984" s="158" t="s">
        <v>7537</v>
      </c>
    </row>
    <row r="4985" spans="27:27">
      <c r="AA4985" s="158" t="s">
        <v>7538</v>
      </c>
    </row>
    <row r="4986" spans="27:27">
      <c r="AA4986" s="158" t="s">
        <v>7539</v>
      </c>
    </row>
    <row r="4987" spans="27:27">
      <c r="AA4987" s="158" t="s">
        <v>7540</v>
      </c>
    </row>
    <row r="4988" spans="27:27">
      <c r="AA4988" s="158" t="s">
        <v>7541</v>
      </c>
    </row>
    <row r="4989" spans="27:27">
      <c r="AA4989" s="158" t="s">
        <v>7542</v>
      </c>
    </row>
    <row r="4990" spans="27:27">
      <c r="AA4990" s="158" t="s">
        <v>7543</v>
      </c>
    </row>
    <row r="4991" spans="27:27">
      <c r="AA4991" s="158" t="s">
        <v>7544</v>
      </c>
    </row>
    <row r="4992" spans="27:27">
      <c r="AA4992" s="158" t="s">
        <v>7545</v>
      </c>
    </row>
    <row r="4993" spans="27:27">
      <c r="AA4993" s="158" t="s">
        <v>7546</v>
      </c>
    </row>
    <row r="4994" spans="27:27">
      <c r="AA4994" s="158" t="s">
        <v>7547</v>
      </c>
    </row>
    <row r="4995" spans="27:27">
      <c r="AA4995" s="158" t="s">
        <v>7548</v>
      </c>
    </row>
    <row r="4996" spans="27:27">
      <c r="AA4996" s="158" t="s">
        <v>7549</v>
      </c>
    </row>
    <row r="4997" spans="27:27">
      <c r="AA4997" s="158" t="s">
        <v>7550</v>
      </c>
    </row>
    <row r="4998" spans="27:27">
      <c r="AA4998" s="158" t="s">
        <v>7551</v>
      </c>
    </row>
    <row r="4999" spans="27:27">
      <c r="AA4999" s="158" t="s">
        <v>7552</v>
      </c>
    </row>
    <row r="5000" spans="27:27">
      <c r="AA5000" s="158" t="s">
        <v>7553</v>
      </c>
    </row>
    <row r="5001" spans="27:27">
      <c r="AA5001" s="158" t="s">
        <v>7554</v>
      </c>
    </row>
    <row r="5002" spans="27:27">
      <c r="AA5002" s="158" t="s">
        <v>7555</v>
      </c>
    </row>
    <row r="5003" spans="27:27">
      <c r="AA5003" s="158" t="s">
        <v>7556</v>
      </c>
    </row>
    <row r="5004" spans="27:27">
      <c r="AA5004" s="158" t="s">
        <v>7557</v>
      </c>
    </row>
    <row r="5005" spans="27:27">
      <c r="AA5005" s="158" t="s">
        <v>7558</v>
      </c>
    </row>
    <row r="5006" spans="27:27">
      <c r="AA5006" s="158" t="s">
        <v>7559</v>
      </c>
    </row>
    <row r="5007" spans="27:27">
      <c r="AA5007" s="158" t="s">
        <v>3688</v>
      </c>
    </row>
    <row r="5008" spans="27:27">
      <c r="AA5008" s="158" t="s">
        <v>7560</v>
      </c>
    </row>
    <row r="5009" spans="27:27">
      <c r="AA5009" s="158" t="s">
        <v>7561</v>
      </c>
    </row>
    <row r="5010" spans="27:27">
      <c r="AA5010" s="158" t="s">
        <v>7562</v>
      </c>
    </row>
    <row r="5011" spans="27:27">
      <c r="AA5011" s="158" t="s">
        <v>7563</v>
      </c>
    </row>
    <row r="5012" spans="27:27">
      <c r="AA5012" s="158" t="s">
        <v>7564</v>
      </c>
    </row>
    <row r="5013" spans="27:27">
      <c r="AA5013" s="158" t="s">
        <v>7565</v>
      </c>
    </row>
    <row r="5014" spans="27:27">
      <c r="AA5014" s="158" t="s">
        <v>7566</v>
      </c>
    </row>
    <row r="5015" spans="27:27">
      <c r="AA5015" s="158" t="s">
        <v>7567</v>
      </c>
    </row>
    <row r="5016" spans="27:27">
      <c r="AA5016" s="158" t="s">
        <v>7568</v>
      </c>
    </row>
    <row r="5017" spans="27:27">
      <c r="AA5017" s="158" t="s">
        <v>7569</v>
      </c>
    </row>
    <row r="5018" spans="27:27">
      <c r="AA5018" s="158" t="s">
        <v>7570</v>
      </c>
    </row>
    <row r="5019" spans="27:27">
      <c r="AA5019" s="158" t="s">
        <v>7571</v>
      </c>
    </row>
    <row r="5020" spans="27:27">
      <c r="AA5020" s="158" t="s">
        <v>7572</v>
      </c>
    </row>
    <row r="5021" spans="27:27">
      <c r="AA5021" s="158" t="s">
        <v>7573</v>
      </c>
    </row>
    <row r="5022" spans="27:27">
      <c r="AA5022" s="158" t="s">
        <v>7574</v>
      </c>
    </row>
    <row r="5023" spans="27:27">
      <c r="AA5023" s="158" t="s">
        <v>7575</v>
      </c>
    </row>
    <row r="5024" spans="27:27">
      <c r="AA5024" s="158" t="s">
        <v>7576</v>
      </c>
    </row>
    <row r="5025" spans="27:27">
      <c r="AA5025" s="158" t="s">
        <v>7577</v>
      </c>
    </row>
    <row r="5026" spans="27:27">
      <c r="AA5026" s="158" t="s">
        <v>7578</v>
      </c>
    </row>
    <row r="5027" spans="27:27">
      <c r="AA5027" s="158" t="s">
        <v>7579</v>
      </c>
    </row>
    <row r="5028" spans="27:27">
      <c r="AA5028" s="158" t="s">
        <v>7580</v>
      </c>
    </row>
    <row r="5029" spans="27:27">
      <c r="AA5029" s="158" t="s">
        <v>622</v>
      </c>
    </row>
    <row r="5030" spans="27:27">
      <c r="AA5030" s="158" t="s">
        <v>3689</v>
      </c>
    </row>
    <row r="5031" spans="27:27">
      <c r="AA5031" s="158" t="s">
        <v>623</v>
      </c>
    </row>
    <row r="5032" spans="27:27">
      <c r="AA5032" s="158" t="s">
        <v>7581</v>
      </c>
    </row>
    <row r="5033" spans="27:27">
      <c r="AA5033" s="158" t="s">
        <v>7582</v>
      </c>
    </row>
    <row r="5034" spans="27:27">
      <c r="AA5034" s="158" t="s">
        <v>624</v>
      </c>
    </row>
    <row r="5035" spans="27:27">
      <c r="AA5035" s="158" t="s">
        <v>7583</v>
      </c>
    </row>
    <row r="5036" spans="27:27">
      <c r="AA5036" s="158" t="s">
        <v>7584</v>
      </c>
    </row>
    <row r="5037" spans="27:27">
      <c r="AA5037" s="158" t="s">
        <v>7585</v>
      </c>
    </row>
    <row r="5038" spans="27:27">
      <c r="AA5038" s="158" t="s">
        <v>7586</v>
      </c>
    </row>
    <row r="5039" spans="27:27">
      <c r="AA5039" s="158" t="s">
        <v>625</v>
      </c>
    </row>
    <row r="5040" spans="27:27">
      <c r="AA5040" s="158" t="s">
        <v>3690</v>
      </c>
    </row>
    <row r="5041" spans="27:27">
      <c r="AA5041" s="158" t="s">
        <v>626</v>
      </c>
    </row>
    <row r="5042" spans="27:27">
      <c r="AA5042" s="158" t="s">
        <v>7587</v>
      </c>
    </row>
    <row r="5043" spans="27:27">
      <c r="AA5043" s="158" t="s">
        <v>7588</v>
      </c>
    </row>
    <row r="5044" spans="27:27">
      <c r="AA5044" s="158" t="s">
        <v>7589</v>
      </c>
    </row>
    <row r="5045" spans="27:27">
      <c r="AA5045" s="158" t="s">
        <v>7590</v>
      </c>
    </row>
    <row r="5046" spans="27:27">
      <c r="AA5046" s="158" t="s">
        <v>7591</v>
      </c>
    </row>
    <row r="5047" spans="27:27">
      <c r="AA5047" s="158" t="s">
        <v>7592</v>
      </c>
    </row>
    <row r="5048" spans="27:27">
      <c r="AA5048" s="158" t="s">
        <v>7593</v>
      </c>
    </row>
    <row r="5049" spans="27:27">
      <c r="AA5049" s="158" t="s">
        <v>7594</v>
      </c>
    </row>
    <row r="5050" spans="27:27">
      <c r="AA5050" s="158" t="s">
        <v>7595</v>
      </c>
    </row>
    <row r="5051" spans="27:27">
      <c r="AA5051" s="158" t="s">
        <v>7596</v>
      </c>
    </row>
    <row r="5052" spans="27:27">
      <c r="AA5052" s="158" t="s">
        <v>627</v>
      </c>
    </row>
    <row r="5053" spans="27:27">
      <c r="AA5053" s="158" t="s">
        <v>7597</v>
      </c>
    </row>
    <row r="5054" spans="27:27">
      <c r="AA5054" s="158" t="s">
        <v>7598</v>
      </c>
    </row>
    <row r="5055" spans="27:27">
      <c r="AA5055" s="158" t="s">
        <v>7599</v>
      </c>
    </row>
    <row r="5056" spans="27:27">
      <c r="AA5056" s="158" t="s">
        <v>7600</v>
      </c>
    </row>
    <row r="5057" spans="27:27">
      <c r="AA5057" s="158" t="s">
        <v>7601</v>
      </c>
    </row>
    <row r="5058" spans="27:27">
      <c r="AA5058" s="158" t="s">
        <v>7602</v>
      </c>
    </row>
    <row r="5059" spans="27:27">
      <c r="AA5059" s="158" t="s">
        <v>7603</v>
      </c>
    </row>
    <row r="5060" spans="27:27">
      <c r="AA5060" s="158" t="s">
        <v>7604</v>
      </c>
    </row>
    <row r="5061" spans="27:27">
      <c r="AA5061" s="158" t="s">
        <v>7605</v>
      </c>
    </row>
    <row r="5062" spans="27:27">
      <c r="AA5062" s="158" t="s">
        <v>7606</v>
      </c>
    </row>
    <row r="5063" spans="27:27">
      <c r="AA5063" s="158" t="s">
        <v>7607</v>
      </c>
    </row>
    <row r="5064" spans="27:27">
      <c r="AA5064" s="158" t="s">
        <v>7608</v>
      </c>
    </row>
    <row r="5065" spans="27:27">
      <c r="AA5065" s="158" t="s">
        <v>7609</v>
      </c>
    </row>
    <row r="5066" spans="27:27">
      <c r="AA5066" s="158" t="s">
        <v>7610</v>
      </c>
    </row>
    <row r="5067" spans="27:27">
      <c r="AA5067" s="158" t="s">
        <v>3691</v>
      </c>
    </row>
    <row r="5068" spans="27:27">
      <c r="AA5068" s="158" t="s">
        <v>7611</v>
      </c>
    </row>
    <row r="5069" spans="27:27">
      <c r="AA5069" s="158" t="s">
        <v>7612</v>
      </c>
    </row>
    <row r="5070" spans="27:27">
      <c r="AA5070" s="158" t="s">
        <v>7613</v>
      </c>
    </row>
    <row r="5071" spans="27:27">
      <c r="AA5071" s="158" t="s">
        <v>7614</v>
      </c>
    </row>
    <row r="5072" spans="27:27">
      <c r="AA5072" s="158" t="s">
        <v>7615</v>
      </c>
    </row>
    <row r="5073" spans="27:27">
      <c r="AA5073" s="158" t="s">
        <v>628</v>
      </c>
    </row>
    <row r="5074" spans="27:27">
      <c r="AA5074" s="158" t="s">
        <v>7616</v>
      </c>
    </row>
    <row r="5075" spans="27:27">
      <c r="AA5075" s="158" t="s">
        <v>7617</v>
      </c>
    </row>
    <row r="5076" spans="27:27">
      <c r="AA5076" s="158" t="s">
        <v>7618</v>
      </c>
    </row>
    <row r="5077" spans="27:27">
      <c r="AA5077" s="158" t="s">
        <v>629</v>
      </c>
    </row>
    <row r="5078" spans="27:27">
      <c r="AA5078" s="158" t="s">
        <v>630</v>
      </c>
    </row>
    <row r="5079" spans="27:27">
      <c r="AA5079" s="158" t="s">
        <v>631</v>
      </c>
    </row>
    <row r="5080" spans="27:27">
      <c r="AA5080" s="158" t="s">
        <v>632</v>
      </c>
    </row>
    <row r="5081" spans="27:27">
      <c r="AA5081" s="158" t="s">
        <v>633</v>
      </c>
    </row>
    <row r="5082" spans="27:27">
      <c r="AA5082" s="158" t="s">
        <v>634</v>
      </c>
    </row>
    <row r="5083" spans="27:27">
      <c r="AA5083" s="158" t="s">
        <v>635</v>
      </c>
    </row>
    <row r="5084" spans="27:27">
      <c r="AA5084" s="158" t="s">
        <v>636</v>
      </c>
    </row>
    <row r="5085" spans="27:27">
      <c r="AA5085" s="158" t="s">
        <v>637</v>
      </c>
    </row>
    <row r="5086" spans="27:27">
      <c r="AA5086" s="158" t="s">
        <v>3692</v>
      </c>
    </row>
    <row r="5087" spans="27:27">
      <c r="AA5087" s="158" t="s">
        <v>7619</v>
      </c>
    </row>
    <row r="5088" spans="27:27">
      <c r="AA5088" s="158" t="s">
        <v>7620</v>
      </c>
    </row>
    <row r="5089" spans="27:27">
      <c r="AA5089" s="158" t="s">
        <v>7621</v>
      </c>
    </row>
    <row r="5090" spans="27:27">
      <c r="AA5090" s="158" t="s">
        <v>7622</v>
      </c>
    </row>
    <row r="5091" spans="27:27">
      <c r="AA5091" s="158" t="s">
        <v>7623</v>
      </c>
    </row>
    <row r="5092" spans="27:27">
      <c r="AA5092" s="158" t="s">
        <v>638</v>
      </c>
    </row>
    <row r="5093" spans="27:27">
      <c r="AA5093" s="158" t="s">
        <v>639</v>
      </c>
    </row>
    <row r="5094" spans="27:27">
      <c r="AA5094" s="158" t="s">
        <v>640</v>
      </c>
    </row>
    <row r="5095" spans="27:27">
      <c r="AA5095" s="158" t="s">
        <v>641</v>
      </c>
    </row>
    <row r="5096" spans="27:27">
      <c r="AA5096" s="158" t="s">
        <v>642</v>
      </c>
    </row>
    <row r="5097" spans="27:27">
      <c r="AA5097" s="158" t="s">
        <v>643</v>
      </c>
    </row>
    <row r="5098" spans="27:27">
      <c r="AA5098" s="158" t="s">
        <v>644</v>
      </c>
    </row>
    <row r="5099" spans="27:27">
      <c r="AA5099" s="158" t="s">
        <v>645</v>
      </c>
    </row>
    <row r="5100" spans="27:27">
      <c r="AA5100" s="158" t="s">
        <v>646</v>
      </c>
    </row>
    <row r="5101" spans="27:27">
      <c r="AA5101" s="158" t="s">
        <v>647</v>
      </c>
    </row>
    <row r="5102" spans="27:27">
      <c r="AA5102" s="158" t="s">
        <v>648</v>
      </c>
    </row>
    <row r="5103" spans="27:27">
      <c r="AA5103" s="158" t="s">
        <v>649</v>
      </c>
    </row>
    <row r="5104" spans="27:27">
      <c r="AA5104" s="158" t="s">
        <v>650</v>
      </c>
    </row>
    <row r="5105" spans="27:27">
      <c r="AA5105" s="158" t="s">
        <v>651</v>
      </c>
    </row>
    <row r="5106" spans="27:27">
      <c r="AA5106" s="158" t="s">
        <v>652</v>
      </c>
    </row>
    <row r="5107" spans="27:27">
      <c r="AA5107" s="158" t="s">
        <v>653</v>
      </c>
    </row>
    <row r="5108" spans="27:27">
      <c r="AA5108" s="158" t="s">
        <v>654</v>
      </c>
    </row>
    <row r="5109" spans="27:27">
      <c r="AA5109" s="158" t="s">
        <v>655</v>
      </c>
    </row>
    <row r="5110" spans="27:27">
      <c r="AA5110" s="158" t="s">
        <v>656</v>
      </c>
    </row>
    <row r="5111" spans="27:27">
      <c r="AA5111" s="158" t="s">
        <v>657</v>
      </c>
    </row>
    <row r="5112" spans="27:27">
      <c r="AA5112" s="158" t="s">
        <v>658</v>
      </c>
    </row>
    <row r="5113" spans="27:27">
      <c r="AA5113" s="158" t="s">
        <v>659</v>
      </c>
    </row>
    <row r="5114" spans="27:27">
      <c r="AA5114" s="158" t="s">
        <v>660</v>
      </c>
    </row>
    <row r="5115" spans="27:27">
      <c r="AA5115" s="158" t="s">
        <v>661</v>
      </c>
    </row>
    <row r="5116" spans="27:27">
      <c r="AA5116" s="158" t="s">
        <v>662</v>
      </c>
    </row>
    <row r="5117" spans="27:27">
      <c r="AA5117" s="158" t="s">
        <v>663</v>
      </c>
    </row>
    <row r="5118" spans="27:27">
      <c r="AA5118" s="158" t="s">
        <v>664</v>
      </c>
    </row>
    <row r="5119" spans="27:27">
      <c r="AA5119" s="158" t="s">
        <v>3693</v>
      </c>
    </row>
    <row r="5120" spans="27:27">
      <c r="AA5120" s="158" t="s">
        <v>7624</v>
      </c>
    </row>
    <row r="5121" spans="27:27">
      <c r="AA5121" s="158" t="s">
        <v>7625</v>
      </c>
    </row>
    <row r="5122" spans="27:27">
      <c r="AA5122" s="158" t="s">
        <v>665</v>
      </c>
    </row>
    <row r="5123" spans="27:27">
      <c r="AA5123" s="158" t="s">
        <v>7626</v>
      </c>
    </row>
    <row r="5124" spans="27:27">
      <c r="AA5124" s="158" t="s">
        <v>666</v>
      </c>
    </row>
    <row r="5125" spans="27:27">
      <c r="AA5125" s="158" t="s">
        <v>667</v>
      </c>
    </row>
    <row r="5126" spans="27:27">
      <c r="AA5126" s="158" t="s">
        <v>7627</v>
      </c>
    </row>
    <row r="5127" spans="27:27">
      <c r="AA5127" s="158" t="s">
        <v>7628</v>
      </c>
    </row>
    <row r="5128" spans="27:27">
      <c r="AA5128" s="158" t="s">
        <v>7629</v>
      </c>
    </row>
    <row r="5129" spans="27:27">
      <c r="AA5129" s="158" t="s">
        <v>668</v>
      </c>
    </row>
    <row r="5130" spans="27:27">
      <c r="AA5130" s="158" t="s">
        <v>669</v>
      </c>
    </row>
    <row r="5131" spans="27:27">
      <c r="AA5131" s="158" t="s">
        <v>7630</v>
      </c>
    </row>
    <row r="5132" spans="27:27">
      <c r="AA5132" s="158" t="s">
        <v>670</v>
      </c>
    </row>
    <row r="5133" spans="27:27">
      <c r="AA5133" s="158" t="s">
        <v>671</v>
      </c>
    </row>
    <row r="5134" spans="27:27">
      <c r="AA5134" s="158" t="s">
        <v>672</v>
      </c>
    </row>
    <row r="5135" spans="27:27">
      <c r="AA5135" s="158" t="s">
        <v>673</v>
      </c>
    </row>
    <row r="5136" spans="27:27">
      <c r="AA5136" s="158" t="s">
        <v>674</v>
      </c>
    </row>
    <row r="5137" spans="27:27">
      <c r="AA5137" s="158" t="s">
        <v>675</v>
      </c>
    </row>
    <row r="5138" spans="27:27">
      <c r="AA5138" s="158" t="s">
        <v>676</v>
      </c>
    </row>
    <row r="5139" spans="27:27">
      <c r="AA5139" s="158" t="s">
        <v>677</v>
      </c>
    </row>
    <row r="5140" spans="27:27">
      <c r="AA5140" s="158" t="s">
        <v>7631</v>
      </c>
    </row>
    <row r="5141" spans="27:27">
      <c r="AA5141" s="158" t="s">
        <v>7632</v>
      </c>
    </row>
    <row r="5142" spans="27:27">
      <c r="AA5142" s="158" t="s">
        <v>678</v>
      </c>
    </row>
    <row r="5143" spans="27:27">
      <c r="AA5143" s="158" t="s">
        <v>679</v>
      </c>
    </row>
    <row r="5144" spans="27:27">
      <c r="AA5144" s="158" t="s">
        <v>680</v>
      </c>
    </row>
    <row r="5145" spans="27:27">
      <c r="AA5145" s="158" t="s">
        <v>681</v>
      </c>
    </row>
    <row r="5146" spans="27:27">
      <c r="AA5146" s="158" t="s">
        <v>682</v>
      </c>
    </row>
    <row r="5147" spans="27:27">
      <c r="AA5147" s="158" t="s">
        <v>683</v>
      </c>
    </row>
    <row r="5148" spans="27:27">
      <c r="AA5148" s="158" t="s">
        <v>684</v>
      </c>
    </row>
    <row r="5149" spans="27:27">
      <c r="AA5149" s="158" t="s">
        <v>685</v>
      </c>
    </row>
    <row r="5150" spans="27:27">
      <c r="AA5150" s="158" t="s">
        <v>686</v>
      </c>
    </row>
    <row r="5151" spans="27:27">
      <c r="AA5151" s="158" t="s">
        <v>7633</v>
      </c>
    </row>
    <row r="5152" spans="27:27">
      <c r="AA5152" s="158" t="s">
        <v>7634</v>
      </c>
    </row>
    <row r="5153" spans="27:27">
      <c r="AA5153" s="158" t="s">
        <v>687</v>
      </c>
    </row>
    <row r="5154" spans="27:27">
      <c r="AA5154" s="158" t="s">
        <v>7635</v>
      </c>
    </row>
    <row r="5155" spans="27:27">
      <c r="AA5155" s="158" t="s">
        <v>7636</v>
      </c>
    </row>
    <row r="5156" spans="27:27">
      <c r="AA5156" s="158" t="s">
        <v>7637</v>
      </c>
    </row>
    <row r="5157" spans="27:27">
      <c r="AA5157" s="158" t="s">
        <v>688</v>
      </c>
    </row>
    <row r="5158" spans="27:27">
      <c r="AA5158" s="158" t="s">
        <v>7638</v>
      </c>
    </row>
    <row r="5159" spans="27:27">
      <c r="AA5159" s="158" t="s">
        <v>7639</v>
      </c>
    </row>
    <row r="5160" spans="27:27">
      <c r="AA5160" s="158" t="s">
        <v>689</v>
      </c>
    </row>
    <row r="5161" spans="27:27">
      <c r="AA5161" s="158" t="s">
        <v>7640</v>
      </c>
    </row>
    <row r="5162" spans="27:27">
      <c r="AA5162" s="158" t="s">
        <v>690</v>
      </c>
    </row>
    <row r="5163" spans="27:27">
      <c r="AA5163" s="158" t="s">
        <v>7641</v>
      </c>
    </row>
    <row r="5164" spans="27:27">
      <c r="AA5164" s="158" t="s">
        <v>691</v>
      </c>
    </row>
    <row r="5165" spans="27:27">
      <c r="AA5165" s="158" t="s">
        <v>7642</v>
      </c>
    </row>
    <row r="5166" spans="27:27">
      <c r="AA5166" s="158" t="s">
        <v>7643</v>
      </c>
    </row>
    <row r="5167" spans="27:27">
      <c r="AA5167" s="158" t="s">
        <v>692</v>
      </c>
    </row>
    <row r="5168" spans="27:27">
      <c r="AA5168" s="158" t="s">
        <v>7644</v>
      </c>
    </row>
    <row r="5169" spans="27:27">
      <c r="AA5169" s="158" t="s">
        <v>7645</v>
      </c>
    </row>
    <row r="5170" spans="27:27">
      <c r="AA5170" s="158" t="s">
        <v>7646</v>
      </c>
    </row>
    <row r="5171" spans="27:27">
      <c r="AA5171" s="158" t="s">
        <v>693</v>
      </c>
    </row>
    <row r="5172" spans="27:27">
      <c r="AA5172" s="158" t="s">
        <v>7647</v>
      </c>
    </row>
    <row r="5173" spans="27:27">
      <c r="AA5173" s="158" t="s">
        <v>7648</v>
      </c>
    </row>
    <row r="5174" spans="27:27">
      <c r="AA5174" s="158" t="s">
        <v>7649</v>
      </c>
    </row>
    <row r="5175" spans="27:27">
      <c r="AA5175" s="158" t="s">
        <v>7650</v>
      </c>
    </row>
    <row r="5176" spans="27:27">
      <c r="AA5176" s="158" t="s">
        <v>694</v>
      </c>
    </row>
    <row r="5177" spans="27:27">
      <c r="AA5177" s="158" t="s">
        <v>7651</v>
      </c>
    </row>
    <row r="5178" spans="27:27">
      <c r="AA5178" s="158" t="s">
        <v>7652</v>
      </c>
    </row>
    <row r="5179" spans="27:27">
      <c r="AA5179" s="158" t="s">
        <v>695</v>
      </c>
    </row>
    <row r="5180" spans="27:27">
      <c r="AA5180" s="158" t="s">
        <v>696</v>
      </c>
    </row>
    <row r="5181" spans="27:27">
      <c r="AA5181" s="158" t="s">
        <v>697</v>
      </c>
    </row>
    <row r="5182" spans="27:27">
      <c r="AA5182" s="158" t="s">
        <v>698</v>
      </c>
    </row>
    <row r="5183" spans="27:27">
      <c r="AA5183" s="158" t="s">
        <v>699</v>
      </c>
    </row>
    <row r="5184" spans="27:27">
      <c r="AA5184" s="158" t="s">
        <v>700</v>
      </c>
    </row>
    <row r="5185" spans="27:27">
      <c r="AA5185" s="158" t="s">
        <v>701</v>
      </c>
    </row>
    <row r="5186" spans="27:27">
      <c r="AA5186" s="158" t="s">
        <v>7653</v>
      </c>
    </row>
    <row r="5187" spans="27:27">
      <c r="AA5187" s="158" t="s">
        <v>7654</v>
      </c>
    </row>
    <row r="5188" spans="27:27">
      <c r="AA5188" s="158" t="s">
        <v>7655</v>
      </c>
    </row>
    <row r="5189" spans="27:27">
      <c r="AA5189" s="158" t="s">
        <v>7656</v>
      </c>
    </row>
    <row r="5190" spans="27:27">
      <c r="AA5190" s="158" t="s">
        <v>7657</v>
      </c>
    </row>
    <row r="5191" spans="27:27">
      <c r="AA5191" s="158" t="s">
        <v>702</v>
      </c>
    </row>
    <row r="5192" spans="27:27">
      <c r="AA5192" s="158" t="s">
        <v>7658</v>
      </c>
    </row>
    <row r="5193" spans="27:27">
      <c r="AA5193" s="158" t="s">
        <v>7659</v>
      </c>
    </row>
    <row r="5194" spans="27:27">
      <c r="AA5194" s="158" t="s">
        <v>7660</v>
      </c>
    </row>
    <row r="5195" spans="27:27">
      <c r="AA5195" s="158" t="s">
        <v>7661</v>
      </c>
    </row>
    <row r="5196" spans="27:27">
      <c r="AA5196" s="158" t="s">
        <v>7662</v>
      </c>
    </row>
    <row r="5197" spans="27:27">
      <c r="AA5197" s="158" t="s">
        <v>7663</v>
      </c>
    </row>
    <row r="5198" spans="27:27">
      <c r="AA5198" s="158" t="s">
        <v>7664</v>
      </c>
    </row>
    <row r="5199" spans="27:27">
      <c r="AA5199" s="158" t="s">
        <v>703</v>
      </c>
    </row>
    <row r="5200" spans="27:27">
      <c r="AA5200" s="158" t="s">
        <v>704</v>
      </c>
    </row>
    <row r="5201" spans="27:27">
      <c r="AA5201" s="158" t="s">
        <v>705</v>
      </c>
    </row>
    <row r="5202" spans="27:27">
      <c r="AA5202" s="158" t="s">
        <v>7665</v>
      </c>
    </row>
    <row r="5203" spans="27:27">
      <c r="AA5203" s="158" t="s">
        <v>7666</v>
      </c>
    </row>
    <row r="5204" spans="27:27">
      <c r="AA5204" s="158" t="s">
        <v>7667</v>
      </c>
    </row>
    <row r="5205" spans="27:27">
      <c r="AA5205" s="158" t="s">
        <v>706</v>
      </c>
    </row>
    <row r="5206" spans="27:27">
      <c r="AA5206" s="158" t="s">
        <v>7668</v>
      </c>
    </row>
    <row r="5207" spans="27:27">
      <c r="AA5207" s="158" t="s">
        <v>707</v>
      </c>
    </row>
    <row r="5208" spans="27:27">
      <c r="AA5208" s="158" t="s">
        <v>7669</v>
      </c>
    </row>
    <row r="5209" spans="27:27">
      <c r="AA5209" s="158" t="s">
        <v>7670</v>
      </c>
    </row>
    <row r="5210" spans="27:27">
      <c r="AA5210" s="158" t="s">
        <v>7671</v>
      </c>
    </row>
    <row r="5211" spans="27:27">
      <c r="AA5211" s="158" t="s">
        <v>7672</v>
      </c>
    </row>
    <row r="5212" spans="27:27">
      <c r="AA5212" s="158" t="s">
        <v>7673</v>
      </c>
    </row>
    <row r="5213" spans="27:27">
      <c r="AA5213" s="158" t="s">
        <v>7674</v>
      </c>
    </row>
    <row r="5214" spans="27:27">
      <c r="AA5214" s="158" t="s">
        <v>7675</v>
      </c>
    </row>
    <row r="5215" spans="27:27">
      <c r="AA5215" s="158" t="s">
        <v>7676</v>
      </c>
    </row>
    <row r="5216" spans="27:27">
      <c r="AA5216" s="158" t="s">
        <v>7677</v>
      </c>
    </row>
    <row r="5217" spans="27:27">
      <c r="AA5217" s="158" t="s">
        <v>7678</v>
      </c>
    </row>
    <row r="5218" spans="27:27">
      <c r="AA5218" s="158" t="s">
        <v>7679</v>
      </c>
    </row>
    <row r="5219" spans="27:27">
      <c r="AA5219" s="158" t="s">
        <v>7680</v>
      </c>
    </row>
    <row r="5220" spans="27:27">
      <c r="AA5220" s="158" t="s">
        <v>7681</v>
      </c>
    </row>
    <row r="5221" spans="27:27">
      <c r="AA5221" s="158" t="s">
        <v>7682</v>
      </c>
    </row>
    <row r="5222" spans="27:27">
      <c r="AA5222" s="158" t="s">
        <v>7683</v>
      </c>
    </row>
    <row r="5223" spans="27:27">
      <c r="AA5223" s="158" t="s">
        <v>7684</v>
      </c>
    </row>
    <row r="5224" spans="27:27">
      <c r="AA5224" s="158" t="s">
        <v>7685</v>
      </c>
    </row>
    <row r="5225" spans="27:27">
      <c r="AA5225" s="158" t="s">
        <v>708</v>
      </c>
    </row>
    <row r="5226" spans="27:27">
      <c r="AA5226" s="158" t="s">
        <v>3694</v>
      </c>
    </row>
    <row r="5227" spans="27:27">
      <c r="AA5227" s="158" t="s">
        <v>7686</v>
      </c>
    </row>
    <row r="5228" spans="27:27">
      <c r="AA5228" s="158" t="s">
        <v>7687</v>
      </c>
    </row>
    <row r="5229" spans="27:27">
      <c r="AA5229" s="158" t="s">
        <v>7688</v>
      </c>
    </row>
    <row r="5230" spans="27:27">
      <c r="AA5230" s="158" t="s">
        <v>7689</v>
      </c>
    </row>
    <row r="5231" spans="27:27">
      <c r="AA5231" s="158" t="s">
        <v>7690</v>
      </c>
    </row>
    <row r="5232" spans="27:27">
      <c r="AA5232" s="158" t="s">
        <v>709</v>
      </c>
    </row>
    <row r="5233" spans="27:27">
      <c r="AA5233" s="158" t="s">
        <v>3695</v>
      </c>
    </row>
    <row r="5234" spans="27:27">
      <c r="AA5234" s="158" t="s">
        <v>7691</v>
      </c>
    </row>
    <row r="5235" spans="27:27">
      <c r="AA5235" s="158" t="s">
        <v>7692</v>
      </c>
    </row>
    <row r="5236" spans="27:27">
      <c r="AA5236" s="158" t="s">
        <v>7693</v>
      </c>
    </row>
    <row r="5237" spans="27:27">
      <c r="AA5237" s="158" t="s">
        <v>7694</v>
      </c>
    </row>
    <row r="5238" spans="27:27">
      <c r="AA5238" s="158" t="s">
        <v>7695</v>
      </c>
    </row>
    <row r="5239" spans="27:27">
      <c r="AA5239" s="158" t="s">
        <v>710</v>
      </c>
    </row>
    <row r="5240" spans="27:27">
      <c r="AA5240" s="158" t="s">
        <v>3696</v>
      </c>
    </row>
    <row r="5241" spans="27:27">
      <c r="AA5241" s="158" t="s">
        <v>711</v>
      </c>
    </row>
    <row r="5242" spans="27:27">
      <c r="AA5242" s="158" t="s">
        <v>712</v>
      </c>
    </row>
    <row r="5243" spans="27:27">
      <c r="AA5243" s="158" t="s">
        <v>713</v>
      </c>
    </row>
    <row r="5244" spans="27:27">
      <c r="AA5244" s="158" t="s">
        <v>7696</v>
      </c>
    </row>
    <row r="5245" spans="27:27">
      <c r="AA5245" s="158" t="s">
        <v>714</v>
      </c>
    </row>
    <row r="5246" spans="27:27">
      <c r="AA5246" s="158" t="s">
        <v>715</v>
      </c>
    </row>
    <row r="5247" spans="27:27">
      <c r="AA5247" s="158" t="s">
        <v>716</v>
      </c>
    </row>
    <row r="5248" spans="27:27">
      <c r="AA5248" s="158" t="s">
        <v>3697</v>
      </c>
    </row>
    <row r="5249" spans="27:27">
      <c r="AA5249" s="158" t="s">
        <v>717</v>
      </c>
    </row>
    <row r="5250" spans="27:27">
      <c r="AA5250" s="158" t="s">
        <v>718</v>
      </c>
    </row>
    <row r="5251" spans="27:27">
      <c r="AA5251" s="158" t="s">
        <v>719</v>
      </c>
    </row>
    <row r="5252" spans="27:27">
      <c r="AA5252" s="158" t="s">
        <v>720</v>
      </c>
    </row>
    <row r="5253" spans="27:27">
      <c r="AA5253" s="158" t="s">
        <v>721</v>
      </c>
    </row>
    <row r="5254" spans="27:27">
      <c r="AA5254" s="158" t="s">
        <v>722</v>
      </c>
    </row>
    <row r="5255" spans="27:27">
      <c r="AA5255" s="158" t="s">
        <v>723</v>
      </c>
    </row>
    <row r="5256" spans="27:27">
      <c r="AA5256" s="158" t="s">
        <v>724</v>
      </c>
    </row>
    <row r="5257" spans="27:27">
      <c r="AA5257" s="158" t="s">
        <v>725</v>
      </c>
    </row>
    <row r="5258" spans="27:27">
      <c r="AA5258" s="158" t="s">
        <v>3698</v>
      </c>
    </row>
    <row r="5259" spans="27:27">
      <c r="AA5259" s="158" t="s">
        <v>726</v>
      </c>
    </row>
    <row r="5260" spans="27:27">
      <c r="AA5260" s="158" t="s">
        <v>3699</v>
      </c>
    </row>
    <row r="5261" spans="27:27">
      <c r="AA5261" s="158" t="s">
        <v>7697</v>
      </c>
    </row>
    <row r="5262" spans="27:27">
      <c r="AA5262" s="158" t="s">
        <v>7698</v>
      </c>
    </row>
    <row r="5263" spans="27:27">
      <c r="AA5263" s="158" t="s">
        <v>7699</v>
      </c>
    </row>
    <row r="5264" spans="27:27">
      <c r="AA5264" s="158" t="s">
        <v>7700</v>
      </c>
    </row>
    <row r="5265" spans="27:27">
      <c r="AA5265" s="158" t="s">
        <v>7701</v>
      </c>
    </row>
    <row r="5266" spans="27:27">
      <c r="AA5266" s="158" t="s">
        <v>7702</v>
      </c>
    </row>
    <row r="5267" spans="27:27">
      <c r="AA5267" s="158" t="s">
        <v>7703</v>
      </c>
    </row>
    <row r="5268" spans="27:27">
      <c r="AA5268" s="158" t="s">
        <v>7704</v>
      </c>
    </row>
    <row r="5269" spans="27:27">
      <c r="AA5269" s="158" t="s">
        <v>7705</v>
      </c>
    </row>
    <row r="5270" spans="27:27">
      <c r="AA5270" s="158" t="s">
        <v>7706</v>
      </c>
    </row>
    <row r="5271" spans="27:27">
      <c r="AA5271" s="158" t="s">
        <v>7707</v>
      </c>
    </row>
    <row r="5272" spans="27:27">
      <c r="AA5272" s="158" t="s">
        <v>7708</v>
      </c>
    </row>
    <row r="5273" spans="27:27">
      <c r="AA5273" s="158" t="s">
        <v>7709</v>
      </c>
    </row>
    <row r="5274" spans="27:27">
      <c r="AA5274" s="158" t="s">
        <v>7710</v>
      </c>
    </row>
    <row r="5275" spans="27:27">
      <c r="AA5275" s="158" t="s">
        <v>7711</v>
      </c>
    </row>
    <row r="5276" spans="27:27">
      <c r="AA5276" s="158" t="s">
        <v>7712</v>
      </c>
    </row>
    <row r="5277" spans="27:27">
      <c r="AA5277" s="158" t="s">
        <v>7713</v>
      </c>
    </row>
    <row r="5278" spans="27:27">
      <c r="AA5278" s="158" t="s">
        <v>7714</v>
      </c>
    </row>
    <row r="5279" spans="27:27">
      <c r="AA5279" s="158" t="s">
        <v>7715</v>
      </c>
    </row>
    <row r="5280" spans="27:27">
      <c r="AA5280" s="158" t="s">
        <v>7716</v>
      </c>
    </row>
    <row r="5281" spans="27:27">
      <c r="AA5281" s="158" t="s">
        <v>7717</v>
      </c>
    </row>
    <row r="5282" spans="27:27">
      <c r="AA5282" s="158" t="s">
        <v>7718</v>
      </c>
    </row>
    <row r="5283" spans="27:27">
      <c r="AA5283" s="158" t="s">
        <v>7719</v>
      </c>
    </row>
    <row r="5284" spans="27:27">
      <c r="AA5284" s="158" t="s">
        <v>7720</v>
      </c>
    </row>
    <row r="5285" spans="27:27">
      <c r="AA5285" s="158" t="s">
        <v>7721</v>
      </c>
    </row>
    <row r="5286" spans="27:27">
      <c r="AA5286" s="158" t="s">
        <v>7722</v>
      </c>
    </row>
    <row r="5287" spans="27:27">
      <c r="AA5287" s="158" t="s">
        <v>7723</v>
      </c>
    </row>
    <row r="5288" spans="27:27">
      <c r="AA5288" s="158" t="s">
        <v>7724</v>
      </c>
    </row>
    <row r="5289" spans="27:27">
      <c r="AA5289" s="158" t="s">
        <v>727</v>
      </c>
    </row>
    <row r="5290" spans="27:27">
      <c r="AA5290" s="158" t="s">
        <v>7725</v>
      </c>
    </row>
    <row r="5291" spans="27:27">
      <c r="AA5291" s="158" t="s">
        <v>7726</v>
      </c>
    </row>
    <row r="5292" spans="27:27">
      <c r="AA5292" s="158" t="s">
        <v>7727</v>
      </c>
    </row>
    <row r="5293" spans="27:27">
      <c r="AA5293" s="158" t="s">
        <v>7728</v>
      </c>
    </row>
    <row r="5294" spans="27:27">
      <c r="AA5294" s="158" t="s">
        <v>7729</v>
      </c>
    </row>
    <row r="5295" spans="27:27">
      <c r="AA5295" s="158" t="s">
        <v>7730</v>
      </c>
    </row>
    <row r="5296" spans="27:27">
      <c r="AA5296" s="158" t="s">
        <v>7731</v>
      </c>
    </row>
    <row r="5297" spans="27:27">
      <c r="AA5297" s="158" t="s">
        <v>728</v>
      </c>
    </row>
    <row r="5298" spans="27:27">
      <c r="AA5298" s="158" t="s">
        <v>7732</v>
      </c>
    </row>
    <row r="5299" spans="27:27">
      <c r="AA5299" s="158" t="s">
        <v>7733</v>
      </c>
    </row>
    <row r="5300" spans="27:27">
      <c r="AA5300" s="158" t="s">
        <v>7734</v>
      </c>
    </row>
    <row r="5301" spans="27:27">
      <c r="AA5301" s="158" t="s">
        <v>7735</v>
      </c>
    </row>
    <row r="5302" spans="27:27">
      <c r="AA5302" s="158" t="s">
        <v>7736</v>
      </c>
    </row>
    <row r="5303" spans="27:27">
      <c r="AA5303" s="158" t="s">
        <v>7737</v>
      </c>
    </row>
    <row r="5304" spans="27:27">
      <c r="AA5304" s="158" t="s">
        <v>7738</v>
      </c>
    </row>
    <row r="5305" spans="27:27">
      <c r="AA5305" s="158" t="s">
        <v>7739</v>
      </c>
    </row>
    <row r="5306" spans="27:27">
      <c r="AA5306" s="158" t="s">
        <v>7740</v>
      </c>
    </row>
    <row r="5307" spans="27:27">
      <c r="AA5307" s="158" t="s">
        <v>7741</v>
      </c>
    </row>
    <row r="5308" spans="27:27">
      <c r="AA5308" s="158" t="s">
        <v>7742</v>
      </c>
    </row>
    <row r="5309" spans="27:27">
      <c r="AA5309" s="158" t="s">
        <v>7743</v>
      </c>
    </row>
    <row r="5310" spans="27:27">
      <c r="AA5310" s="158" t="s">
        <v>7744</v>
      </c>
    </row>
    <row r="5311" spans="27:27">
      <c r="AA5311" s="158" t="s">
        <v>7745</v>
      </c>
    </row>
    <row r="5312" spans="27:27">
      <c r="AA5312" s="158" t="s">
        <v>7746</v>
      </c>
    </row>
    <row r="5313" spans="27:27">
      <c r="AA5313" s="158" t="s">
        <v>7747</v>
      </c>
    </row>
    <row r="5314" spans="27:27">
      <c r="AA5314" s="158" t="s">
        <v>7748</v>
      </c>
    </row>
    <row r="5315" spans="27:27">
      <c r="AA5315" s="158" t="s">
        <v>7749</v>
      </c>
    </row>
    <row r="5316" spans="27:27">
      <c r="AA5316" s="158" t="s">
        <v>7750</v>
      </c>
    </row>
    <row r="5317" spans="27:27">
      <c r="AA5317" s="158" t="s">
        <v>7751</v>
      </c>
    </row>
    <row r="5318" spans="27:27">
      <c r="AA5318" s="158" t="s">
        <v>7752</v>
      </c>
    </row>
    <row r="5319" spans="27:27">
      <c r="AA5319" s="158" t="s">
        <v>7753</v>
      </c>
    </row>
    <row r="5320" spans="27:27">
      <c r="AA5320" s="158" t="s">
        <v>7754</v>
      </c>
    </row>
    <row r="5321" spans="27:27">
      <c r="AA5321" s="158" t="s">
        <v>7755</v>
      </c>
    </row>
    <row r="5322" spans="27:27">
      <c r="AA5322" s="158" t="s">
        <v>7756</v>
      </c>
    </row>
    <row r="5323" spans="27:27">
      <c r="AA5323" s="158" t="s">
        <v>7757</v>
      </c>
    </row>
    <row r="5324" spans="27:27">
      <c r="AA5324" s="158" t="s">
        <v>729</v>
      </c>
    </row>
    <row r="5325" spans="27:27">
      <c r="AA5325" s="158" t="s">
        <v>3700</v>
      </c>
    </row>
    <row r="5326" spans="27:27">
      <c r="AA5326" s="158" t="s">
        <v>7758</v>
      </c>
    </row>
    <row r="5327" spans="27:27">
      <c r="AA5327" s="158" t="s">
        <v>7759</v>
      </c>
    </row>
    <row r="5328" spans="27:27">
      <c r="AA5328" s="158" t="s">
        <v>7760</v>
      </c>
    </row>
    <row r="5329" spans="27:27">
      <c r="AA5329" s="158" t="s">
        <v>7761</v>
      </c>
    </row>
    <row r="5330" spans="27:27">
      <c r="AA5330" s="158" t="s">
        <v>7762</v>
      </c>
    </row>
    <row r="5331" spans="27:27">
      <c r="AA5331" s="158" t="s">
        <v>7763</v>
      </c>
    </row>
    <row r="5332" spans="27:27">
      <c r="AA5332" s="158" t="s">
        <v>7764</v>
      </c>
    </row>
    <row r="5333" spans="27:27">
      <c r="AA5333" s="158" t="s">
        <v>7765</v>
      </c>
    </row>
    <row r="5334" spans="27:27">
      <c r="AA5334" s="158" t="s">
        <v>7766</v>
      </c>
    </row>
    <row r="5335" spans="27:27">
      <c r="AA5335" s="158" t="s">
        <v>7767</v>
      </c>
    </row>
    <row r="5336" spans="27:27">
      <c r="AA5336" s="158" t="s">
        <v>7768</v>
      </c>
    </row>
    <row r="5337" spans="27:27">
      <c r="AA5337" s="158" t="s">
        <v>7769</v>
      </c>
    </row>
    <row r="5338" spans="27:27">
      <c r="AA5338" s="158" t="s">
        <v>7770</v>
      </c>
    </row>
    <row r="5339" spans="27:27">
      <c r="AA5339" s="158" t="s">
        <v>7771</v>
      </c>
    </row>
    <row r="5340" spans="27:27">
      <c r="AA5340" s="158" t="s">
        <v>7772</v>
      </c>
    </row>
    <row r="5341" spans="27:27">
      <c r="AA5341" s="158" t="s">
        <v>7773</v>
      </c>
    </row>
    <row r="5342" spans="27:27">
      <c r="AA5342" s="158" t="s">
        <v>7774</v>
      </c>
    </row>
    <row r="5343" spans="27:27">
      <c r="AA5343" s="158" t="s">
        <v>7775</v>
      </c>
    </row>
    <row r="5344" spans="27:27">
      <c r="AA5344" s="158" t="s">
        <v>7776</v>
      </c>
    </row>
    <row r="5345" spans="27:27">
      <c r="AA5345" s="158" t="s">
        <v>7777</v>
      </c>
    </row>
    <row r="5346" spans="27:27">
      <c r="AA5346" s="158" t="s">
        <v>7778</v>
      </c>
    </row>
    <row r="5347" spans="27:27">
      <c r="AA5347" s="158" t="s">
        <v>7779</v>
      </c>
    </row>
    <row r="5348" spans="27:27">
      <c r="AA5348" s="158" t="s">
        <v>7780</v>
      </c>
    </row>
    <row r="5349" spans="27:27">
      <c r="AA5349" s="158" t="s">
        <v>7781</v>
      </c>
    </row>
    <row r="5350" spans="27:27">
      <c r="AA5350" s="158" t="s">
        <v>7782</v>
      </c>
    </row>
    <row r="5351" spans="27:27">
      <c r="AA5351" s="158" t="s">
        <v>7783</v>
      </c>
    </row>
    <row r="5352" spans="27:27">
      <c r="AA5352" s="158" t="s">
        <v>7784</v>
      </c>
    </row>
    <row r="5353" spans="27:27">
      <c r="AA5353" s="158" t="s">
        <v>7785</v>
      </c>
    </row>
    <row r="5354" spans="27:27">
      <c r="AA5354" s="158" t="s">
        <v>7786</v>
      </c>
    </row>
    <row r="5355" spans="27:27">
      <c r="AA5355" s="158" t="s">
        <v>7787</v>
      </c>
    </row>
    <row r="5356" spans="27:27">
      <c r="AA5356" s="158" t="s">
        <v>7788</v>
      </c>
    </row>
    <row r="5357" spans="27:27">
      <c r="AA5357" s="158" t="s">
        <v>7789</v>
      </c>
    </row>
    <row r="5358" spans="27:27">
      <c r="AA5358" s="158" t="s">
        <v>7790</v>
      </c>
    </row>
    <row r="5359" spans="27:27">
      <c r="AA5359" s="158" t="s">
        <v>730</v>
      </c>
    </row>
    <row r="5360" spans="27:27">
      <c r="AA5360" s="158" t="s">
        <v>3701</v>
      </c>
    </row>
    <row r="5361" spans="27:27">
      <c r="AA5361" s="158" t="s">
        <v>7791</v>
      </c>
    </row>
    <row r="5362" spans="27:27">
      <c r="AA5362" s="158" t="s">
        <v>7792</v>
      </c>
    </row>
    <row r="5363" spans="27:27">
      <c r="AA5363" s="158" t="s">
        <v>7793</v>
      </c>
    </row>
    <row r="5364" spans="27:27">
      <c r="AA5364" s="158" t="s">
        <v>7794</v>
      </c>
    </row>
    <row r="5365" spans="27:27">
      <c r="AA5365" s="158" t="s">
        <v>7795</v>
      </c>
    </row>
    <row r="5366" spans="27:27">
      <c r="AA5366" s="158" t="s">
        <v>7796</v>
      </c>
    </row>
    <row r="5367" spans="27:27">
      <c r="AA5367" s="158" t="s">
        <v>731</v>
      </c>
    </row>
    <row r="5368" spans="27:27">
      <c r="AA5368" s="158" t="s">
        <v>732</v>
      </c>
    </row>
    <row r="5369" spans="27:27">
      <c r="AA5369" s="158" t="s">
        <v>733</v>
      </c>
    </row>
    <row r="5370" spans="27:27">
      <c r="AA5370" s="158" t="s">
        <v>734</v>
      </c>
    </row>
    <row r="5371" spans="27:27">
      <c r="AA5371" s="158" t="s">
        <v>3702</v>
      </c>
    </row>
    <row r="5372" spans="27:27">
      <c r="AA5372" s="158" t="s">
        <v>735</v>
      </c>
    </row>
    <row r="5373" spans="27:27">
      <c r="AA5373" s="158" t="s">
        <v>736</v>
      </c>
    </row>
    <row r="5374" spans="27:27">
      <c r="AA5374" s="158" t="s">
        <v>7797</v>
      </c>
    </row>
    <row r="5375" spans="27:27">
      <c r="AA5375" s="158" t="s">
        <v>7798</v>
      </c>
    </row>
    <row r="5376" spans="27:27">
      <c r="AA5376" s="158" t="s">
        <v>737</v>
      </c>
    </row>
    <row r="5377" spans="27:27">
      <c r="AA5377" s="158" t="s">
        <v>7799</v>
      </c>
    </row>
    <row r="5378" spans="27:27">
      <c r="AA5378" s="158" t="s">
        <v>7800</v>
      </c>
    </row>
    <row r="5379" spans="27:27">
      <c r="AA5379" s="158" t="s">
        <v>738</v>
      </c>
    </row>
    <row r="5380" spans="27:27">
      <c r="AA5380" s="158" t="s">
        <v>739</v>
      </c>
    </row>
    <row r="5381" spans="27:27">
      <c r="AA5381" s="158" t="s">
        <v>740</v>
      </c>
    </row>
    <row r="5382" spans="27:27">
      <c r="AA5382" s="158" t="s">
        <v>741</v>
      </c>
    </row>
    <row r="5383" spans="27:27">
      <c r="AA5383" s="158" t="s">
        <v>742</v>
      </c>
    </row>
    <row r="5384" spans="27:27">
      <c r="AA5384" s="158" t="s">
        <v>743</v>
      </c>
    </row>
    <row r="5385" spans="27:27">
      <c r="AA5385" s="158" t="s">
        <v>7801</v>
      </c>
    </row>
    <row r="5386" spans="27:27">
      <c r="AA5386" s="158" t="s">
        <v>744</v>
      </c>
    </row>
    <row r="5387" spans="27:27">
      <c r="AA5387" s="158" t="s">
        <v>7802</v>
      </c>
    </row>
    <row r="5388" spans="27:27">
      <c r="AA5388" s="158" t="s">
        <v>745</v>
      </c>
    </row>
    <row r="5389" spans="27:27">
      <c r="AA5389" s="158" t="s">
        <v>7803</v>
      </c>
    </row>
    <row r="5390" spans="27:27">
      <c r="AA5390" s="158" t="s">
        <v>1920</v>
      </c>
    </row>
    <row r="5391" spans="27:27">
      <c r="AA5391" s="158" t="s">
        <v>1921</v>
      </c>
    </row>
    <row r="5392" spans="27:27">
      <c r="AA5392" s="158" t="s">
        <v>1922</v>
      </c>
    </row>
    <row r="5393" spans="27:27">
      <c r="AA5393" s="158" t="s">
        <v>7804</v>
      </c>
    </row>
    <row r="5394" spans="27:27">
      <c r="AA5394" s="158" t="s">
        <v>1923</v>
      </c>
    </row>
    <row r="5395" spans="27:27">
      <c r="AA5395" s="158" t="s">
        <v>1924</v>
      </c>
    </row>
    <row r="5396" spans="27:27">
      <c r="AA5396" s="158" t="s">
        <v>1925</v>
      </c>
    </row>
    <row r="5397" spans="27:27">
      <c r="AA5397" s="158" t="s">
        <v>7805</v>
      </c>
    </row>
    <row r="5398" spans="27:27">
      <c r="AA5398" s="158" t="s">
        <v>7806</v>
      </c>
    </row>
    <row r="5399" spans="27:27">
      <c r="AA5399" s="158" t="s">
        <v>7807</v>
      </c>
    </row>
    <row r="5400" spans="27:27">
      <c r="AA5400" s="158" t="s">
        <v>7808</v>
      </c>
    </row>
    <row r="5401" spans="27:27">
      <c r="AA5401" s="158" t="s">
        <v>7809</v>
      </c>
    </row>
    <row r="5402" spans="27:27">
      <c r="AA5402" s="158" t="s">
        <v>7810</v>
      </c>
    </row>
    <row r="5403" spans="27:27">
      <c r="AA5403" s="158" t="s">
        <v>7811</v>
      </c>
    </row>
    <row r="5404" spans="27:27">
      <c r="AA5404" s="158" t="s">
        <v>3703</v>
      </c>
    </row>
    <row r="5405" spans="27:27">
      <c r="AA5405" s="158" t="s">
        <v>7812</v>
      </c>
    </row>
    <row r="5406" spans="27:27">
      <c r="AA5406" s="158" t="s">
        <v>7813</v>
      </c>
    </row>
    <row r="5407" spans="27:27">
      <c r="AA5407" s="158" t="s">
        <v>7814</v>
      </c>
    </row>
    <row r="5408" spans="27:27">
      <c r="AA5408" s="158" t="s">
        <v>7815</v>
      </c>
    </row>
    <row r="5409" spans="27:27">
      <c r="AA5409" s="158" t="s">
        <v>7816</v>
      </c>
    </row>
    <row r="5410" spans="27:27">
      <c r="AA5410" s="158" t="s">
        <v>7817</v>
      </c>
    </row>
    <row r="5411" spans="27:27">
      <c r="AA5411" s="158" t="s">
        <v>7818</v>
      </c>
    </row>
    <row r="5412" spans="27:27">
      <c r="AA5412" s="158" t="s">
        <v>7819</v>
      </c>
    </row>
    <row r="5413" spans="27:27">
      <c r="AA5413" s="158" t="s">
        <v>7820</v>
      </c>
    </row>
    <row r="5414" spans="27:27">
      <c r="AA5414" s="158" t="s">
        <v>7821</v>
      </c>
    </row>
    <row r="5415" spans="27:27">
      <c r="AA5415" s="158" t="s">
        <v>7822</v>
      </c>
    </row>
    <row r="5416" spans="27:27">
      <c r="AA5416" s="158" t="s">
        <v>7823</v>
      </c>
    </row>
    <row r="5417" spans="27:27">
      <c r="AA5417" s="158" t="s">
        <v>7824</v>
      </c>
    </row>
    <row r="5418" spans="27:27">
      <c r="AA5418" s="158" t="s">
        <v>7825</v>
      </c>
    </row>
    <row r="5419" spans="27:27">
      <c r="AA5419" s="158" t="s">
        <v>7826</v>
      </c>
    </row>
    <row r="5420" spans="27:27">
      <c r="AA5420" s="158" t="s">
        <v>1926</v>
      </c>
    </row>
    <row r="5421" spans="27:27">
      <c r="AA5421" s="158" t="s">
        <v>7827</v>
      </c>
    </row>
    <row r="5422" spans="27:27">
      <c r="AA5422" s="158" t="s">
        <v>7828</v>
      </c>
    </row>
    <row r="5423" spans="27:27">
      <c r="AA5423" s="158" t="s">
        <v>746</v>
      </c>
    </row>
    <row r="5424" spans="27:27">
      <c r="AA5424" s="158" t="s">
        <v>747</v>
      </c>
    </row>
    <row r="5425" spans="27:27">
      <c r="AA5425" s="158" t="s">
        <v>7829</v>
      </c>
    </row>
    <row r="5426" spans="27:27">
      <c r="AA5426" s="158" t="s">
        <v>1927</v>
      </c>
    </row>
    <row r="5427" spans="27:27">
      <c r="AA5427" s="158" t="s">
        <v>3704</v>
      </c>
    </row>
    <row r="5428" spans="27:27">
      <c r="AA5428" s="158" t="s">
        <v>748</v>
      </c>
    </row>
    <row r="5429" spans="27:27">
      <c r="AA5429" s="158" t="s">
        <v>749</v>
      </c>
    </row>
    <row r="5430" spans="27:27">
      <c r="AA5430" s="158" t="s">
        <v>750</v>
      </c>
    </row>
    <row r="5431" spans="27:27">
      <c r="AA5431" s="158" t="s">
        <v>751</v>
      </c>
    </row>
    <row r="5432" spans="27:27">
      <c r="AA5432" s="158" t="s">
        <v>752</v>
      </c>
    </row>
    <row r="5433" spans="27:27">
      <c r="AA5433" s="158" t="s">
        <v>753</v>
      </c>
    </row>
    <row r="5434" spans="27:27">
      <c r="AA5434" s="158" t="s">
        <v>754</v>
      </c>
    </row>
    <row r="5435" spans="27:27">
      <c r="AA5435" s="158" t="s">
        <v>755</v>
      </c>
    </row>
    <row r="5436" spans="27:27">
      <c r="AA5436" s="158" t="s">
        <v>3705</v>
      </c>
    </row>
    <row r="5437" spans="27:27">
      <c r="AA5437" s="158" t="s">
        <v>7830</v>
      </c>
    </row>
    <row r="5438" spans="27:27">
      <c r="AA5438" s="158" t="s">
        <v>7831</v>
      </c>
    </row>
    <row r="5439" spans="27:27">
      <c r="AA5439" s="158" t="s">
        <v>7832</v>
      </c>
    </row>
    <row r="5440" spans="27:27">
      <c r="AA5440" s="158" t="s">
        <v>7833</v>
      </c>
    </row>
    <row r="5441" spans="27:27">
      <c r="AA5441" s="158" t="s">
        <v>756</v>
      </c>
    </row>
    <row r="5442" spans="27:27">
      <c r="AA5442" s="158" t="s">
        <v>757</v>
      </c>
    </row>
    <row r="5443" spans="27:27">
      <c r="AA5443" s="158" t="s">
        <v>758</v>
      </c>
    </row>
    <row r="5444" spans="27:27">
      <c r="AA5444" s="158" t="s">
        <v>7834</v>
      </c>
    </row>
    <row r="5445" spans="27:27">
      <c r="AA5445" s="158" t="s">
        <v>7835</v>
      </c>
    </row>
    <row r="5446" spans="27:27">
      <c r="AA5446" s="158" t="s">
        <v>3706</v>
      </c>
    </row>
    <row r="5447" spans="27:27">
      <c r="AA5447" s="158" t="s">
        <v>7836</v>
      </c>
    </row>
    <row r="5448" spans="27:27">
      <c r="AA5448" s="158" t="s">
        <v>7837</v>
      </c>
    </row>
    <row r="5449" spans="27:27">
      <c r="AA5449" s="158" t="s">
        <v>7838</v>
      </c>
    </row>
    <row r="5450" spans="27:27">
      <c r="AA5450" s="158" t="s">
        <v>7839</v>
      </c>
    </row>
    <row r="5451" spans="27:27">
      <c r="AA5451" s="158" t="s">
        <v>3707</v>
      </c>
    </row>
    <row r="5452" spans="27:27">
      <c r="AA5452" s="158" t="s">
        <v>7840</v>
      </c>
    </row>
    <row r="5453" spans="27:27">
      <c r="AA5453" s="158" t="s">
        <v>7841</v>
      </c>
    </row>
    <row r="5454" spans="27:27">
      <c r="AA5454" s="158" t="s">
        <v>7842</v>
      </c>
    </row>
    <row r="5455" spans="27:27">
      <c r="AA5455" s="158" t="s">
        <v>7843</v>
      </c>
    </row>
    <row r="5456" spans="27:27">
      <c r="AA5456" s="158" t="s">
        <v>7844</v>
      </c>
    </row>
    <row r="5457" spans="27:27">
      <c r="AA5457" s="158" t="s">
        <v>7845</v>
      </c>
    </row>
    <row r="5458" spans="27:27">
      <c r="AA5458" s="158" t="s">
        <v>7846</v>
      </c>
    </row>
    <row r="5459" spans="27:27">
      <c r="AA5459" s="158" t="s">
        <v>7847</v>
      </c>
    </row>
    <row r="5460" spans="27:27">
      <c r="AA5460" s="158" t="s">
        <v>7848</v>
      </c>
    </row>
    <row r="5461" spans="27:27">
      <c r="AA5461" s="158" t="s">
        <v>7849</v>
      </c>
    </row>
    <row r="5462" spans="27:27">
      <c r="AA5462" s="158" t="s">
        <v>7850</v>
      </c>
    </row>
    <row r="5463" spans="27:27">
      <c r="AA5463" s="158" t="s">
        <v>7851</v>
      </c>
    </row>
    <row r="5464" spans="27:27">
      <c r="AA5464" s="158" t="s">
        <v>7852</v>
      </c>
    </row>
    <row r="5465" spans="27:27">
      <c r="AA5465" s="158" t="s">
        <v>1928</v>
      </c>
    </row>
    <row r="5466" spans="27:27">
      <c r="AA5466" s="158" t="s">
        <v>7853</v>
      </c>
    </row>
    <row r="5467" spans="27:27">
      <c r="AA5467" s="158" t="s">
        <v>3708</v>
      </c>
    </row>
    <row r="5468" spans="27:27">
      <c r="AA5468" s="158" t="s">
        <v>7854</v>
      </c>
    </row>
    <row r="5469" spans="27:27">
      <c r="AA5469" s="158" t="s">
        <v>7855</v>
      </c>
    </row>
    <row r="5470" spans="27:27">
      <c r="AA5470" s="158" t="s">
        <v>7856</v>
      </c>
    </row>
    <row r="5471" spans="27:27">
      <c r="AA5471" s="158" t="s">
        <v>7857</v>
      </c>
    </row>
    <row r="5472" spans="27:27">
      <c r="AA5472" s="158" t="s">
        <v>7858</v>
      </c>
    </row>
    <row r="5473" spans="27:27">
      <c r="AA5473" s="158" t="s">
        <v>1929</v>
      </c>
    </row>
    <row r="5474" spans="27:27">
      <c r="AA5474" s="158" t="s">
        <v>3709</v>
      </c>
    </row>
    <row r="5475" spans="27:27">
      <c r="AA5475" s="158" t="s">
        <v>7859</v>
      </c>
    </row>
    <row r="5476" spans="27:27">
      <c r="AA5476" s="158" t="s">
        <v>1930</v>
      </c>
    </row>
    <row r="5477" spans="27:27">
      <c r="AA5477" s="158" t="s">
        <v>3710</v>
      </c>
    </row>
    <row r="5478" spans="27:27">
      <c r="AA5478" s="158" t="s">
        <v>7860</v>
      </c>
    </row>
    <row r="5479" spans="27:27">
      <c r="AA5479" s="158" t="s">
        <v>7861</v>
      </c>
    </row>
    <row r="5480" spans="27:27">
      <c r="AA5480" s="158" t="s">
        <v>7862</v>
      </c>
    </row>
    <row r="5481" spans="27:27">
      <c r="AA5481" s="158" t="s">
        <v>1931</v>
      </c>
    </row>
    <row r="5482" spans="27:27">
      <c r="AA5482" s="158" t="s">
        <v>7863</v>
      </c>
    </row>
    <row r="5483" spans="27:27">
      <c r="AA5483" s="158" t="s">
        <v>3711</v>
      </c>
    </row>
    <row r="5484" spans="27:27">
      <c r="AA5484" s="158" t="s">
        <v>7864</v>
      </c>
    </row>
    <row r="5485" spans="27:27">
      <c r="AA5485" s="158" t="s">
        <v>7865</v>
      </c>
    </row>
    <row r="5486" spans="27:27">
      <c r="AA5486" s="158" t="s">
        <v>1932</v>
      </c>
    </row>
    <row r="5487" spans="27:27">
      <c r="AA5487" s="158" t="s">
        <v>3712</v>
      </c>
    </row>
    <row r="5488" spans="27:27">
      <c r="AA5488" s="158" t="s">
        <v>1933</v>
      </c>
    </row>
    <row r="5489" spans="27:27">
      <c r="AA5489" s="158" t="s">
        <v>3713</v>
      </c>
    </row>
    <row r="5490" spans="27:27">
      <c r="AA5490" s="158" t="s">
        <v>7866</v>
      </c>
    </row>
    <row r="5491" spans="27:27">
      <c r="AA5491" s="158" t="s">
        <v>7867</v>
      </c>
    </row>
    <row r="5492" spans="27:27">
      <c r="AA5492" s="158" t="s">
        <v>7868</v>
      </c>
    </row>
    <row r="5493" spans="27:27">
      <c r="AA5493" s="158" t="s">
        <v>7869</v>
      </c>
    </row>
    <row r="5494" spans="27:27">
      <c r="AA5494" s="158" t="s">
        <v>7870</v>
      </c>
    </row>
    <row r="5495" spans="27:27">
      <c r="AA5495" s="158" t="s">
        <v>7871</v>
      </c>
    </row>
    <row r="5496" spans="27:27">
      <c r="AA5496" s="158" t="s">
        <v>3714</v>
      </c>
    </row>
    <row r="5497" spans="27:27">
      <c r="AA5497" s="158" t="s">
        <v>7872</v>
      </c>
    </row>
    <row r="5498" spans="27:27">
      <c r="AA5498" s="158" t="s">
        <v>7873</v>
      </c>
    </row>
    <row r="5499" spans="27:27">
      <c r="AA5499" s="158" t="s">
        <v>7874</v>
      </c>
    </row>
    <row r="5500" spans="27:27">
      <c r="AA5500" s="158" t="s">
        <v>7875</v>
      </c>
    </row>
    <row r="5501" spans="27:27">
      <c r="AA5501" s="158" t="s">
        <v>7876</v>
      </c>
    </row>
    <row r="5502" spans="27:27">
      <c r="AA5502" s="158" t="s">
        <v>7877</v>
      </c>
    </row>
    <row r="5503" spans="27:27">
      <c r="AA5503" s="158" t="s">
        <v>7878</v>
      </c>
    </row>
    <row r="5504" spans="27:27">
      <c r="AA5504" s="158" t="s">
        <v>7879</v>
      </c>
    </row>
    <row r="5505" spans="27:27">
      <c r="AA5505" s="158" t="s">
        <v>7880</v>
      </c>
    </row>
    <row r="5506" spans="27:27">
      <c r="AA5506" s="158" t="s">
        <v>7881</v>
      </c>
    </row>
    <row r="5507" spans="27:27">
      <c r="AA5507" s="158" t="s">
        <v>7882</v>
      </c>
    </row>
    <row r="5508" spans="27:27">
      <c r="AA5508" s="158" t="s">
        <v>1934</v>
      </c>
    </row>
    <row r="5509" spans="27:27">
      <c r="AA5509" s="158" t="s">
        <v>3715</v>
      </c>
    </row>
    <row r="5510" spans="27:27">
      <c r="AA5510" s="158" t="s">
        <v>7883</v>
      </c>
    </row>
    <row r="5511" spans="27:27">
      <c r="AA5511" s="158" t="s">
        <v>7884</v>
      </c>
    </row>
    <row r="5512" spans="27:27">
      <c r="AA5512" s="158" t="s">
        <v>7885</v>
      </c>
    </row>
    <row r="5513" spans="27:27">
      <c r="AA5513" s="158" t="s">
        <v>7886</v>
      </c>
    </row>
    <row r="5514" spans="27:27">
      <c r="AA5514" s="158" t="s">
        <v>7887</v>
      </c>
    </row>
    <row r="5515" spans="27:27">
      <c r="AA5515" s="158" t="s">
        <v>7888</v>
      </c>
    </row>
    <row r="5516" spans="27:27">
      <c r="AA5516" s="158" t="s">
        <v>7889</v>
      </c>
    </row>
    <row r="5517" spans="27:27">
      <c r="AA5517" s="158" t="s">
        <v>7890</v>
      </c>
    </row>
    <row r="5518" spans="27:27">
      <c r="AA5518" s="158" t="s">
        <v>7891</v>
      </c>
    </row>
    <row r="5519" spans="27:27">
      <c r="AA5519" s="158" t="s">
        <v>7892</v>
      </c>
    </row>
    <row r="5520" spans="27:27">
      <c r="AA5520" s="158" t="s">
        <v>7893</v>
      </c>
    </row>
    <row r="5521" spans="27:27">
      <c r="AA5521" s="158" t="s">
        <v>7894</v>
      </c>
    </row>
    <row r="5522" spans="27:27">
      <c r="AA5522" s="158" t="s">
        <v>7895</v>
      </c>
    </row>
    <row r="5523" spans="27:27">
      <c r="AA5523" s="158" t="s">
        <v>7896</v>
      </c>
    </row>
    <row r="5524" spans="27:27">
      <c r="AA5524" s="158" t="s">
        <v>7897</v>
      </c>
    </row>
    <row r="5525" spans="27:27">
      <c r="AA5525" s="158" t="s">
        <v>7898</v>
      </c>
    </row>
    <row r="5526" spans="27:27">
      <c r="AA5526" s="158" t="s">
        <v>1935</v>
      </c>
    </row>
    <row r="5527" spans="27:27">
      <c r="AA5527" s="158" t="s">
        <v>3716</v>
      </c>
    </row>
    <row r="5528" spans="27:27">
      <c r="AA5528" s="158" t="s">
        <v>7899</v>
      </c>
    </row>
    <row r="5529" spans="27:27">
      <c r="AA5529" s="158" t="s">
        <v>7900</v>
      </c>
    </row>
    <row r="5530" spans="27:27">
      <c r="AA5530" s="158" t="s">
        <v>7901</v>
      </c>
    </row>
    <row r="5531" spans="27:27">
      <c r="AA5531" s="158" t="s">
        <v>7902</v>
      </c>
    </row>
    <row r="5532" spans="27:27">
      <c r="AA5532" s="158" t="s">
        <v>7903</v>
      </c>
    </row>
    <row r="5533" spans="27:27">
      <c r="AA5533" s="158" t="s">
        <v>7904</v>
      </c>
    </row>
    <row r="5534" spans="27:27">
      <c r="AA5534" s="158" t="s">
        <v>7905</v>
      </c>
    </row>
    <row r="5535" spans="27:27">
      <c r="AA5535" s="158" t="s">
        <v>7906</v>
      </c>
    </row>
    <row r="5536" spans="27:27">
      <c r="AA5536" s="158" t="s">
        <v>1936</v>
      </c>
    </row>
    <row r="5537" spans="27:27">
      <c r="AA5537" s="158" t="s">
        <v>3717</v>
      </c>
    </row>
    <row r="5538" spans="27:27">
      <c r="AA5538" s="158" t="s">
        <v>7907</v>
      </c>
    </row>
    <row r="5539" spans="27:27">
      <c r="AA5539" s="158" t="s">
        <v>7908</v>
      </c>
    </row>
    <row r="5540" spans="27:27">
      <c r="AA5540" s="158" t="s">
        <v>7909</v>
      </c>
    </row>
    <row r="5541" spans="27:27">
      <c r="AA5541" s="158" t="s">
        <v>7910</v>
      </c>
    </row>
    <row r="5542" spans="27:27">
      <c r="AA5542" s="158" t="s">
        <v>7911</v>
      </c>
    </row>
    <row r="5543" spans="27:27">
      <c r="AA5543" s="158" t="s">
        <v>7912</v>
      </c>
    </row>
    <row r="5544" spans="27:27">
      <c r="AA5544" s="158" t="s">
        <v>7913</v>
      </c>
    </row>
    <row r="5545" spans="27:27">
      <c r="AA5545" s="158" t="s">
        <v>7914</v>
      </c>
    </row>
    <row r="5546" spans="27:27">
      <c r="AA5546" s="158" t="s">
        <v>7915</v>
      </c>
    </row>
    <row r="5547" spans="27:27">
      <c r="AA5547" s="158" t="s">
        <v>7916</v>
      </c>
    </row>
    <row r="5548" spans="27:27">
      <c r="AA5548" s="158" t="s">
        <v>7917</v>
      </c>
    </row>
    <row r="5549" spans="27:27">
      <c r="AA5549" s="158" t="s">
        <v>7918</v>
      </c>
    </row>
    <row r="5550" spans="27:27">
      <c r="AA5550" s="158" t="s">
        <v>3718</v>
      </c>
    </row>
    <row r="5551" spans="27:27">
      <c r="AA5551" s="158" t="s">
        <v>759</v>
      </c>
    </row>
    <row r="5552" spans="27:27">
      <c r="AA5552" s="158" t="s">
        <v>7919</v>
      </c>
    </row>
    <row r="5553" spans="27:27">
      <c r="AA5553" s="158" t="s">
        <v>7920</v>
      </c>
    </row>
    <row r="5554" spans="27:27">
      <c r="AA5554" s="158" t="s">
        <v>7921</v>
      </c>
    </row>
    <row r="5555" spans="27:27">
      <c r="AA5555" s="158" t="s">
        <v>7922</v>
      </c>
    </row>
    <row r="5556" spans="27:27">
      <c r="AA5556" s="158" t="s">
        <v>7923</v>
      </c>
    </row>
    <row r="5557" spans="27:27">
      <c r="AA5557" s="158" t="s">
        <v>7924</v>
      </c>
    </row>
    <row r="5558" spans="27:27">
      <c r="AA5558" s="158" t="s">
        <v>7925</v>
      </c>
    </row>
    <row r="5559" spans="27:27">
      <c r="AA5559" s="158" t="s">
        <v>7926</v>
      </c>
    </row>
    <row r="5560" spans="27:27">
      <c r="AA5560" s="158" t="s">
        <v>7927</v>
      </c>
    </row>
    <row r="5561" spans="27:27">
      <c r="AA5561" s="158" t="s">
        <v>7928</v>
      </c>
    </row>
    <row r="5562" spans="27:27">
      <c r="AA5562" s="158" t="s">
        <v>7929</v>
      </c>
    </row>
    <row r="5563" spans="27:27">
      <c r="AA5563" s="158" t="s">
        <v>7930</v>
      </c>
    </row>
    <row r="5564" spans="27:27">
      <c r="AA5564" s="158" t="s">
        <v>7931</v>
      </c>
    </row>
    <row r="5565" spans="27:27">
      <c r="AA5565" s="158" t="s">
        <v>7932</v>
      </c>
    </row>
    <row r="5566" spans="27:27">
      <c r="AA5566" s="158" t="s">
        <v>7933</v>
      </c>
    </row>
    <row r="5567" spans="27:27">
      <c r="AA5567" s="158" t="s">
        <v>7934</v>
      </c>
    </row>
    <row r="5568" spans="27:27">
      <c r="AA5568" s="158" t="s">
        <v>7935</v>
      </c>
    </row>
    <row r="5569" spans="27:27">
      <c r="AA5569" s="158" t="s">
        <v>7936</v>
      </c>
    </row>
    <row r="5570" spans="27:27">
      <c r="AA5570" s="158" t="s">
        <v>7937</v>
      </c>
    </row>
    <row r="5571" spans="27:27">
      <c r="AA5571" s="158" t="s">
        <v>7938</v>
      </c>
    </row>
    <row r="5572" spans="27:27">
      <c r="AA5572" s="158" t="s">
        <v>7939</v>
      </c>
    </row>
    <row r="5573" spans="27:27">
      <c r="AA5573" s="158" t="s">
        <v>7940</v>
      </c>
    </row>
    <row r="5574" spans="27:27">
      <c r="AA5574" s="158" t="s">
        <v>7941</v>
      </c>
    </row>
    <row r="5575" spans="27:27">
      <c r="AA5575" s="158" t="s">
        <v>7942</v>
      </c>
    </row>
    <row r="5576" spans="27:27">
      <c r="AA5576" s="158" t="s">
        <v>7943</v>
      </c>
    </row>
    <row r="5577" spans="27:27">
      <c r="AA5577" s="158" t="s">
        <v>7944</v>
      </c>
    </row>
    <row r="5578" spans="27:27">
      <c r="AA5578" s="158" t="s">
        <v>7945</v>
      </c>
    </row>
    <row r="5579" spans="27:27">
      <c r="AA5579" s="158" t="s">
        <v>7946</v>
      </c>
    </row>
    <row r="5580" spans="27:27">
      <c r="AA5580" s="158" t="s">
        <v>7947</v>
      </c>
    </row>
    <row r="5581" spans="27:27">
      <c r="AA5581" s="158" t="s">
        <v>7948</v>
      </c>
    </row>
    <row r="5582" spans="27:27">
      <c r="AA5582" s="158" t="s">
        <v>7949</v>
      </c>
    </row>
    <row r="5583" spans="27:27">
      <c r="AA5583" s="158" t="s">
        <v>7950</v>
      </c>
    </row>
    <row r="5584" spans="27:27">
      <c r="AA5584" s="158" t="s">
        <v>1937</v>
      </c>
    </row>
    <row r="5585" spans="27:27">
      <c r="AA5585" s="158" t="s">
        <v>7951</v>
      </c>
    </row>
    <row r="5586" spans="27:27">
      <c r="AA5586" s="158" t="s">
        <v>7952</v>
      </c>
    </row>
    <row r="5587" spans="27:27">
      <c r="AA5587" s="158" t="s">
        <v>7953</v>
      </c>
    </row>
    <row r="5588" spans="27:27">
      <c r="AA5588" s="158" t="s">
        <v>7954</v>
      </c>
    </row>
    <row r="5589" spans="27:27">
      <c r="AA5589" s="158" t="s">
        <v>7955</v>
      </c>
    </row>
    <row r="5590" spans="27:27">
      <c r="AA5590" s="158" t="s">
        <v>1938</v>
      </c>
    </row>
    <row r="5591" spans="27:27">
      <c r="AA5591" s="158" t="s">
        <v>3719</v>
      </c>
    </row>
    <row r="5592" spans="27:27">
      <c r="AA5592" s="158" t="s">
        <v>7956</v>
      </c>
    </row>
    <row r="5593" spans="27:27">
      <c r="AA5593" s="158" t="s">
        <v>7957</v>
      </c>
    </row>
    <row r="5594" spans="27:27">
      <c r="AA5594" s="158" t="s">
        <v>7958</v>
      </c>
    </row>
    <row r="5595" spans="27:27">
      <c r="AA5595" s="158" t="s">
        <v>7959</v>
      </c>
    </row>
    <row r="5596" spans="27:27">
      <c r="AA5596" s="158" t="s">
        <v>1939</v>
      </c>
    </row>
    <row r="5597" spans="27:27">
      <c r="AA5597" s="158" t="s">
        <v>3720</v>
      </c>
    </row>
    <row r="5598" spans="27:27">
      <c r="AA5598" s="158" t="s">
        <v>1940</v>
      </c>
    </row>
    <row r="5599" spans="27:27">
      <c r="AA5599" s="158" t="s">
        <v>3721</v>
      </c>
    </row>
    <row r="5600" spans="27:27">
      <c r="AA5600" s="158" t="s">
        <v>7960</v>
      </c>
    </row>
    <row r="5601" spans="27:27">
      <c r="AA5601" s="158" t="s">
        <v>7961</v>
      </c>
    </row>
    <row r="5602" spans="27:27">
      <c r="AA5602" s="158" t="s">
        <v>7962</v>
      </c>
    </row>
    <row r="5603" spans="27:27">
      <c r="AA5603" s="158" t="s">
        <v>1941</v>
      </c>
    </row>
    <row r="5604" spans="27:27">
      <c r="AA5604" s="158" t="s">
        <v>3722</v>
      </c>
    </row>
    <row r="5605" spans="27:27">
      <c r="AA5605" s="158" t="s">
        <v>7963</v>
      </c>
    </row>
    <row r="5606" spans="27:27">
      <c r="AA5606" s="158" t="s">
        <v>7964</v>
      </c>
    </row>
    <row r="5607" spans="27:27">
      <c r="AA5607" s="158" t="s">
        <v>1942</v>
      </c>
    </row>
    <row r="5608" spans="27:27">
      <c r="AA5608" s="158" t="s">
        <v>3723</v>
      </c>
    </row>
    <row r="5609" spans="27:27">
      <c r="AA5609" s="158" t="s">
        <v>7965</v>
      </c>
    </row>
    <row r="5610" spans="27:27">
      <c r="AA5610" s="158" t="s">
        <v>7966</v>
      </c>
    </row>
    <row r="5611" spans="27:27">
      <c r="AA5611" s="158" t="s">
        <v>7967</v>
      </c>
    </row>
    <row r="5612" spans="27:27">
      <c r="AA5612" s="158" t="s">
        <v>1943</v>
      </c>
    </row>
    <row r="5613" spans="27:27">
      <c r="AA5613" s="158" t="s">
        <v>7968</v>
      </c>
    </row>
    <row r="5614" spans="27:27">
      <c r="AA5614" s="158" t="s">
        <v>3724</v>
      </c>
    </row>
    <row r="5615" spans="27:27">
      <c r="AA5615" s="158" t="s">
        <v>7969</v>
      </c>
    </row>
    <row r="5616" spans="27:27">
      <c r="AA5616" s="158" t="s">
        <v>7970</v>
      </c>
    </row>
    <row r="5617" spans="27:27">
      <c r="AA5617" s="158" t="s">
        <v>7971</v>
      </c>
    </row>
    <row r="5618" spans="27:27">
      <c r="AA5618" s="158" t="s">
        <v>7972</v>
      </c>
    </row>
    <row r="5619" spans="27:27">
      <c r="AA5619" s="158" t="s">
        <v>7973</v>
      </c>
    </row>
    <row r="5620" spans="27:27">
      <c r="AA5620" s="158" t="s">
        <v>7974</v>
      </c>
    </row>
    <row r="5621" spans="27:27">
      <c r="AA5621" s="158" t="s">
        <v>7975</v>
      </c>
    </row>
    <row r="5622" spans="27:27">
      <c r="AA5622" s="158" t="s">
        <v>7976</v>
      </c>
    </row>
    <row r="5623" spans="27:27">
      <c r="AA5623" s="158" t="s">
        <v>7977</v>
      </c>
    </row>
    <row r="5624" spans="27:27">
      <c r="AA5624" s="158" t="s">
        <v>7978</v>
      </c>
    </row>
    <row r="5625" spans="27:27">
      <c r="AA5625" s="158" t="s">
        <v>7979</v>
      </c>
    </row>
    <row r="5626" spans="27:27">
      <c r="AA5626" s="158" t="s">
        <v>7980</v>
      </c>
    </row>
    <row r="5627" spans="27:27">
      <c r="AA5627" s="158" t="s">
        <v>7981</v>
      </c>
    </row>
    <row r="5628" spans="27:27">
      <c r="AA5628" s="158" t="s">
        <v>7982</v>
      </c>
    </row>
    <row r="5629" spans="27:27">
      <c r="AA5629" s="158" t="s">
        <v>7983</v>
      </c>
    </row>
    <row r="5630" spans="27:27">
      <c r="AA5630" s="158" t="s">
        <v>7984</v>
      </c>
    </row>
    <row r="5631" spans="27:27">
      <c r="AA5631" s="158" t="s">
        <v>7985</v>
      </c>
    </row>
    <row r="5632" spans="27:27">
      <c r="AA5632" s="158" t="s">
        <v>7986</v>
      </c>
    </row>
    <row r="5633" spans="27:27">
      <c r="AA5633" s="158" t="s">
        <v>7987</v>
      </c>
    </row>
    <row r="5634" spans="27:27">
      <c r="AA5634" s="158" t="s">
        <v>7988</v>
      </c>
    </row>
    <row r="5635" spans="27:27">
      <c r="AA5635" s="158" t="s">
        <v>7989</v>
      </c>
    </row>
    <row r="5636" spans="27:27">
      <c r="AA5636" s="158" t="s">
        <v>7990</v>
      </c>
    </row>
    <row r="5637" spans="27:27">
      <c r="AA5637" s="158" t="s">
        <v>7991</v>
      </c>
    </row>
    <row r="5638" spans="27:27">
      <c r="AA5638" s="158" t="s">
        <v>7992</v>
      </c>
    </row>
    <row r="5639" spans="27:27">
      <c r="AA5639" s="158" t="s">
        <v>7993</v>
      </c>
    </row>
    <row r="5640" spans="27:27">
      <c r="AA5640" s="158" t="s">
        <v>7994</v>
      </c>
    </row>
    <row r="5641" spans="27:27">
      <c r="AA5641" s="158" t="s">
        <v>7995</v>
      </c>
    </row>
    <row r="5642" spans="27:27">
      <c r="AA5642" s="158" t="s">
        <v>7996</v>
      </c>
    </row>
    <row r="5643" spans="27:27">
      <c r="AA5643" s="158" t="s">
        <v>7997</v>
      </c>
    </row>
    <row r="5644" spans="27:27">
      <c r="AA5644" s="158" t="s">
        <v>7998</v>
      </c>
    </row>
    <row r="5645" spans="27:27">
      <c r="AA5645" s="158" t="s">
        <v>7999</v>
      </c>
    </row>
    <row r="5646" spans="27:27">
      <c r="AA5646" s="158" t="s">
        <v>8000</v>
      </c>
    </row>
    <row r="5647" spans="27:27">
      <c r="AA5647" s="158" t="s">
        <v>8001</v>
      </c>
    </row>
    <row r="5648" spans="27:27">
      <c r="AA5648" s="158" t="s">
        <v>8002</v>
      </c>
    </row>
    <row r="5649" spans="27:27">
      <c r="AA5649" s="158" t="s">
        <v>8003</v>
      </c>
    </row>
    <row r="5650" spans="27:27">
      <c r="AA5650" s="158" t="s">
        <v>8004</v>
      </c>
    </row>
    <row r="5651" spans="27:27">
      <c r="AA5651" s="158" t="s">
        <v>8005</v>
      </c>
    </row>
    <row r="5652" spans="27:27">
      <c r="AA5652" s="158" t="s">
        <v>8006</v>
      </c>
    </row>
    <row r="5653" spans="27:27">
      <c r="AA5653" s="158" t="s">
        <v>8007</v>
      </c>
    </row>
    <row r="5654" spans="27:27">
      <c r="AA5654" s="158" t="s">
        <v>3725</v>
      </c>
    </row>
    <row r="5655" spans="27:27">
      <c r="AA5655" s="158" t="s">
        <v>8008</v>
      </c>
    </row>
    <row r="5656" spans="27:27">
      <c r="AA5656" s="158" t="s">
        <v>8009</v>
      </c>
    </row>
    <row r="5657" spans="27:27">
      <c r="AA5657" s="158" t="s">
        <v>8010</v>
      </c>
    </row>
    <row r="5658" spans="27:27">
      <c r="AA5658" s="158" t="s">
        <v>8011</v>
      </c>
    </row>
    <row r="5659" spans="27:27">
      <c r="AA5659" s="158" t="s">
        <v>8012</v>
      </c>
    </row>
    <row r="5660" spans="27:27">
      <c r="AA5660" s="158" t="s">
        <v>8013</v>
      </c>
    </row>
    <row r="5661" spans="27:27">
      <c r="AA5661" s="158" t="s">
        <v>8014</v>
      </c>
    </row>
    <row r="5662" spans="27:27">
      <c r="AA5662" s="158" t="s">
        <v>8015</v>
      </c>
    </row>
    <row r="5663" spans="27:27">
      <c r="AA5663" s="158" t="s">
        <v>8016</v>
      </c>
    </row>
    <row r="5664" spans="27:27">
      <c r="AA5664" s="158" t="s">
        <v>8017</v>
      </c>
    </row>
    <row r="5665" spans="27:27">
      <c r="AA5665" s="158" t="s">
        <v>3726</v>
      </c>
    </row>
    <row r="5666" spans="27:27">
      <c r="AA5666" s="158" t="s">
        <v>1944</v>
      </c>
    </row>
    <row r="5667" spans="27:27">
      <c r="AA5667" s="158" t="s">
        <v>3727</v>
      </c>
    </row>
    <row r="5668" spans="27:27">
      <c r="AA5668" s="158" t="s">
        <v>8018</v>
      </c>
    </row>
    <row r="5669" spans="27:27">
      <c r="AA5669" s="158" t="s">
        <v>8019</v>
      </c>
    </row>
    <row r="5670" spans="27:27">
      <c r="AA5670" s="158" t="s">
        <v>8020</v>
      </c>
    </row>
    <row r="5671" spans="27:27">
      <c r="AA5671" s="158" t="s">
        <v>8021</v>
      </c>
    </row>
    <row r="5672" spans="27:27">
      <c r="AA5672" s="158" t="s">
        <v>8022</v>
      </c>
    </row>
    <row r="5673" spans="27:27">
      <c r="AA5673" s="158" t="s">
        <v>8023</v>
      </c>
    </row>
    <row r="5674" spans="27:27">
      <c r="AA5674" s="158" t="s">
        <v>8024</v>
      </c>
    </row>
    <row r="5675" spans="27:27">
      <c r="AA5675" s="158" t="s">
        <v>8025</v>
      </c>
    </row>
    <row r="5676" spans="27:27">
      <c r="AA5676" s="158" t="s">
        <v>8026</v>
      </c>
    </row>
    <row r="5677" spans="27:27">
      <c r="AA5677" s="158" t="s">
        <v>8027</v>
      </c>
    </row>
    <row r="5678" spans="27:27">
      <c r="AA5678" s="158" t="s">
        <v>8028</v>
      </c>
    </row>
    <row r="5679" spans="27:27">
      <c r="AA5679" s="158" t="s">
        <v>8029</v>
      </c>
    </row>
    <row r="5680" spans="27:27">
      <c r="AA5680" s="158" t="s">
        <v>8030</v>
      </c>
    </row>
    <row r="5681" spans="27:27">
      <c r="AA5681" s="158" t="s">
        <v>8031</v>
      </c>
    </row>
    <row r="5682" spans="27:27">
      <c r="AA5682" s="158" t="s">
        <v>8032</v>
      </c>
    </row>
    <row r="5683" spans="27:27">
      <c r="AA5683" s="158" t="s">
        <v>8033</v>
      </c>
    </row>
    <row r="5684" spans="27:27">
      <c r="AA5684" s="158" t="s">
        <v>8034</v>
      </c>
    </row>
    <row r="5685" spans="27:27">
      <c r="AA5685" s="158" t="s">
        <v>8035</v>
      </c>
    </row>
    <row r="5686" spans="27:27">
      <c r="AA5686" s="158" t="s">
        <v>8036</v>
      </c>
    </row>
    <row r="5687" spans="27:27">
      <c r="AA5687" s="158" t="s">
        <v>8037</v>
      </c>
    </row>
    <row r="5688" spans="27:27">
      <c r="AA5688" s="158" t="s">
        <v>8038</v>
      </c>
    </row>
    <row r="5689" spans="27:27">
      <c r="AA5689" s="158" t="s">
        <v>8039</v>
      </c>
    </row>
    <row r="5690" spans="27:27">
      <c r="AA5690" s="158" t="s">
        <v>1945</v>
      </c>
    </row>
    <row r="5691" spans="27:27">
      <c r="AA5691" s="158" t="s">
        <v>3728</v>
      </c>
    </row>
    <row r="5692" spans="27:27">
      <c r="AA5692" s="158" t="s">
        <v>8040</v>
      </c>
    </row>
    <row r="5693" spans="27:27">
      <c r="AA5693" s="158" t="s">
        <v>8041</v>
      </c>
    </row>
    <row r="5694" spans="27:27">
      <c r="AA5694" s="158" t="s">
        <v>8042</v>
      </c>
    </row>
    <row r="5695" spans="27:27">
      <c r="AA5695" s="158" t="s">
        <v>8043</v>
      </c>
    </row>
    <row r="5696" spans="27:27">
      <c r="AA5696" s="158" t="s">
        <v>8044</v>
      </c>
    </row>
    <row r="5697" spans="27:27">
      <c r="AA5697" s="158" t="s">
        <v>8045</v>
      </c>
    </row>
    <row r="5698" spans="27:27">
      <c r="AA5698" s="158" t="s">
        <v>8046</v>
      </c>
    </row>
    <row r="5699" spans="27:27">
      <c r="AA5699" s="158" t="s">
        <v>8047</v>
      </c>
    </row>
    <row r="5700" spans="27:27">
      <c r="AA5700" s="158" t="s">
        <v>8048</v>
      </c>
    </row>
    <row r="5701" spans="27:27">
      <c r="AA5701" s="158" t="s">
        <v>8049</v>
      </c>
    </row>
    <row r="5702" spans="27:27">
      <c r="AA5702" s="158" t="s">
        <v>8050</v>
      </c>
    </row>
    <row r="5703" spans="27:27">
      <c r="AA5703" s="158" t="s">
        <v>8051</v>
      </c>
    </row>
    <row r="5704" spans="27:27">
      <c r="AA5704" s="158" t="s">
        <v>8052</v>
      </c>
    </row>
    <row r="5705" spans="27:27">
      <c r="AA5705" s="158" t="s">
        <v>8053</v>
      </c>
    </row>
    <row r="5706" spans="27:27">
      <c r="AA5706" s="158" t="s">
        <v>8054</v>
      </c>
    </row>
    <row r="5707" spans="27:27">
      <c r="AA5707" s="158" t="s">
        <v>8055</v>
      </c>
    </row>
    <row r="5708" spans="27:27">
      <c r="AA5708" s="158" t="s">
        <v>8056</v>
      </c>
    </row>
    <row r="5709" spans="27:27">
      <c r="AA5709" s="158" t="s">
        <v>8057</v>
      </c>
    </row>
    <row r="5710" spans="27:27">
      <c r="AA5710" s="158" t="s">
        <v>8058</v>
      </c>
    </row>
    <row r="5711" spans="27:27">
      <c r="AA5711" s="158" t="s">
        <v>8059</v>
      </c>
    </row>
    <row r="5712" spans="27:27">
      <c r="AA5712" s="158" t="s">
        <v>8060</v>
      </c>
    </row>
    <row r="5713" spans="27:27">
      <c r="AA5713" s="158" t="s">
        <v>8061</v>
      </c>
    </row>
    <row r="5714" spans="27:27">
      <c r="AA5714" s="158" t="s">
        <v>3729</v>
      </c>
    </row>
    <row r="5715" spans="27:27">
      <c r="AA5715" s="158" t="s">
        <v>8062</v>
      </c>
    </row>
    <row r="5716" spans="27:27">
      <c r="AA5716" s="158" t="s">
        <v>8063</v>
      </c>
    </row>
    <row r="5717" spans="27:27">
      <c r="AA5717" s="158" t="s">
        <v>8064</v>
      </c>
    </row>
    <row r="5718" spans="27:27">
      <c r="AA5718" s="158" t="s">
        <v>8065</v>
      </c>
    </row>
    <row r="5719" spans="27:27">
      <c r="AA5719" s="158" t="s">
        <v>8066</v>
      </c>
    </row>
    <row r="5720" spans="27:27">
      <c r="AA5720" s="158" t="s">
        <v>8067</v>
      </c>
    </row>
    <row r="5721" spans="27:27">
      <c r="AA5721" s="158" t="s">
        <v>8068</v>
      </c>
    </row>
    <row r="5722" spans="27:27">
      <c r="AA5722" s="158" t="s">
        <v>8069</v>
      </c>
    </row>
    <row r="5723" spans="27:27">
      <c r="AA5723" s="158" t="s">
        <v>8070</v>
      </c>
    </row>
    <row r="5724" spans="27:27">
      <c r="AA5724" s="158" t="s">
        <v>8071</v>
      </c>
    </row>
    <row r="5725" spans="27:27">
      <c r="AA5725" s="158" t="s">
        <v>8072</v>
      </c>
    </row>
    <row r="5726" spans="27:27">
      <c r="AA5726" s="158" t="s">
        <v>8073</v>
      </c>
    </row>
    <row r="5727" spans="27:27">
      <c r="AA5727" s="158" t="s">
        <v>8074</v>
      </c>
    </row>
    <row r="5728" spans="27:27">
      <c r="AA5728" s="158" t="s">
        <v>8075</v>
      </c>
    </row>
    <row r="5729" spans="27:27">
      <c r="AA5729" s="158" t="s">
        <v>8076</v>
      </c>
    </row>
    <row r="5730" spans="27:27">
      <c r="AA5730" s="158" t="s">
        <v>8077</v>
      </c>
    </row>
    <row r="5731" spans="27:27">
      <c r="AA5731" s="158" t="s">
        <v>8078</v>
      </c>
    </row>
    <row r="5732" spans="27:27">
      <c r="AA5732" s="158" t="s">
        <v>1946</v>
      </c>
    </row>
    <row r="5733" spans="27:27">
      <c r="AA5733" s="158" t="s">
        <v>3730</v>
      </c>
    </row>
    <row r="5734" spans="27:27">
      <c r="AA5734" s="158" t="s">
        <v>8079</v>
      </c>
    </row>
    <row r="5735" spans="27:27">
      <c r="AA5735" s="158" t="s">
        <v>8080</v>
      </c>
    </row>
    <row r="5736" spans="27:27">
      <c r="AA5736" s="158" t="s">
        <v>8081</v>
      </c>
    </row>
    <row r="5737" spans="27:27">
      <c r="AA5737" s="158" t="s">
        <v>8082</v>
      </c>
    </row>
    <row r="5738" spans="27:27">
      <c r="AA5738" s="158" t="s">
        <v>8083</v>
      </c>
    </row>
    <row r="5739" spans="27:27">
      <c r="AA5739" s="158" t="s">
        <v>1947</v>
      </c>
    </row>
    <row r="5740" spans="27:27">
      <c r="AA5740" s="158" t="s">
        <v>3731</v>
      </c>
    </row>
    <row r="5741" spans="27:27">
      <c r="AA5741" s="158" t="s">
        <v>1948</v>
      </c>
    </row>
    <row r="5742" spans="27:27">
      <c r="AA5742" s="158" t="s">
        <v>8084</v>
      </c>
    </row>
    <row r="5743" spans="27:27">
      <c r="AA5743" s="158" t="s">
        <v>8085</v>
      </c>
    </row>
    <row r="5744" spans="27:27">
      <c r="AA5744" s="158" t="s">
        <v>8086</v>
      </c>
    </row>
    <row r="5745" spans="27:27">
      <c r="AA5745" s="158" t="s">
        <v>8087</v>
      </c>
    </row>
    <row r="5746" spans="27:27">
      <c r="AA5746" s="158" t="s">
        <v>760</v>
      </c>
    </row>
    <row r="5747" spans="27:27">
      <c r="AA5747" s="158" t="s">
        <v>761</v>
      </c>
    </row>
    <row r="5748" spans="27:27">
      <c r="AA5748" s="158" t="s">
        <v>3732</v>
      </c>
    </row>
    <row r="5749" spans="27:27">
      <c r="AA5749" s="158" t="s">
        <v>8088</v>
      </c>
    </row>
    <row r="5750" spans="27:27">
      <c r="AA5750" s="158" t="s">
        <v>8089</v>
      </c>
    </row>
    <row r="5751" spans="27:27">
      <c r="AA5751" s="158" t="s">
        <v>8090</v>
      </c>
    </row>
    <row r="5752" spans="27:27">
      <c r="AA5752" s="158" t="s">
        <v>8091</v>
      </c>
    </row>
    <row r="5753" spans="27:27">
      <c r="AA5753" s="158" t="s">
        <v>8092</v>
      </c>
    </row>
    <row r="5754" spans="27:27">
      <c r="AA5754" s="158" t="s">
        <v>1949</v>
      </c>
    </row>
    <row r="5755" spans="27:27">
      <c r="AA5755" s="158" t="s">
        <v>8093</v>
      </c>
    </row>
    <row r="5756" spans="27:27">
      <c r="AA5756" s="158" t="s">
        <v>8094</v>
      </c>
    </row>
    <row r="5757" spans="27:27">
      <c r="AA5757" s="158" t="s">
        <v>8095</v>
      </c>
    </row>
    <row r="5758" spans="27:27">
      <c r="AA5758" s="158" t="s">
        <v>8096</v>
      </c>
    </row>
    <row r="5759" spans="27:27">
      <c r="AA5759" s="158" t="s">
        <v>8097</v>
      </c>
    </row>
    <row r="5760" spans="27:27">
      <c r="AA5760" s="158" t="s">
        <v>8098</v>
      </c>
    </row>
    <row r="5761" spans="27:27">
      <c r="AA5761" s="158" t="s">
        <v>8099</v>
      </c>
    </row>
    <row r="5762" spans="27:27">
      <c r="AA5762" s="158" t="s">
        <v>8100</v>
      </c>
    </row>
    <row r="5763" spans="27:27">
      <c r="AA5763" s="158" t="s">
        <v>8101</v>
      </c>
    </row>
    <row r="5764" spans="27:27">
      <c r="AA5764" s="158" t="s">
        <v>8102</v>
      </c>
    </row>
    <row r="5765" spans="27:27">
      <c r="AA5765" s="158" t="s">
        <v>8103</v>
      </c>
    </row>
    <row r="5766" spans="27:27">
      <c r="AA5766" s="158" t="s">
        <v>3733</v>
      </c>
    </row>
    <row r="5767" spans="27:27">
      <c r="AA5767" s="158" t="s">
        <v>8104</v>
      </c>
    </row>
    <row r="5768" spans="27:27">
      <c r="AA5768" s="158" t="s">
        <v>8105</v>
      </c>
    </row>
    <row r="5769" spans="27:27">
      <c r="AA5769" s="158" t="s">
        <v>762</v>
      </c>
    </row>
    <row r="5770" spans="27:27">
      <c r="AA5770" s="158" t="s">
        <v>763</v>
      </c>
    </row>
    <row r="5771" spans="27:27">
      <c r="AA5771" s="158" t="s">
        <v>764</v>
      </c>
    </row>
    <row r="5772" spans="27:27">
      <c r="AA5772" s="158" t="s">
        <v>8106</v>
      </c>
    </row>
    <row r="5773" spans="27:27">
      <c r="AA5773" s="158" t="s">
        <v>3734</v>
      </c>
    </row>
    <row r="5774" spans="27:27">
      <c r="AA5774" s="158" t="s">
        <v>765</v>
      </c>
    </row>
    <row r="5775" spans="27:27">
      <c r="AA5775" s="158" t="s">
        <v>8107</v>
      </c>
    </row>
    <row r="5776" spans="27:27">
      <c r="AA5776" s="158" t="s">
        <v>8108</v>
      </c>
    </row>
    <row r="5777" spans="27:27">
      <c r="AA5777" s="158" t="s">
        <v>8109</v>
      </c>
    </row>
    <row r="5778" spans="27:27">
      <c r="AA5778" s="158" t="s">
        <v>8110</v>
      </c>
    </row>
    <row r="5779" spans="27:27">
      <c r="AA5779" s="158" t="s">
        <v>8111</v>
      </c>
    </row>
    <row r="5780" spans="27:27">
      <c r="AA5780" s="158" t="s">
        <v>3735</v>
      </c>
    </row>
    <row r="5781" spans="27:27">
      <c r="AA5781" s="158" t="s">
        <v>8112</v>
      </c>
    </row>
    <row r="5782" spans="27:27">
      <c r="AA5782" s="158" t="s">
        <v>8113</v>
      </c>
    </row>
    <row r="5783" spans="27:27">
      <c r="AA5783" s="158" t="s">
        <v>8114</v>
      </c>
    </row>
    <row r="5784" spans="27:27">
      <c r="AA5784" s="158" t="s">
        <v>8115</v>
      </c>
    </row>
    <row r="5785" spans="27:27">
      <c r="AA5785" s="158" t="s">
        <v>8116</v>
      </c>
    </row>
    <row r="5786" spans="27:27">
      <c r="AA5786" s="158" t="s">
        <v>8117</v>
      </c>
    </row>
    <row r="5787" spans="27:27">
      <c r="AA5787" s="158" t="s">
        <v>8118</v>
      </c>
    </row>
    <row r="5788" spans="27:27">
      <c r="AA5788" s="158" t="s">
        <v>8119</v>
      </c>
    </row>
    <row r="5789" spans="27:27">
      <c r="AA5789" s="158" t="s">
        <v>8120</v>
      </c>
    </row>
    <row r="5790" spans="27:27">
      <c r="AA5790" s="158" t="s">
        <v>8121</v>
      </c>
    </row>
    <row r="5791" spans="27:27">
      <c r="AA5791" s="158" t="s">
        <v>8122</v>
      </c>
    </row>
    <row r="5792" spans="27:27">
      <c r="AA5792" s="158" t="s">
        <v>8123</v>
      </c>
    </row>
    <row r="5793" spans="27:27">
      <c r="AA5793" s="158" t="s">
        <v>8124</v>
      </c>
    </row>
    <row r="5794" spans="27:27">
      <c r="AA5794" s="158" t="s">
        <v>8125</v>
      </c>
    </row>
    <row r="5795" spans="27:27">
      <c r="AA5795" s="158" t="s">
        <v>8126</v>
      </c>
    </row>
    <row r="5796" spans="27:27">
      <c r="AA5796" s="158" t="s">
        <v>8127</v>
      </c>
    </row>
    <row r="5797" spans="27:27">
      <c r="AA5797" s="158" t="s">
        <v>8128</v>
      </c>
    </row>
    <row r="5798" spans="27:27">
      <c r="AA5798" s="158" t="s">
        <v>8129</v>
      </c>
    </row>
    <row r="5799" spans="27:27">
      <c r="AA5799" s="158" t="s">
        <v>8130</v>
      </c>
    </row>
    <row r="5800" spans="27:27">
      <c r="AA5800" s="158" t="s">
        <v>8131</v>
      </c>
    </row>
    <row r="5801" spans="27:27">
      <c r="AA5801" s="158" t="s">
        <v>8132</v>
      </c>
    </row>
    <row r="5802" spans="27:27">
      <c r="AA5802" s="158" t="s">
        <v>8133</v>
      </c>
    </row>
    <row r="5803" spans="27:27">
      <c r="AA5803" s="158" t="s">
        <v>8134</v>
      </c>
    </row>
    <row r="5804" spans="27:27">
      <c r="AA5804" s="158" t="s">
        <v>8135</v>
      </c>
    </row>
    <row r="5805" spans="27:27">
      <c r="AA5805" s="158" t="s">
        <v>8136</v>
      </c>
    </row>
    <row r="5806" spans="27:27">
      <c r="AA5806" s="158" t="s">
        <v>766</v>
      </c>
    </row>
    <row r="5807" spans="27:27">
      <c r="AA5807" s="158" t="s">
        <v>767</v>
      </c>
    </row>
    <row r="5808" spans="27:27">
      <c r="AA5808" s="158" t="s">
        <v>8137</v>
      </c>
    </row>
    <row r="5809" spans="27:27">
      <c r="AA5809" s="158" t="s">
        <v>8138</v>
      </c>
    </row>
    <row r="5810" spans="27:27">
      <c r="AA5810" s="158" t="s">
        <v>768</v>
      </c>
    </row>
    <row r="5811" spans="27:27">
      <c r="AA5811" s="158" t="s">
        <v>3736</v>
      </c>
    </row>
    <row r="5812" spans="27:27">
      <c r="AA5812" s="158" t="s">
        <v>8139</v>
      </c>
    </row>
    <row r="5813" spans="27:27">
      <c r="AA5813" s="158" t="s">
        <v>8140</v>
      </c>
    </row>
    <row r="5814" spans="27:27">
      <c r="AA5814" s="158" t="s">
        <v>8141</v>
      </c>
    </row>
    <row r="5815" spans="27:27">
      <c r="AA5815" s="158" t="s">
        <v>8142</v>
      </c>
    </row>
    <row r="5816" spans="27:27">
      <c r="AA5816" s="158" t="s">
        <v>8143</v>
      </c>
    </row>
    <row r="5817" spans="27:27">
      <c r="AA5817" s="158" t="s">
        <v>769</v>
      </c>
    </row>
    <row r="5818" spans="27:27">
      <c r="AA5818" s="158" t="s">
        <v>770</v>
      </c>
    </row>
    <row r="5819" spans="27:27">
      <c r="AA5819" s="158" t="s">
        <v>771</v>
      </c>
    </row>
    <row r="5820" spans="27:27">
      <c r="AA5820" s="158" t="s">
        <v>772</v>
      </c>
    </row>
    <row r="5821" spans="27:27">
      <c r="AA5821" s="158" t="s">
        <v>773</v>
      </c>
    </row>
    <row r="5822" spans="27:27">
      <c r="AA5822" s="158" t="s">
        <v>774</v>
      </c>
    </row>
    <row r="5823" spans="27:27">
      <c r="AA5823" s="158" t="s">
        <v>775</v>
      </c>
    </row>
    <row r="5824" spans="27:27">
      <c r="AA5824" s="158" t="s">
        <v>8144</v>
      </c>
    </row>
    <row r="5825" spans="27:27">
      <c r="AA5825" s="158" t="s">
        <v>8145</v>
      </c>
    </row>
    <row r="5826" spans="27:27">
      <c r="AA5826" s="158" t="s">
        <v>8146</v>
      </c>
    </row>
    <row r="5827" spans="27:27">
      <c r="AA5827" s="158" t="s">
        <v>8147</v>
      </c>
    </row>
    <row r="5828" spans="27:27">
      <c r="AA5828" s="158" t="s">
        <v>8148</v>
      </c>
    </row>
    <row r="5829" spans="27:27">
      <c r="AA5829" s="158" t="s">
        <v>1950</v>
      </c>
    </row>
    <row r="5830" spans="27:27">
      <c r="AA5830" s="158" t="s">
        <v>8149</v>
      </c>
    </row>
    <row r="5831" spans="27:27">
      <c r="AA5831" s="158" t="s">
        <v>776</v>
      </c>
    </row>
    <row r="5832" spans="27:27">
      <c r="AA5832" s="158" t="s">
        <v>8150</v>
      </c>
    </row>
    <row r="5833" spans="27:27">
      <c r="AA5833" s="158" t="s">
        <v>8151</v>
      </c>
    </row>
    <row r="5834" spans="27:27">
      <c r="AA5834" s="158" t="s">
        <v>8152</v>
      </c>
    </row>
    <row r="5835" spans="27:27">
      <c r="AA5835" s="158" t="s">
        <v>8153</v>
      </c>
    </row>
    <row r="5836" spans="27:27">
      <c r="AA5836" s="158" t="s">
        <v>8154</v>
      </c>
    </row>
    <row r="5837" spans="27:27">
      <c r="AA5837" s="158" t="s">
        <v>8155</v>
      </c>
    </row>
    <row r="5838" spans="27:27">
      <c r="AA5838" s="158" t="s">
        <v>8156</v>
      </c>
    </row>
    <row r="5839" spans="27:27">
      <c r="AA5839" s="158" t="s">
        <v>8157</v>
      </c>
    </row>
    <row r="5840" spans="27:27">
      <c r="AA5840" s="158" t="s">
        <v>8158</v>
      </c>
    </row>
    <row r="5841" spans="27:27">
      <c r="AA5841" s="158" t="s">
        <v>8159</v>
      </c>
    </row>
    <row r="5842" spans="27:27">
      <c r="AA5842" s="158" t="s">
        <v>777</v>
      </c>
    </row>
    <row r="5843" spans="27:27">
      <c r="AA5843" s="158" t="s">
        <v>8160</v>
      </c>
    </row>
    <row r="5844" spans="27:27">
      <c r="AA5844" s="158" t="s">
        <v>8161</v>
      </c>
    </row>
    <row r="5845" spans="27:27">
      <c r="AA5845" s="158" t="s">
        <v>8162</v>
      </c>
    </row>
    <row r="5846" spans="27:27">
      <c r="AA5846" s="158" t="s">
        <v>8163</v>
      </c>
    </row>
    <row r="5847" spans="27:27">
      <c r="AA5847" s="158" t="s">
        <v>8164</v>
      </c>
    </row>
    <row r="5848" spans="27:27">
      <c r="AA5848" s="158" t="s">
        <v>8165</v>
      </c>
    </row>
    <row r="5849" spans="27:27">
      <c r="AA5849" s="158" t="s">
        <v>8166</v>
      </c>
    </row>
    <row r="5850" spans="27:27">
      <c r="AA5850" s="158" t="s">
        <v>8167</v>
      </c>
    </row>
    <row r="5851" spans="27:27">
      <c r="AA5851" s="158" t="s">
        <v>8168</v>
      </c>
    </row>
    <row r="5852" spans="27:27">
      <c r="AA5852" s="158" t="s">
        <v>8169</v>
      </c>
    </row>
    <row r="5853" spans="27:27">
      <c r="AA5853" s="158" t="s">
        <v>8170</v>
      </c>
    </row>
    <row r="5854" spans="27:27">
      <c r="AA5854" s="158" t="s">
        <v>8171</v>
      </c>
    </row>
    <row r="5855" spans="27:27">
      <c r="AA5855" s="158" t="s">
        <v>8172</v>
      </c>
    </row>
    <row r="5856" spans="27:27">
      <c r="AA5856" s="158" t="s">
        <v>8173</v>
      </c>
    </row>
    <row r="5857" spans="27:27">
      <c r="AA5857" s="158" t="s">
        <v>8174</v>
      </c>
    </row>
    <row r="5858" spans="27:27">
      <c r="AA5858" s="158" t="s">
        <v>778</v>
      </c>
    </row>
    <row r="5859" spans="27:27">
      <c r="AA5859" s="158" t="s">
        <v>779</v>
      </c>
    </row>
    <row r="5860" spans="27:27">
      <c r="AA5860" s="158" t="s">
        <v>8175</v>
      </c>
    </row>
    <row r="5861" spans="27:27">
      <c r="AA5861" s="158" t="s">
        <v>8176</v>
      </c>
    </row>
    <row r="5862" spans="27:27">
      <c r="AA5862" s="158" t="s">
        <v>8177</v>
      </c>
    </row>
    <row r="5863" spans="27:27">
      <c r="AA5863" s="158" t="s">
        <v>8178</v>
      </c>
    </row>
    <row r="5864" spans="27:27">
      <c r="AA5864" s="158" t="s">
        <v>8179</v>
      </c>
    </row>
    <row r="5865" spans="27:27">
      <c r="AA5865" s="158" t="s">
        <v>8180</v>
      </c>
    </row>
    <row r="5866" spans="27:27">
      <c r="AA5866" s="158" t="s">
        <v>8181</v>
      </c>
    </row>
    <row r="5867" spans="27:27">
      <c r="AA5867" s="158" t="s">
        <v>8182</v>
      </c>
    </row>
    <row r="5868" spans="27:27">
      <c r="AA5868" s="158" t="s">
        <v>8183</v>
      </c>
    </row>
    <row r="5869" spans="27:27">
      <c r="AA5869" s="158" t="s">
        <v>8184</v>
      </c>
    </row>
    <row r="5870" spans="27:27">
      <c r="AA5870" s="158" t="s">
        <v>8185</v>
      </c>
    </row>
    <row r="5871" spans="27:27">
      <c r="AA5871" s="158" t="s">
        <v>780</v>
      </c>
    </row>
    <row r="5872" spans="27:27">
      <c r="AA5872" s="158" t="s">
        <v>8186</v>
      </c>
    </row>
    <row r="5873" spans="27:27">
      <c r="AA5873" s="158" t="s">
        <v>781</v>
      </c>
    </row>
    <row r="5874" spans="27:27">
      <c r="AA5874" s="158" t="s">
        <v>8187</v>
      </c>
    </row>
    <row r="5875" spans="27:27">
      <c r="AA5875" s="158" t="s">
        <v>8188</v>
      </c>
    </row>
    <row r="5876" spans="27:27">
      <c r="AA5876" s="158" t="s">
        <v>8189</v>
      </c>
    </row>
    <row r="5877" spans="27:27">
      <c r="AA5877" s="158" t="s">
        <v>8190</v>
      </c>
    </row>
    <row r="5878" spans="27:27">
      <c r="AA5878" s="158" t="s">
        <v>8191</v>
      </c>
    </row>
    <row r="5879" spans="27:27">
      <c r="AA5879" s="158" t="s">
        <v>8192</v>
      </c>
    </row>
    <row r="5880" spans="27:27">
      <c r="AA5880" s="158" t="s">
        <v>8193</v>
      </c>
    </row>
    <row r="5881" spans="27:27">
      <c r="AA5881" s="158" t="s">
        <v>8194</v>
      </c>
    </row>
    <row r="5882" spans="27:27">
      <c r="AA5882" s="158" t="s">
        <v>8195</v>
      </c>
    </row>
    <row r="5883" spans="27:27">
      <c r="AA5883" s="158" t="s">
        <v>8196</v>
      </c>
    </row>
    <row r="5884" spans="27:27">
      <c r="AA5884" s="158" t="s">
        <v>8197</v>
      </c>
    </row>
    <row r="5885" spans="27:27">
      <c r="AA5885" s="158" t="s">
        <v>8198</v>
      </c>
    </row>
    <row r="5886" spans="27:27">
      <c r="AA5886" s="158" t="s">
        <v>8199</v>
      </c>
    </row>
    <row r="5887" spans="27:27">
      <c r="AA5887" s="158" t="s">
        <v>8200</v>
      </c>
    </row>
    <row r="5888" spans="27:27">
      <c r="AA5888" s="158" t="s">
        <v>8201</v>
      </c>
    </row>
    <row r="5889" spans="27:27">
      <c r="AA5889" s="158" t="s">
        <v>8202</v>
      </c>
    </row>
    <row r="5890" spans="27:27">
      <c r="AA5890" s="158" t="s">
        <v>8203</v>
      </c>
    </row>
    <row r="5891" spans="27:27">
      <c r="AA5891" s="158" t="s">
        <v>8204</v>
      </c>
    </row>
    <row r="5892" spans="27:27">
      <c r="AA5892" s="158" t="s">
        <v>8205</v>
      </c>
    </row>
    <row r="5893" spans="27:27">
      <c r="AA5893" s="158" t="s">
        <v>8206</v>
      </c>
    </row>
    <row r="5894" spans="27:27">
      <c r="AA5894" s="158" t="s">
        <v>8207</v>
      </c>
    </row>
    <row r="5895" spans="27:27">
      <c r="AA5895" s="158" t="s">
        <v>8208</v>
      </c>
    </row>
    <row r="5896" spans="27:27">
      <c r="AA5896" s="158" t="s">
        <v>3737</v>
      </c>
    </row>
    <row r="5897" spans="27:27">
      <c r="AA5897" s="158" t="s">
        <v>3738</v>
      </c>
    </row>
    <row r="5898" spans="27:27">
      <c r="AA5898" s="158" t="s">
        <v>1951</v>
      </c>
    </row>
    <row r="5899" spans="27:27">
      <c r="AA5899" s="158" t="s">
        <v>8209</v>
      </c>
    </row>
    <row r="5900" spans="27:27">
      <c r="AA5900" s="158" t="s">
        <v>8210</v>
      </c>
    </row>
    <row r="5901" spans="27:27">
      <c r="AA5901" s="158" t="s">
        <v>1952</v>
      </c>
    </row>
    <row r="5902" spans="27:27">
      <c r="AA5902" s="158" t="s">
        <v>8211</v>
      </c>
    </row>
    <row r="5903" spans="27:27">
      <c r="AA5903" s="158" t="s">
        <v>8212</v>
      </c>
    </row>
    <row r="5904" spans="27:27">
      <c r="AA5904" s="158" t="s">
        <v>1953</v>
      </c>
    </row>
    <row r="5905" spans="27:27">
      <c r="AA5905" s="158" t="s">
        <v>3739</v>
      </c>
    </row>
    <row r="5906" spans="27:27">
      <c r="AA5906" s="158" t="s">
        <v>1954</v>
      </c>
    </row>
    <row r="5907" spans="27:27">
      <c r="AA5907" s="158" t="s">
        <v>3740</v>
      </c>
    </row>
    <row r="5908" spans="27:27">
      <c r="AA5908" s="158" t="s">
        <v>8213</v>
      </c>
    </row>
    <row r="5909" spans="27:27">
      <c r="AA5909" s="158" t="s">
        <v>8214</v>
      </c>
    </row>
    <row r="5910" spans="27:27">
      <c r="AA5910" s="158" t="s">
        <v>1955</v>
      </c>
    </row>
    <row r="5911" spans="27:27">
      <c r="AA5911" s="158" t="s">
        <v>3741</v>
      </c>
    </row>
    <row r="5912" spans="27:27">
      <c r="AA5912" s="158" t="s">
        <v>8215</v>
      </c>
    </row>
    <row r="5913" spans="27:27">
      <c r="AA5913" s="158" t="s">
        <v>8216</v>
      </c>
    </row>
    <row r="5914" spans="27:27">
      <c r="AA5914" s="158" t="s">
        <v>1956</v>
      </c>
    </row>
    <row r="5915" spans="27:27">
      <c r="AA5915" s="158" t="s">
        <v>3742</v>
      </c>
    </row>
    <row r="5916" spans="27:27">
      <c r="AA5916" s="158" t="s">
        <v>8217</v>
      </c>
    </row>
    <row r="5917" spans="27:27">
      <c r="AA5917" s="158" t="s">
        <v>8218</v>
      </c>
    </row>
    <row r="5918" spans="27:27">
      <c r="AA5918" s="158" t="s">
        <v>8219</v>
      </c>
    </row>
    <row r="5919" spans="27:27">
      <c r="AA5919" s="158" t="s">
        <v>8220</v>
      </c>
    </row>
    <row r="5920" spans="27:27">
      <c r="AA5920" s="158" t="s">
        <v>8221</v>
      </c>
    </row>
    <row r="5921" spans="27:27">
      <c r="AA5921" s="158" t="s">
        <v>8222</v>
      </c>
    </row>
    <row r="5922" spans="27:27">
      <c r="AA5922" s="158" t="s">
        <v>8223</v>
      </c>
    </row>
    <row r="5923" spans="27:27">
      <c r="AA5923" s="158" t="s">
        <v>8224</v>
      </c>
    </row>
    <row r="5924" spans="27:27">
      <c r="AA5924" s="158" t="s">
        <v>8225</v>
      </c>
    </row>
    <row r="5925" spans="27:27">
      <c r="AA5925" s="158" t="s">
        <v>8226</v>
      </c>
    </row>
    <row r="5926" spans="27:27">
      <c r="AA5926" s="158" t="s">
        <v>8227</v>
      </c>
    </row>
    <row r="5927" spans="27:27">
      <c r="AA5927" s="158" t="s">
        <v>8228</v>
      </c>
    </row>
    <row r="5928" spans="27:27">
      <c r="AA5928" s="158" t="s">
        <v>8229</v>
      </c>
    </row>
    <row r="5929" spans="27:27">
      <c r="AA5929" s="158" t="s">
        <v>8230</v>
      </c>
    </row>
    <row r="5930" spans="27:27">
      <c r="AA5930" s="158" t="s">
        <v>8231</v>
      </c>
    </row>
    <row r="5931" spans="27:27">
      <c r="AA5931" s="158" t="s">
        <v>8232</v>
      </c>
    </row>
    <row r="5932" spans="27:27">
      <c r="AA5932" s="158" t="s">
        <v>8233</v>
      </c>
    </row>
    <row r="5933" spans="27:27">
      <c r="AA5933" s="158" t="s">
        <v>8234</v>
      </c>
    </row>
    <row r="5934" spans="27:27">
      <c r="AA5934" s="158" t="s">
        <v>8235</v>
      </c>
    </row>
    <row r="5935" spans="27:27">
      <c r="AA5935" s="158" t="s">
        <v>8236</v>
      </c>
    </row>
    <row r="5936" spans="27:27">
      <c r="AA5936" s="158" t="s">
        <v>8237</v>
      </c>
    </row>
    <row r="5937" spans="27:27">
      <c r="AA5937" s="158" t="s">
        <v>8238</v>
      </c>
    </row>
    <row r="5938" spans="27:27">
      <c r="AA5938" s="158" t="s">
        <v>8239</v>
      </c>
    </row>
    <row r="5939" spans="27:27">
      <c r="AA5939" s="158" t="s">
        <v>8240</v>
      </c>
    </row>
    <row r="5940" spans="27:27">
      <c r="AA5940" s="158" t="s">
        <v>8241</v>
      </c>
    </row>
    <row r="5941" spans="27:27">
      <c r="AA5941" s="158" t="s">
        <v>8242</v>
      </c>
    </row>
    <row r="5942" spans="27:27">
      <c r="AA5942" s="158" t="s">
        <v>8243</v>
      </c>
    </row>
    <row r="5943" spans="27:27">
      <c r="AA5943" s="158" t="s">
        <v>8244</v>
      </c>
    </row>
    <row r="5944" spans="27:27">
      <c r="AA5944" s="158" t="s">
        <v>8245</v>
      </c>
    </row>
    <row r="5945" spans="27:27">
      <c r="AA5945" s="158" t="s">
        <v>8246</v>
      </c>
    </row>
    <row r="5946" spans="27:27">
      <c r="AA5946" s="158" t="s">
        <v>8247</v>
      </c>
    </row>
    <row r="5947" spans="27:27">
      <c r="AA5947" s="158" t="s">
        <v>8248</v>
      </c>
    </row>
    <row r="5948" spans="27:27">
      <c r="AA5948" s="158" t="s">
        <v>8249</v>
      </c>
    </row>
    <row r="5949" spans="27:27">
      <c r="AA5949" s="158" t="s">
        <v>8250</v>
      </c>
    </row>
    <row r="5950" spans="27:27">
      <c r="AA5950" s="158" t="s">
        <v>8251</v>
      </c>
    </row>
    <row r="5951" spans="27:27">
      <c r="AA5951" s="158" t="s">
        <v>8252</v>
      </c>
    </row>
    <row r="5952" spans="27:27">
      <c r="AA5952" s="158" t="s">
        <v>8253</v>
      </c>
    </row>
    <row r="5953" spans="27:27">
      <c r="AA5953" s="158" t="s">
        <v>8254</v>
      </c>
    </row>
    <row r="5954" spans="27:27">
      <c r="AA5954" s="158" t="s">
        <v>8255</v>
      </c>
    </row>
    <row r="5955" spans="27:27">
      <c r="AA5955" s="158" t="s">
        <v>8256</v>
      </c>
    </row>
    <row r="5956" spans="27:27">
      <c r="AA5956" s="158" t="s">
        <v>8257</v>
      </c>
    </row>
    <row r="5957" spans="27:27">
      <c r="AA5957" s="158" t="s">
        <v>8258</v>
      </c>
    </row>
    <row r="5958" spans="27:27">
      <c r="AA5958" s="158" t="s">
        <v>8259</v>
      </c>
    </row>
    <row r="5959" spans="27:27">
      <c r="AA5959" s="158" t="s">
        <v>8260</v>
      </c>
    </row>
    <row r="5960" spans="27:27">
      <c r="AA5960" s="158" t="s">
        <v>8261</v>
      </c>
    </row>
    <row r="5961" spans="27:27">
      <c r="AA5961" s="158" t="s">
        <v>8262</v>
      </c>
    </row>
    <row r="5962" spans="27:27">
      <c r="AA5962" s="158" t="s">
        <v>8263</v>
      </c>
    </row>
    <row r="5963" spans="27:27">
      <c r="AA5963" s="158" t="s">
        <v>8264</v>
      </c>
    </row>
    <row r="5964" spans="27:27">
      <c r="AA5964" s="158" t="s">
        <v>8265</v>
      </c>
    </row>
    <row r="5965" spans="27:27">
      <c r="AA5965" s="158" t="s">
        <v>8266</v>
      </c>
    </row>
    <row r="5966" spans="27:27">
      <c r="AA5966" s="158" t="s">
        <v>8267</v>
      </c>
    </row>
    <row r="5967" spans="27:27">
      <c r="AA5967" s="158" t="s">
        <v>8268</v>
      </c>
    </row>
    <row r="5968" spans="27:27">
      <c r="AA5968" s="158" t="s">
        <v>8269</v>
      </c>
    </row>
    <row r="5969" spans="27:27">
      <c r="AA5969" s="158" t="s">
        <v>8270</v>
      </c>
    </row>
    <row r="5970" spans="27:27">
      <c r="AA5970" s="158" t="s">
        <v>8271</v>
      </c>
    </row>
    <row r="5971" spans="27:27">
      <c r="AA5971" s="158" t="s">
        <v>8272</v>
      </c>
    </row>
    <row r="5972" spans="27:27">
      <c r="AA5972" s="158" t="s">
        <v>8273</v>
      </c>
    </row>
    <row r="5973" spans="27:27">
      <c r="AA5973" s="158" t="s">
        <v>8274</v>
      </c>
    </row>
    <row r="5974" spans="27:27">
      <c r="AA5974" s="158" t="s">
        <v>8275</v>
      </c>
    </row>
    <row r="5975" spans="27:27">
      <c r="AA5975" s="158" t="s">
        <v>8276</v>
      </c>
    </row>
    <row r="5976" spans="27:27">
      <c r="AA5976" s="158" t="s">
        <v>8277</v>
      </c>
    </row>
    <row r="5977" spans="27:27">
      <c r="AA5977" s="158" t="s">
        <v>8278</v>
      </c>
    </row>
    <row r="5978" spans="27:27">
      <c r="AA5978" s="158" t="s">
        <v>8279</v>
      </c>
    </row>
    <row r="5979" spans="27:27">
      <c r="AA5979" s="158" t="s">
        <v>8280</v>
      </c>
    </row>
    <row r="5980" spans="27:27">
      <c r="AA5980" s="158" t="s">
        <v>8281</v>
      </c>
    </row>
    <row r="5981" spans="27:27">
      <c r="AA5981" s="158" t="s">
        <v>8282</v>
      </c>
    </row>
    <row r="5982" spans="27:27">
      <c r="AA5982" s="158" t="s">
        <v>8283</v>
      </c>
    </row>
    <row r="5983" spans="27:27">
      <c r="AA5983" s="158" t="s">
        <v>8284</v>
      </c>
    </row>
    <row r="5984" spans="27:27">
      <c r="AA5984" s="158" t="s">
        <v>8285</v>
      </c>
    </row>
    <row r="5985" spans="27:27">
      <c r="AA5985" s="158" t="s">
        <v>8286</v>
      </c>
    </row>
    <row r="5986" spans="27:27">
      <c r="AA5986" s="158" t="s">
        <v>8287</v>
      </c>
    </row>
    <row r="5987" spans="27:27">
      <c r="AA5987" s="158" t="s">
        <v>1957</v>
      </c>
    </row>
    <row r="5988" spans="27:27">
      <c r="AA5988" s="158" t="s">
        <v>3743</v>
      </c>
    </row>
    <row r="5989" spans="27:27">
      <c r="AA5989" s="158" t="s">
        <v>8288</v>
      </c>
    </row>
    <row r="5990" spans="27:27">
      <c r="AA5990" s="158" t="s">
        <v>8289</v>
      </c>
    </row>
    <row r="5991" spans="27:27">
      <c r="AA5991" s="158" t="s">
        <v>8290</v>
      </c>
    </row>
    <row r="5992" spans="27:27">
      <c r="AA5992" s="158" t="s">
        <v>8291</v>
      </c>
    </row>
    <row r="5993" spans="27:27">
      <c r="AA5993" s="158" t="s">
        <v>8292</v>
      </c>
    </row>
    <row r="5994" spans="27:27">
      <c r="AA5994" s="158" t="s">
        <v>8293</v>
      </c>
    </row>
    <row r="5995" spans="27:27">
      <c r="AA5995" s="158" t="s">
        <v>8294</v>
      </c>
    </row>
    <row r="5996" spans="27:27">
      <c r="AA5996" s="158" t="s">
        <v>8295</v>
      </c>
    </row>
    <row r="5997" spans="27:27">
      <c r="AA5997" s="158" t="s">
        <v>8296</v>
      </c>
    </row>
    <row r="5998" spans="27:27">
      <c r="AA5998" s="158" t="s">
        <v>8297</v>
      </c>
    </row>
    <row r="5999" spans="27:27">
      <c r="AA5999" s="158" t="s">
        <v>8298</v>
      </c>
    </row>
    <row r="6000" spans="27:27">
      <c r="AA6000" s="158" t="s">
        <v>8299</v>
      </c>
    </row>
    <row r="6001" spans="27:27">
      <c r="AA6001" s="158" t="s">
        <v>8300</v>
      </c>
    </row>
    <row r="6002" spans="27:27">
      <c r="AA6002" s="158" t="s">
        <v>8301</v>
      </c>
    </row>
    <row r="6003" spans="27:27">
      <c r="AA6003" s="158" t="s">
        <v>8302</v>
      </c>
    </row>
    <row r="6004" spans="27:27">
      <c r="AA6004" s="158" t="s">
        <v>8303</v>
      </c>
    </row>
    <row r="6005" spans="27:27">
      <c r="AA6005" s="158" t="s">
        <v>8304</v>
      </c>
    </row>
    <row r="6006" spans="27:27">
      <c r="AA6006" s="158" t="s">
        <v>8305</v>
      </c>
    </row>
    <row r="6007" spans="27:27">
      <c r="AA6007" s="158" t="s">
        <v>8306</v>
      </c>
    </row>
    <row r="6008" spans="27:27">
      <c r="AA6008" s="158" t="s">
        <v>8307</v>
      </c>
    </row>
    <row r="6009" spans="27:27">
      <c r="AA6009" s="158" t="s">
        <v>8308</v>
      </c>
    </row>
    <row r="6010" spans="27:27">
      <c r="AA6010" s="158" t="s">
        <v>8309</v>
      </c>
    </row>
    <row r="6011" spans="27:27">
      <c r="AA6011" s="158" t="s">
        <v>782</v>
      </c>
    </row>
    <row r="6012" spans="27:27">
      <c r="AA6012" s="158" t="s">
        <v>8310</v>
      </c>
    </row>
    <row r="6013" spans="27:27">
      <c r="AA6013" s="158" t="s">
        <v>8311</v>
      </c>
    </row>
    <row r="6014" spans="27:27">
      <c r="AA6014" s="158" t="s">
        <v>8312</v>
      </c>
    </row>
    <row r="6015" spans="27:27">
      <c r="AA6015" s="158" t="s">
        <v>783</v>
      </c>
    </row>
    <row r="6016" spans="27:27">
      <c r="AA6016" s="158" t="s">
        <v>8313</v>
      </c>
    </row>
    <row r="6017" spans="27:27">
      <c r="AA6017" s="158" t="s">
        <v>8314</v>
      </c>
    </row>
    <row r="6018" spans="27:27">
      <c r="AA6018" s="158" t="s">
        <v>784</v>
      </c>
    </row>
    <row r="6019" spans="27:27">
      <c r="AA6019" s="158" t="s">
        <v>8315</v>
      </c>
    </row>
    <row r="6020" spans="27:27">
      <c r="AA6020" s="158" t="s">
        <v>8316</v>
      </c>
    </row>
    <row r="6021" spans="27:27">
      <c r="AA6021" s="158" t="s">
        <v>8317</v>
      </c>
    </row>
    <row r="6022" spans="27:27">
      <c r="AA6022" s="158" t="s">
        <v>785</v>
      </c>
    </row>
    <row r="6023" spans="27:27">
      <c r="AA6023" s="158" t="s">
        <v>8318</v>
      </c>
    </row>
    <row r="6024" spans="27:27">
      <c r="AA6024" s="158" t="s">
        <v>8319</v>
      </c>
    </row>
    <row r="6025" spans="27:27">
      <c r="AA6025" s="158" t="s">
        <v>786</v>
      </c>
    </row>
    <row r="6026" spans="27:27">
      <c r="AA6026" s="158" t="s">
        <v>787</v>
      </c>
    </row>
    <row r="6027" spans="27:27">
      <c r="AA6027" s="158" t="s">
        <v>8320</v>
      </c>
    </row>
    <row r="6028" spans="27:27">
      <c r="AA6028" s="158" t="s">
        <v>8321</v>
      </c>
    </row>
    <row r="6029" spans="27:27">
      <c r="AA6029" s="158" t="s">
        <v>8322</v>
      </c>
    </row>
    <row r="6030" spans="27:27">
      <c r="AA6030" s="158" t="s">
        <v>8323</v>
      </c>
    </row>
    <row r="6031" spans="27:27">
      <c r="AA6031" s="158" t="s">
        <v>8324</v>
      </c>
    </row>
    <row r="6032" spans="27:27">
      <c r="AA6032" s="158" t="s">
        <v>8325</v>
      </c>
    </row>
    <row r="6033" spans="27:27">
      <c r="AA6033" s="158" t="s">
        <v>8326</v>
      </c>
    </row>
    <row r="6034" spans="27:27">
      <c r="AA6034" s="158" t="s">
        <v>8327</v>
      </c>
    </row>
    <row r="6035" spans="27:27">
      <c r="AA6035" s="158" t="s">
        <v>8328</v>
      </c>
    </row>
    <row r="6036" spans="27:27">
      <c r="AA6036" s="158" t="s">
        <v>8329</v>
      </c>
    </row>
    <row r="6037" spans="27:27">
      <c r="AA6037" s="158" t="s">
        <v>8330</v>
      </c>
    </row>
    <row r="6038" spans="27:27">
      <c r="AA6038" s="158" t="s">
        <v>8331</v>
      </c>
    </row>
    <row r="6039" spans="27:27">
      <c r="AA6039" s="158" t="s">
        <v>8332</v>
      </c>
    </row>
    <row r="6040" spans="27:27">
      <c r="AA6040" s="158" t="s">
        <v>8333</v>
      </c>
    </row>
    <row r="6041" spans="27:27">
      <c r="AA6041" s="158" t="s">
        <v>8334</v>
      </c>
    </row>
    <row r="6042" spans="27:27">
      <c r="AA6042" s="158" t="s">
        <v>1958</v>
      </c>
    </row>
    <row r="6043" spans="27:27">
      <c r="AA6043" s="158" t="s">
        <v>3744</v>
      </c>
    </row>
    <row r="6044" spans="27:27">
      <c r="AA6044" s="158" t="s">
        <v>8335</v>
      </c>
    </row>
    <row r="6045" spans="27:27">
      <c r="AA6045" s="158" t="s">
        <v>8336</v>
      </c>
    </row>
    <row r="6046" spans="27:27">
      <c r="AA6046" s="158" t="s">
        <v>8337</v>
      </c>
    </row>
    <row r="6047" spans="27:27">
      <c r="AA6047" s="158" t="s">
        <v>8338</v>
      </c>
    </row>
    <row r="6048" spans="27:27">
      <c r="AA6048" s="158" t="s">
        <v>8339</v>
      </c>
    </row>
    <row r="6049" spans="27:27">
      <c r="AA6049" s="158" t="s">
        <v>8340</v>
      </c>
    </row>
    <row r="6050" spans="27:27">
      <c r="AA6050" s="158" t="s">
        <v>1959</v>
      </c>
    </row>
    <row r="6051" spans="27:27">
      <c r="AA6051" s="158" t="s">
        <v>3745</v>
      </c>
    </row>
    <row r="6052" spans="27:27">
      <c r="AA6052" s="158" t="s">
        <v>8341</v>
      </c>
    </row>
    <row r="6053" spans="27:27">
      <c r="AA6053" s="158" t="s">
        <v>8342</v>
      </c>
    </row>
    <row r="6054" spans="27:27">
      <c r="AA6054" s="158" t="s">
        <v>8343</v>
      </c>
    </row>
    <row r="6055" spans="27:27">
      <c r="AA6055" s="158" t="s">
        <v>8344</v>
      </c>
    </row>
    <row r="6056" spans="27:27">
      <c r="AA6056" s="158" t="s">
        <v>1960</v>
      </c>
    </row>
    <row r="6057" spans="27:27">
      <c r="AA6057" s="158" t="s">
        <v>8345</v>
      </c>
    </row>
    <row r="6058" spans="27:27">
      <c r="AA6058" s="158" t="s">
        <v>8346</v>
      </c>
    </row>
    <row r="6059" spans="27:27">
      <c r="AA6059" s="158" t="s">
        <v>1961</v>
      </c>
    </row>
    <row r="6060" spans="27:27">
      <c r="AA6060" s="158" t="s">
        <v>1962</v>
      </c>
    </row>
    <row r="6061" spans="27:27">
      <c r="AA6061" s="158" t="s">
        <v>1963</v>
      </c>
    </row>
    <row r="6062" spans="27:27">
      <c r="AA6062" s="158" t="s">
        <v>1964</v>
      </c>
    </row>
    <row r="6063" spans="27:27">
      <c r="AA6063" s="158" t="s">
        <v>8347</v>
      </c>
    </row>
    <row r="6064" spans="27:27">
      <c r="AA6064" s="158" t="s">
        <v>1965</v>
      </c>
    </row>
    <row r="6065" spans="27:27">
      <c r="AA6065" s="158" t="s">
        <v>1966</v>
      </c>
    </row>
    <row r="6066" spans="27:27">
      <c r="AA6066" s="158" t="s">
        <v>8348</v>
      </c>
    </row>
    <row r="6067" spans="27:27">
      <c r="AA6067" s="158" t="s">
        <v>8349</v>
      </c>
    </row>
    <row r="6068" spans="27:27">
      <c r="AA6068" s="158" t="s">
        <v>8350</v>
      </c>
    </row>
    <row r="6069" spans="27:27">
      <c r="AA6069" s="158" t="s">
        <v>8351</v>
      </c>
    </row>
    <row r="6070" spans="27:27">
      <c r="AA6070" s="158" t="s">
        <v>8352</v>
      </c>
    </row>
    <row r="6071" spans="27:27">
      <c r="AA6071" s="158" t="s">
        <v>8353</v>
      </c>
    </row>
    <row r="6072" spans="27:27">
      <c r="AA6072" s="158" t="s">
        <v>1967</v>
      </c>
    </row>
    <row r="6073" spans="27:27">
      <c r="AA6073" s="158" t="s">
        <v>3746</v>
      </c>
    </row>
    <row r="6074" spans="27:27">
      <c r="AA6074" s="158" t="s">
        <v>8354</v>
      </c>
    </row>
    <row r="6075" spans="27:27">
      <c r="AA6075" s="158" t="s">
        <v>1968</v>
      </c>
    </row>
    <row r="6076" spans="27:27">
      <c r="AA6076" s="158" t="s">
        <v>8355</v>
      </c>
    </row>
    <row r="6077" spans="27:27">
      <c r="AA6077" s="158" t="s">
        <v>8356</v>
      </c>
    </row>
    <row r="6078" spans="27:27">
      <c r="AA6078" s="158" t="s">
        <v>8357</v>
      </c>
    </row>
    <row r="6079" spans="27:27">
      <c r="AA6079" s="158" t="s">
        <v>8358</v>
      </c>
    </row>
    <row r="6080" spans="27:27">
      <c r="AA6080" s="158" t="s">
        <v>8359</v>
      </c>
    </row>
    <row r="6081" spans="27:27">
      <c r="AA6081" s="158" t="s">
        <v>1969</v>
      </c>
    </row>
    <row r="6082" spans="27:27">
      <c r="AA6082" s="158" t="s">
        <v>3747</v>
      </c>
    </row>
    <row r="6083" spans="27:27">
      <c r="AA6083" s="158" t="s">
        <v>8360</v>
      </c>
    </row>
    <row r="6084" spans="27:27">
      <c r="AA6084" s="158" t="s">
        <v>8361</v>
      </c>
    </row>
    <row r="6085" spans="27:27">
      <c r="AA6085" s="158" t="s">
        <v>1970</v>
      </c>
    </row>
    <row r="6086" spans="27:27">
      <c r="AA6086" s="158" t="s">
        <v>8362</v>
      </c>
    </row>
    <row r="6087" spans="27:27">
      <c r="AA6087" s="158" t="s">
        <v>1971</v>
      </c>
    </row>
    <row r="6088" spans="27:27">
      <c r="AA6088" s="158" t="s">
        <v>8363</v>
      </c>
    </row>
    <row r="6089" spans="27:27">
      <c r="AA6089" s="158" t="s">
        <v>8364</v>
      </c>
    </row>
    <row r="6090" spans="27:27">
      <c r="AA6090" s="158" t="s">
        <v>8365</v>
      </c>
    </row>
    <row r="6091" spans="27:27">
      <c r="AA6091" s="158" t="s">
        <v>1972</v>
      </c>
    </row>
    <row r="6092" spans="27:27">
      <c r="AA6092" s="158" t="s">
        <v>8366</v>
      </c>
    </row>
    <row r="6093" spans="27:27">
      <c r="AA6093" s="158" t="s">
        <v>1973</v>
      </c>
    </row>
    <row r="6094" spans="27:27">
      <c r="AA6094" s="158" t="s">
        <v>8367</v>
      </c>
    </row>
    <row r="6095" spans="27:27">
      <c r="AA6095" s="158" t="s">
        <v>8368</v>
      </c>
    </row>
    <row r="6096" spans="27:27">
      <c r="AA6096" s="158" t="s">
        <v>1974</v>
      </c>
    </row>
    <row r="6097" spans="27:27">
      <c r="AA6097" s="158" t="s">
        <v>8369</v>
      </c>
    </row>
    <row r="6098" spans="27:27">
      <c r="AA6098" s="158" t="s">
        <v>8370</v>
      </c>
    </row>
    <row r="6099" spans="27:27">
      <c r="AA6099" s="158" t="s">
        <v>8371</v>
      </c>
    </row>
    <row r="6100" spans="27:27">
      <c r="AA6100" s="158" t="s">
        <v>8372</v>
      </c>
    </row>
    <row r="6101" spans="27:27">
      <c r="AA6101" s="158" t="s">
        <v>8373</v>
      </c>
    </row>
    <row r="6102" spans="27:27">
      <c r="AA6102" s="158" t="s">
        <v>1975</v>
      </c>
    </row>
    <row r="6103" spans="27:27">
      <c r="AA6103" s="158" t="s">
        <v>8374</v>
      </c>
    </row>
    <row r="6104" spans="27:27">
      <c r="AA6104" s="158" t="s">
        <v>8375</v>
      </c>
    </row>
    <row r="6105" spans="27:27">
      <c r="AA6105" s="158" t="s">
        <v>8376</v>
      </c>
    </row>
    <row r="6106" spans="27:27">
      <c r="AA6106" s="158" t="s">
        <v>8377</v>
      </c>
    </row>
    <row r="6107" spans="27:27">
      <c r="AA6107" s="158" t="s">
        <v>1976</v>
      </c>
    </row>
    <row r="6108" spans="27:27">
      <c r="AA6108" s="158" t="s">
        <v>8378</v>
      </c>
    </row>
    <row r="6109" spans="27:27">
      <c r="AA6109" s="158" t="s">
        <v>8379</v>
      </c>
    </row>
    <row r="6110" spans="27:27">
      <c r="AA6110" s="158" t="s">
        <v>8380</v>
      </c>
    </row>
    <row r="6111" spans="27:27">
      <c r="AA6111" s="158" t="s">
        <v>1977</v>
      </c>
    </row>
    <row r="6112" spans="27:27">
      <c r="AA6112" s="158" t="s">
        <v>3748</v>
      </c>
    </row>
    <row r="6113" spans="27:27">
      <c r="AA6113" s="158" t="s">
        <v>8381</v>
      </c>
    </row>
    <row r="6114" spans="27:27">
      <c r="AA6114" s="158" t="s">
        <v>8382</v>
      </c>
    </row>
    <row r="6115" spans="27:27">
      <c r="AA6115" s="158" t="s">
        <v>1978</v>
      </c>
    </row>
    <row r="6116" spans="27:27">
      <c r="AA6116" s="158" t="s">
        <v>8383</v>
      </c>
    </row>
    <row r="6117" spans="27:27">
      <c r="AA6117" s="158" t="s">
        <v>1979</v>
      </c>
    </row>
    <row r="6118" spans="27:27">
      <c r="AA6118" s="158" t="s">
        <v>8384</v>
      </c>
    </row>
    <row r="6119" spans="27:27">
      <c r="AA6119" s="158" t="s">
        <v>8385</v>
      </c>
    </row>
    <row r="6120" spans="27:27">
      <c r="AA6120" s="158" t="s">
        <v>8386</v>
      </c>
    </row>
    <row r="6121" spans="27:27">
      <c r="AA6121" s="158" t="s">
        <v>1980</v>
      </c>
    </row>
    <row r="6122" spans="27:27">
      <c r="AA6122" s="158" t="s">
        <v>8387</v>
      </c>
    </row>
    <row r="6123" spans="27:27">
      <c r="AA6123" s="158" t="s">
        <v>1981</v>
      </c>
    </row>
    <row r="6124" spans="27:27">
      <c r="AA6124" s="158" t="s">
        <v>8388</v>
      </c>
    </row>
    <row r="6125" spans="27:27">
      <c r="AA6125" s="158" t="s">
        <v>8389</v>
      </c>
    </row>
    <row r="6126" spans="27:27">
      <c r="AA6126" s="158" t="s">
        <v>1982</v>
      </c>
    </row>
    <row r="6127" spans="27:27">
      <c r="AA6127" s="158" t="s">
        <v>8390</v>
      </c>
    </row>
    <row r="6128" spans="27:27">
      <c r="AA6128" s="158" t="s">
        <v>8391</v>
      </c>
    </row>
    <row r="6129" spans="27:27">
      <c r="AA6129" s="158" t="s">
        <v>8392</v>
      </c>
    </row>
    <row r="6130" spans="27:27">
      <c r="AA6130" s="158" t="s">
        <v>8393</v>
      </c>
    </row>
    <row r="6131" spans="27:27">
      <c r="AA6131" s="158" t="s">
        <v>8394</v>
      </c>
    </row>
    <row r="6132" spans="27:27">
      <c r="AA6132" s="158" t="s">
        <v>1983</v>
      </c>
    </row>
    <row r="6133" spans="27:27">
      <c r="AA6133" s="158" t="s">
        <v>8395</v>
      </c>
    </row>
    <row r="6134" spans="27:27">
      <c r="AA6134" s="158" t="s">
        <v>8396</v>
      </c>
    </row>
    <row r="6135" spans="27:27">
      <c r="AA6135" s="158" t="s">
        <v>8397</v>
      </c>
    </row>
    <row r="6136" spans="27:27">
      <c r="AA6136" s="158" t="s">
        <v>8398</v>
      </c>
    </row>
    <row r="6137" spans="27:27">
      <c r="AA6137" s="158" t="s">
        <v>1984</v>
      </c>
    </row>
    <row r="6138" spans="27:27">
      <c r="AA6138" s="158" t="s">
        <v>8399</v>
      </c>
    </row>
    <row r="6139" spans="27:27">
      <c r="AA6139" s="158" t="s">
        <v>1985</v>
      </c>
    </row>
    <row r="6140" spans="27:27">
      <c r="AA6140" s="158" t="s">
        <v>8400</v>
      </c>
    </row>
    <row r="6141" spans="27:27">
      <c r="AA6141" s="158" t="s">
        <v>1986</v>
      </c>
    </row>
    <row r="6142" spans="27:27">
      <c r="AA6142" s="158" t="s">
        <v>8401</v>
      </c>
    </row>
    <row r="6143" spans="27:27">
      <c r="AA6143" s="158" t="s">
        <v>8402</v>
      </c>
    </row>
    <row r="6144" spans="27:27">
      <c r="AA6144" s="158" t="s">
        <v>1987</v>
      </c>
    </row>
    <row r="6145" spans="27:27">
      <c r="AA6145" s="158" t="s">
        <v>3749</v>
      </c>
    </row>
    <row r="6146" spans="27:27">
      <c r="AA6146" s="158" t="s">
        <v>1988</v>
      </c>
    </row>
    <row r="6147" spans="27:27">
      <c r="AA6147" s="158" t="s">
        <v>8403</v>
      </c>
    </row>
    <row r="6148" spans="27:27">
      <c r="AA6148" s="158" t="s">
        <v>8404</v>
      </c>
    </row>
    <row r="6149" spans="27:27">
      <c r="AA6149" s="158" t="s">
        <v>8405</v>
      </c>
    </row>
    <row r="6150" spans="27:27">
      <c r="AA6150" s="158" t="s">
        <v>8406</v>
      </c>
    </row>
    <row r="6151" spans="27:27">
      <c r="AA6151" s="158" t="s">
        <v>1989</v>
      </c>
    </row>
    <row r="6152" spans="27:27">
      <c r="AA6152" s="158" t="s">
        <v>8407</v>
      </c>
    </row>
    <row r="6153" spans="27:27">
      <c r="AA6153" s="158" t="s">
        <v>1990</v>
      </c>
    </row>
    <row r="6154" spans="27:27">
      <c r="AA6154" s="158" t="s">
        <v>8408</v>
      </c>
    </row>
    <row r="6155" spans="27:27">
      <c r="AA6155" s="158" t="s">
        <v>8409</v>
      </c>
    </row>
    <row r="6156" spans="27:27">
      <c r="AA6156" s="158" t="s">
        <v>8410</v>
      </c>
    </row>
    <row r="6157" spans="27:27">
      <c r="AA6157" s="158" t="s">
        <v>8411</v>
      </c>
    </row>
    <row r="6158" spans="27:27">
      <c r="AA6158" s="158" t="s">
        <v>1991</v>
      </c>
    </row>
    <row r="6159" spans="27:27">
      <c r="AA6159" s="158" t="s">
        <v>8412</v>
      </c>
    </row>
    <row r="6160" spans="27:27">
      <c r="AA6160" s="158" t="s">
        <v>1992</v>
      </c>
    </row>
    <row r="6161" spans="27:27">
      <c r="AA6161" s="158" t="s">
        <v>8413</v>
      </c>
    </row>
    <row r="6162" spans="27:27">
      <c r="AA6162" s="158" t="s">
        <v>1993</v>
      </c>
    </row>
    <row r="6163" spans="27:27">
      <c r="AA6163" s="158" t="s">
        <v>8414</v>
      </c>
    </row>
    <row r="6164" spans="27:27">
      <c r="AA6164" s="158" t="s">
        <v>8415</v>
      </c>
    </row>
    <row r="6165" spans="27:27">
      <c r="AA6165" s="158" t="s">
        <v>8416</v>
      </c>
    </row>
    <row r="6166" spans="27:27">
      <c r="AA6166" s="158" t="s">
        <v>8417</v>
      </c>
    </row>
    <row r="6167" spans="27:27">
      <c r="AA6167" s="158" t="s">
        <v>8418</v>
      </c>
    </row>
    <row r="6168" spans="27:27">
      <c r="AA6168" s="158" t="s">
        <v>1994</v>
      </c>
    </row>
    <row r="6169" spans="27:27">
      <c r="AA6169" s="158" t="s">
        <v>8419</v>
      </c>
    </row>
    <row r="6170" spans="27:27">
      <c r="AA6170" s="158" t="s">
        <v>1995</v>
      </c>
    </row>
    <row r="6171" spans="27:27">
      <c r="AA6171" s="158" t="s">
        <v>8420</v>
      </c>
    </row>
    <row r="6172" spans="27:27">
      <c r="AA6172" s="158" t="s">
        <v>8421</v>
      </c>
    </row>
    <row r="6173" spans="27:27">
      <c r="AA6173" s="158" t="s">
        <v>8422</v>
      </c>
    </row>
    <row r="6174" spans="27:27">
      <c r="AA6174" s="158" t="s">
        <v>8423</v>
      </c>
    </row>
    <row r="6175" spans="27:27">
      <c r="AA6175" s="158" t="s">
        <v>1996</v>
      </c>
    </row>
    <row r="6176" spans="27:27">
      <c r="AA6176" s="158" t="s">
        <v>8424</v>
      </c>
    </row>
    <row r="6177" spans="27:27">
      <c r="AA6177" s="158" t="s">
        <v>8425</v>
      </c>
    </row>
    <row r="6178" spans="27:27">
      <c r="AA6178" s="158" t="s">
        <v>8426</v>
      </c>
    </row>
    <row r="6179" spans="27:27">
      <c r="AA6179" s="158" t="s">
        <v>8427</v>
      </c>
    </row>
    <row r="6180" spans="27:27">
      <c r="AA6180" s="158" t="s">
        <v>1997</v>
      </c>
    </row>
    <row r="6181" spans="27:27">
      <c r="AA6181" s="158" t="s">
        <v>8428</v>
      </c>
    </row>
    <row r="6182" spans="27:27">
      <c r="AA6182" s="158" t="s">
        <v>1998</v>
      </c>
    </row>
    <row r="6183" spans="27:27">
      <c r="AA6183" s="158" t="s">
        <v>8429</v>
      </c>
    </row>
    <row r="6184" spans="27:27">
      <c r="AA6184" s="158" t="s">
        <v>8430</v>
      </c>
    </row>
    <row r="6185" spans="27:27">
      <c r="AA6185" s="158" t="s">
        <v>8431</v>
      </c>
    </row>
    <row r="6186" spans="27:27">
      <c r="AA6186" s="158" t="s">
        <v>8432</v>
      </c>
    </row>
    <row r="6187" spans="27:27">
      <c r="AA6187" s="158" t="s">
        <v>8433</v>
      </c>
    </row>
    <row r="6188" spans="27:27">
      <c r="AA6188" s="158" t="s">
        <v>8434</v>
      </c>
    </row>
    <row r="6189" spans="27:27">
      <c r="AA6189" s="158" t="s">
        <v>8435</v>
      </c>
    </row>
    <row r="6190" spans="27:27">
      <c r="AA6190" s="158" t="s">
        <v>8436</v>
      </c>
    </row>
    <row r="6191" spans="27:27">
      <c r="AA6191" s="158" t="s">
        <v>8437</v>
      </c>
    </row>
    <row r="6192" spans="27:27">
      <c r="AA6192" s="158" t="s">
        <v>8438</v>
      </c>
    </row>
    <row r="6193" spans="27:27">
      <c r="AA6193" s="158" t="s">
        <v>8439</v>
      </c>
    </row>
    <row r="6194" spans="27:27">
      <c r="AA6194" s="158" t="s">
        <v>8440</v>
      </c>
    </row>
    <row r="6195" spans="27:27">
      <c r="AA6195" s="158" t="s">
        <v>8441</v>
      </c>
    </row>
    <row r="6196" spans="27:27">
      <c r="AA6196" s="158" t="s">
        <v>8442</v>
      </c>
    </row>
    <row r="6197" spans="27:27">
      <c r="AA6197" s="158" t="s">
        <v>8443</v>
      </c>
    </row>
    <row r="6198" spans="27:27">
      <c r="AA6198" s="158" t="s">
        <v>1999</v>
      </c>
    </row>
    <row r="6199" spans="27:27">
      <c r="AA6199" s="158" t="s">
        <v>8444</v>
      </c>
    </row>
    <row r="6200" spans="27:27">
      <c r="AA6200" s="158" t="s">
        <v>8445</v>
      </c>
    </row>
    <row r="6201" spans="27:27">
      <c r="AA6201" s="158" t="s">
        <v>8446</v>
      </c>
    </row>
    <row r="6202" spans="27:27">
      <c r="AA6202" s="158" t="s">
        <v>8447</v>
      </c>
    </row>
    <row r="6203" spans="27:27">
      <c r="AA6203" s="158" t="s">
        <v>8448</v>
      </c>
    </row>
    <row r="6204" spans="27:27">
      <c r="AA6204" s="158" t="s">
        <v>8449</v>
      </c>
    </row>
    <row r="6205" spans="27:27">
      <c r="AA6205" s="158" t="s">
        <v>8450</v>
      </c>
    </row>
    <row r="6206" spans="27:27">
      <c r="AA6206" s="158" t="s">
        <v>8451</v>
      </c>
    </row>
    <row r="6207" spans="27:27">
      <c r="AA6207" s="158" t="s">
        <v>8452</v>
      </c>
    </row>
    <row r="6208" spans="27:27">
      <c r="AA6208" s="158" t="s">
        <v>8453</v>
      </c>
    </row>
    <row r="6209" spans="27:27">
      <c r="AA6209" s="158" t="s">
        <v>2000</v>
      </c>
    </row>
    <row r="6210" spans="27:27">
      <c r="AA6210" s="158" t="s">
        <v>8454</v>
      </c>
    </row>
    <row r="6211" spans="27:27">
      <c r="AA6211" s="158" t="s">
        <v>8455</v>
      </c>
    </row>
    <row r="6212" spans="27:27">
      <c r="AA6212" s="158" t="s">
        <v>8456</v>
      </c>
    </row>
    <row r="6213" spans="27:27">
      <c r="AA6213" s="158" t="s">
        <v>8457</v>
      </c>
    </row>
    <row r="6214" spans="27:27">
      <c r="AA6214" s="158" t="s">
        <v>2001</v>
      </c>
    </row>
    <row r="6215" spans="27:27">
      <c r="AA6215" s="158" t="s">
        <v>2002</v>
      </c>
    </row>
    <row r="6216" spans="27:27">
      <c r="AA6216" s="158" t="s">
        <v>8458</v>
      </c>
    </row>
    <row r="6217" spans="27:27">
      <c r="AA6217" s="158" t="s">
        <v>8459</v>
      </c>
    </row>
    <row r="6218" spans="27:27">
      <c r="AA6218" s="158" t="s">
        <v>2003</v>
      </c>
    </row>
    <row r="6219" spans="27:27">
      <c r="AA6219" s="158" t="s">
        <v>3750</v>
      </c>
    </row>
    <row r="6220" spans="27:27">
      <c r="AA6220" s="158" t="s">
        <v>8460</v>
      </c>
    </row>
    <row r="6221" spans="27:27">
      <c r="AA6221" s="158" t="s">
        <v>8461</v>
      </c>
    </row>
    <row r="6222" spans="27:27">
      <c r="AA6222" s="158" t="s">
        <v>788</v>
      </c>
    </row>
    <row r="6223" spans="27:27">
      <c r="AA6223" s="158" t="s">
        <v>8462</v>
      </c>
    </row>
    <row r="6224" spans="27:27">
      <c r="AA6224" s="158" t="s">
        <v>8463</v>
      </c>
    </row>
    <row r="6225" spans="27:27">
      <c r="AA6225" s="158" t="s">
        <v>8464</v>
      </c>
    </row>
    <row r="6226" spans="27:27">
      <c r="AA6226" s="158" t="s">
        <v>8465</v>
      </c>
    </row>
    <row r="6227" spans="27:27">
      <c r="AA6227" s="158" t="s">
        <v>8466</v>
      </c>
    </row>
    <row r="6228" spans="27:27">
      <c r="AA6228" s="158" t="s">
        <v>8467</v>
      </c>
    </row>
    <row r="6229" spans="27:27">
      <c r="AA6229" s="158" t="s">
        <v>8468</v>
      </c>
    </row>
    <row r="6230" spans="27:27">
      <c r="AA6230" s="158" t="s">
        <v>8469</v>
      </c>
    </row>
    <row r="6231" spans="27:27">
      <c r="AA6231" s="158" t="s">
        <v>8470</v>
      </c>
    </row>
    <row r="6232" spans="27:27">
      <c r="AA6232" s="158" t="s">
        <v>2004</v>
      </c>
    </row>
    <row r="6233" spans="27:27">
      <c r="AA6233" s="158" t="s">
        <v>8471</v>
      </c>
    </row>
    <row r="6234" spans="27:27">
      <c r="AA6234" s="158" t="s">
        <v>2005</v>
      </c>
    </row>
    <row r="6235" spans="27:27">
      <c r="AA6235" s="158" t="s">
        <v>8472</v>
      </c>
    </row>
    <row r="6236" spans="27:27">
      <c r="AA6236" s="158" t="s">
        <v>8473</v>
      </c>
    </row>
    <row r="6237" spans="27:27">
      <c r="AA6237" s="158" t="s">
        <v>8474</v>
      </c>
    </row>
    <row r="6238" spans="27:27">
      <c r="AA6238" s="158" t="s">
        <v>8475</v>
      </c>
    </row>
    <row r="6239" spans="27:27">
      <c r="AA6239" s="158" t="s">
        <v>8476</v>
      </c>
    </row>
    <row r="6240" spans="27:27">
      <c r="AA6240" s="158" t="s">
        <v>2006</v>
      </c>
    </row>
    <row r="6241" spans="27:27">
      <c r="AA6241" s="158" t="s">
        <v>3751</v>
      </c>
    </row>
    <row r="6242" spans="27:27">
      <c r="AA6242" s="158" t="s">
        <v>2007</v>
      </c>
    </row>
    <row r="6243" spans="27:27">
      <c r="AA6243" s="158" t="s">
        <v>3752</v>
      </c>
    </row>
    <row r="6244" spans="27:27">
      <c r="AA6244" s="158" t="s">
        <v>8477</v>
      </c>
    </row>
    <row r="6245" spans="27:27">
      <c r="AA6245" s="158" t="s">
        <v>8478</v>
      </c>
    </row>
    <row r="6246" spans="27:27">
      <c r="AA6246" s="158" t="s">
        <v>8479</v>
      </c>
    </row>
    <row r="6247" spans="27:27">
      <c r="AA6247" s="158" t="s">
        <v>8480</v>
      </c>
    </row>
    <row r="6248" spans="27:27">
      <c r="AA6248" s="158" t="s">
        <v>8481</v>
      </c>
    </row>
    <row r="6249" spans="27:27">
      <c r="AA6249" s="158" t="s">
        <v>789</v>
      </c>
    </row>
    <row r="6250" spans="27:27">
      <c r="AA6250" s="158" t="s">
        <v>790</v>
      </c>
    </row>
    <row r="6251" spans="27:27">
      <c r="AA6251" s="158" t="s">
        <v>791</v>
      </c>
    </row>
    <row r="6252" spans="27:27">
      <c r="AA6252" s="158" t="s">
        <v>792</v>
      </c>
    </row>
    <row r="6253" spans="27:27">
      <c r="AA6253" s="158" t="s">
        <v>793</v>
      </c>
    </row>
    <row r="6254" spans="27:27">
      <c r="AA6254" s="158" t="s">
        <v>794</v>
      </c>
    </row>
    <row r="6255" spans="27:27">
      <c r="AA6255" s="158" t="s">
        <v>795</v>
      </c>
    </row>
    <row r="6256" spans="27:27">
      <c r="AA6256" s="158" t="s">
        <v>796</v>
      </c>
    </row>
    <row r="6257" spans="27:27">
      <c r="AA6257" s="158" t="s">
        <v>8482</v>
      </c>
    </row>
    <row r="6258" spans="27:27">
      <c r="AA6258" s="158" t="s">
        <v>8483</v>
      </c>
    </row>
    <row r="6259" spans="27:27">
      <c r="AA6259" s="158" t="s">
        <v>8484</v>
      </c>
    </row>
    <row r="6260" spans="27:27">
      <c r="AA6260" s="158" t="s">
        <v>8485</v>
      </c>
    </row>
    <row r="6261" spans="27:27">
      <c r="AA6261" s="158" t="s">
        <v>3753</v>
      </c>
    </row>
    <row r="6262" spans="27:27">
      <c r="AA6262" s="158" t="s">
        <v>8486</v>
      </c>
    </row>
    <row r="6263" spans="27:27">
      <c r="AA6263" s="158" t="s">
        <v>8487</v>
      </c>
    </row>
    <row r="6264" spans="27:27">
      <c r="AA6264" s="158" t="s">
        <v>8488</v>
      </c>
    </row>
    <row r="6265" spans="27:27">
      <c r="AA6265" s="158" t="s">
        <v>8489</v>
      </c>
    </row>
    <row r="6266" spans="27:27">
      <c r="AA6266" s="158" t="s">
        <v>8490</v>
      </c>
    </row>
    <row r="6267" spans="27:27">
      <c r="AA6267" s="158" t="s">
        <v>2008</v>
      </c>
    </row>
    <row r="6268" spans="27:27">
      <c r="AA6268" s="158" t="s">
        <v>3754</v>
      </c>
    </row>
    <row r="6269" spans="27:27">
      <c r="AA6269" s="158" t="s">
        <v>8491</v>
      </c>
    </row>
    <row r="6270" spans="27:27">
      <c r="AA6270" s="158" t="s">
        <v>8492</v>
      </c>
    </row>
    <row r="6271" spans="27:27">
      <c r="AA6271" s="158" t="s">
        <v>8493</v>
      </c>
    </row>
    <row r="6272" spans="27:27">
      <c r="AA6272" s="158" t="s">
        <v>3755</v>
      </c>
    </row>
    <row r="6273" spans="27:27">
      <c r="AA6273" s="158" t="s">
        <v>8494</v>
      </c>
    </row>
    <row r="6274" spans="27:27">
      <c r="AA6274" s="158" t="s">
        <v>8495</v>
      </c>
    </row>
    <row r="6275" spans="27:27">
      <c r="AA6275" s="158" t="s">
        <v>8496</v>
      </c>
    </row>
    <row r="6276" spans="27:27">
      <c r="AA6276" s="158" t="s">
        <v>8497</v>
      </c>
    </row>
    <row r="6277" spans="27:27">
      <c r="AA6277" s="158" t="s">
        <v>8498</v>
      </c>
    </row>
    <row r="6278" spans="27:27">
      <c r="AA6278" s="158" t="s">
        <v>2009</v>
      </c>
    </row>
    <row r="6279" spans="27:27">
      <c r="AA6279" s="158" t="s">
        <v>8499</v>
      </c>
    </row>
    <row r="6280" spans="27:27">
      <c r="AA6280" s="158" t="s">
        <v>8500</v>
      </c>
    </row>
    <row r="6281" spans="27:27">
      <c r="AA6281" s="158" t="s">
        <v>8501</v>
      </c>
    </row>
    <row r="6282" spans="27:27">
      <c r="AA6282" s="158" t="s">
        <v>8502</v>
      </c>
    </row>
    <row r="6283" spans="27:27">
      <c r="AA6283" s="158" t="s">
        <v>8503</v>
      </c>
    </row>
    <row r="6284" spans="27:27">
      <c r="AA6284" s="158" t="s">
        <v>8504</v>
      </c>
    </row>
    <row r="6285" spans="27:27">
      <c r="AA6285" s="158" t="s">
        <v>8505</v>
      </c>
    </row>
    <row r="6286" spans="27:27">
      <c r="AA6286" s="158" t="s">
        <v>8506</v>
      </c>
    </row>
    <row r="6287" spans="27:27">
      <c r="AA6287" s="158" t="s">
        <v>8507</v>
      </c>
    </row>
    <row r="6288" spans="27:27">
      <c r="AA6288" s="158" t="s">
        <v>8508</v>
      </c>
    </row>
    <row r="6289" spans="27:27">
      <c r="AA6289" s="158" t="s">
        <v>8509</v>
      </c>
    </row>
    <row r="6290" spans="27:27">
      <c r="AA6290" s="158" t="s">
        <v>8510</v>
      </c>
    </row>
    <row r="6291" spans="27:27">
      <c r="AA6291" s="158" t="s">
        <v>8511</v>
      </c>
    </row>
    <row r="6292" spans="27:27">
      <c r="AA6292" s="158" t="s">
        <v>8512</v>
      </c>
    </row>
    <row r="6293" spans="27:27">
      <c r="AA6293" s="158" t="s">
        <v>8513</v>
      </c>
    </row>
    <row r="6294" spans="27:27">
      <c r="AA6294" s="158" t="s">
        <v>8514</v>
      </c>
    </row>
    <row r="6295" spans="27:27">
      <c r="AA6295" s="158" t="s">
        <v>8515</v>
      </c>
    </row>
    <row r="6296" spans="27:27">
      <c r="AA6296" s="158" t="s">
        <v>8516</v>
      </c>
    </row>
    <row r="6297" spans="27:27">
      <c r="AA6297" s="158" t="s">
        <v>8517</v>
      </c>
    </row>
    <row r="6298" spans="27:27">
      <c r="AA6298" s="158" t="s">
        <v>8518</v>
      </c>
    </row>
    <row r="6299" spans="27:27">
      <c r="AA6299" s="158" t="s">
        <v>8519</v>
      </c>
    </row>
    <row r="6300" spans="27:27">
      <c r="AA6300" s="158" t="s">
        <v>8520</v>
      </c>
    </row>
    <row r="6301" spans="27:27">
      <c r="AA6301" s="158" t="s">
        <v>8521</v>
      </c>
    </row>
    <row r="6302" spans="27:27">
      <c r="AA6302" s="158" t="s">
        <v>8522</v>
      </c>
    </row>
    <row r="6303" spans="27:27">
      <c r="AA6303" s="158" t="s">
        <v>8523</v>
      </c>
    </row>
    <row r="6304" spans="27:27">
      <c r="AA6304" s="158" t="s">
        <v>8524</v>
      </c>
    </row>
    <row r="6305" spans="27:27">
      <c r="AA6305" s="158" t="s">
        <v>2010</v>
      </c>
    </row>
    <row r="6306" spans="27:27">
      <c r="AA6306" s="158" t="s">
        <v>8525</v>
      </c>
    </row>
    <row r="6307" spans="27:27">
      <c r="AA6307" s="158" t="s">
        <v>2011</v>
      </c>
    </row>
    <row r="6308" spans="27:27">
      <c r="AA6308" s="158" t="s">
        <v>3756</v>
      </c>
    </row>
    <row r="6309" spans="27:27">
      <c r="AA6309" s="158" t="s">
        <v>2012</v>
      </c>
    </row>
    <row r="6310" spans="27:27">
      <c r="AA6310" s="158" t="s">
        <v>8526</v>
      </c>
    </row>
    <row r="6311" spans="27:27">
      <c r="AA6311" s="158" t="s">
        <v>8527</v>
      </c>
    </row>
    <row r="6312" spans="27:27">
      <c r="AA6312" s="158" t="s">
        <v>8528</v>
      </c>
    </row>
    <row r="6313" spans="27:27">
      <c r="AA6313" s="158" t="s">
        <v>8529</v>
      </c>
    </row>
    <row r="6314" spans="27:27">
      <c r="AA6314" s="158" t="s">
        <v>2013</v>
      </c>
    </row>
    <row r="6315" spans="27:27">
      <c r="AA6315" s="158" t="s">
        <v>8530</v>
      </c>
    </row>
    <row r="6316" spans="27:27">
      <c r="AA6316" s="158" t="s">
        <v>8531</v>
      </c>
    </row>
    <row r="6317" spans="27:27">
      <c r="AA6317" s="158" t="s">
        <v>8532</v>
      </c>
    </row>
    <row r="6318" spans="27:27">
      <c r="AA6318" s="158" t="s">
        <v>8533</v>
      </c>
    </row>
    <row r="6319" spans="27:27">
      <c r="AA6319" s="158" t="s">
        <v>8534</v>
      </c>
    </row>
    <row r="6320" spans="27:27">
      <c r="AA6320" s="158" t="s">
        <v>8535</v>
      </c>
    </row>
    <row r="6321" spans="27:27">
      <c r="AA6321" s="158" t="s">
        <v>8536</v>
      </c>
    </row>
    <row r="6322" spans="27:27">
      <c r="AA6322" s="158" t="s">
        <v>8537</v>
      </c>
    </row>
    <row r="6323" spans="27:27">
      <c r="AA6323" s="158" t="s">
        <v>8538</v>
      </c>
    </row>
    <row r="6324" spans="27:27">
      <c r="AA6324" s="158" t="s">
        <v>8539</v>
      </c>
    </row>
    <row r="6325" spans="27:27">
      <c r="AA6325" s="158" t="s">
        <v>2014</v>
      </c>
    </row>
    <row r="6326" spans="27:27">
      <c r="AA6326" s="158" t="s">
        <v>8540</v>
      </c>
    </row>
    <row r="6327" spans="27:27">
      <c r="AA6327" s="158" t="s">
        <v>8541</v>
      </c>
    </row>
    <row r="6328" spans="27:27">
      <c r="AA6328" s="158" t="s">
        <v>8542</v>
      </c>
    </row>
    <row r="6329" spans="27:27">
      <c r="AA6329" s="158" t="s">
        <v>2015</v>
      </c>
    </row>
    <row r="6330" spans="27:27">
      <c r="AA6330" s="158" t="s">
        <v>8543</v>
      </c>
    </row>
    <row r="6331" spans="27:27">
      <c r="AA6331" s="158" t="s">
        <v>8544</v>
      </c>
    </row>
    <row r="6332" spans="27:27">
      <c r="AA6332" s="158" t="s">
        <v>8545</v>
      </c>
    </row>
    <row r="6333" spans="27:27">
      <c r="AA6333" s="158" t="s">
        <v>8546</v>
      </c>
    </row>
    <row r="6334" spans="27:27">
      <c r="AA6334" s="158" t="s">
        <v>8547</v>
      </c>
    </row>
    <row r="6335" spans="27:27">
      <c r="AA6335" s="158" t="s">
        <v>8548</v>
      </c>
    </row>
    <row r="6336" spans="27:27">
      <c r="AA6336" s="158" t="s">
        <v>8549</v>
      </c>
    </row>
    <row r="6337" spans="27:27">
      <c r="AA6337" s="158" t="s">
        <v>8550</v>
      </c>
    </row>
    <row r="6338" spans="27:27">
      <c r="AA6338" s="158" t="s">
        <v>8551</v>
      </c>
    </row>
    <row r="6339" spans="27:27">
      <c r="AA6339" s="158" t="s">
        <v>8552</v>
      </c>
    </row>
    <row r="6340" spans="27:27">
      <c r="AA6340" s="158" t="s">
        <v>8553</v>
      </c>
    </row>
    <row r="6341" spans="27:27">
      <c r="AA6341" s="158" t="s">
        <v>8554</v>
      </c>
    </row>
    <row r="6342" spans="27:27">
      <c r="AA6342" s="158" t="s">
        <v>8555</v>
      </c>
    </row>
    <row r="6343" spans="27:27">
      <c r="AA6343" s="158" t="s">
        <v>8556</v>
      </c>
    </row>
    <row r="6344" spans="27:27">
      <c r="AA6344" s="158" t="s">
        <v>8557</v>
      </c>
    </row>
    <row r="6345" spans="27:27">
      <c r="AA6345" s="158" t="s">
        <v>8558</v>
      </c>
    </row>
    <row r="6346" spans="27:27">
      <c r="AA6346" s="158" t="s">
        <v>8559</v>
      </c>
    </row>
    <row r="6347" spans="27:27">
      <c r="AA6347" s="158" t="s">
        <v>8560</v>
      </c>
    </row>
    <row r="6348" spans="27:27">
      <c r="AA6348" s="158" t="s">
        <v>2016</v>
      </c>
    </row>
    <row r="6349" spans="27:27">
      <c r="AA6349" s="158" t="s">
        <v>8561</v>
      </c>
    </row>
    <row r="6350" spans="27:27">
      <c r="AA6350" s="158" t="s">
        <v>8562</v>
      </c>
    </row>
    <row r="6351" spans="27:27">
      <c r="AA6351" s="158" t="s">
        <v>8563</v>
      </c>
    </row>
    <row r="6352" spans="27:27">
      <c r="AA6352" s="158" t="s">
        <v>8564</v>
      </c>
    </row>
    <row r="6353" spans="27:27">
      <c r="AA6353" s="158" t="s">
        <v>8565</v>
      </c>
    </row>
    <row r="6354" spans="27:27">
      <c r="AA6354" s="158" t="s">
        <v>8566</v>
      </c>
    </row>
    <row r="6355" spans="27:27">
      <c r="AA6355" s="158" t="s">
        <v>8567</v>
      </c>
    </row>
    <row r="6356" spans="27:27">
      <c r="AA6356" s="158" t="s">
        <v>8568</v>
      </c>
    </row>
    <row r="6357" spans="27:27">
      <c r="AA6357" s="158" t="s">
        <v>8569</v>
      </c>
    </row>
    <row r="6358" spans="27:27">
      <c r="AA6358" s="158" t="s">
        <v>8570</v>
      </c>
    </row>
    <row r="6359" spans="27:27">
      <c r="AA6359" s="158" t="s">
        <v>8571</v>
      </c>
    </row>
    <row r="6360" spans="27:27">
      <c r="AA6360" s="158" t="s">
        <v>8572</v>
      </c>
    </row>
    <row r="6361" spans="27:27">
      <c r="AA6361" s="158" t="s">
        <v>8573</v>
      </c>
    </row>
    <row r="6362" spans="27:27">
      <c r="AA6362" s="158" t="s">
        <v>8574</v>
      </c>
    </row>
    <row r="6363" spans="27:27">
      <c r="AA6363" s="158" t="s">
        <v>8575</v>
      </c>
    </row>
    <row r="6364" spans="27:27">
      <c r="AA6364" s="158" t="s">
        <v>8576</v>
      </c>
    </row>
    <row r="6365" spans="27:27">
      <c r="AA6365" s="158" t="s">
        <v>8577</v>
      </c>
    </row>
    <row r="6366" spans="27:27">
      <c r="AA6366" s="158" t="s">
        <v>8578</v>
      </c>
    </row>
    <row r="6367" spans="27:27">
      <c r="AA6367" s="158" t="s">
        <v>8579</v>
      </c>
    </row>
    <row r="6368" spans="27:27">
      <c r="AA6368" s="158" t="s">
        <v>8580</v>
      </c>
    </row>
    <row r="6369" spans="27:27">
      <c r="AA6369" s="158" t="s">
        <v>8581</v>
      </c>
    </row>
    <row r="6370" spans="27:27">
      <c r="AA6370" s="158" t="s">
        <v>8582</v>
      </c>
    </row>
    <row r="6371" spans="27:27">
      <c r="AA6371" s="158" t="s">
        <v>8583</v>
      </c>
    </row>
    <row r="6372" spans="27:27">
      <c r="AA6372" s="158" t="s">
        <v>8584</v>
      </c>
    </row>
    <row r="6373" spans="27:27">
      <c r="AA6373" s="158" t="s">
        <v>2017</v>
      </c>
    </row>
    <row r="6374" spans="27:27">
      <c r="AA6374" s="158" t="s">
        <v>8585</v>
      </c>
    </row>
    <row r="6375" spans="27:27">
      <c r="AA6375" s="158" t="s">
        <v>8586</v>
      </c>
    </row>
    <row r="6376" spans="27:27">
      <c r="AA6376" s="158" t="s">
        <v>2018</v>
      </c>
    </row>
    <row r="6377" spans="27:27">
      <c r="AA6377" s="158" t="s">
        <v>8587</v>
      </c>
    </row>
    <row r="6378" spans="27:27">
      <c r="AA6378" s="158" t="s">
        <v>8588</v>
      </c>
    </row>
    <row r="6379" spans="27:27">
      <c r="AA6379" s="158" t="s">
        <v>8589</v>
      </c>
    </row>
    <row r="6380" spans="27:27">
      <c r="AA6380" s="158" t="s">
        <v>8590</v>
      </c>
    </row>
    <row r="6381" spans="27:27">
      <c r="AA6381" s="158" t="s">
        <v>8591</v>
      </c>
    </row>
    <row r="6382" spans="27:27">
      <c r="AA6382" s="158" t="s">
        <v>8592</v>
      </c>
    </row>
    <row r="6383" spans="27:27">
      <c r="AA6383" s="158" t="s">
        <v>8593</v>
      </c>
    </row>
    <row r="6384" spans="27:27">
      <c r="AA6384" s="158" t="s">
        <v>2019</v>
      </c>
    </row>
    <row r="6385" spans="27:27">
      <c r="AA6385" s="158" t="s">
        <v>8594</v>
      </c>
    </row>
    <row r="6386" spans="27:27">
      <c r="AA6386" s="158" t="s">
        <v>2020</v>
      </c>
    </row>
    <row r="6387" spans="27:27">
      <c r="AA6387" s="158" t="s">
        <v>8595</v>
      </c>
    </row>
    <row r="6388" spans="27:27">
      <c r="AA6388" s="158" t="s">
        <v>8596</v>
      </c>
    </row>
    <row r="6389" spans="27:27">
      <c r="AA6389" s="158" t="s">
        <v>8597</v>
      </c>
    </row>
    <row r="6390" spans="27:27">
      <c r="AA6390" s="158" t="s">
        <v>8598</v>
      </c>
    </row>
    <row r="6391" spans="27:27">
      <c r="AA6391" s="158" t="s">
        <v>8599</v>
      </c>
    </row>
    <row r="6392" spans="27:27">
      <c r="AA6392" s="158" t="s">
        <v>8600</v>
      </c>
    </row>
    <row r="6393" spans="27:27">
      <c r="AA6393" s="158" t="s">
        <v>8601</v>
      </c>
    </row>
    <row r="6394" spans="27:27">
      <c r="AA6394" s="158" t="s">
        <v>8602</v>
      </c>
    </row>
    <row r="6395" spans="27:27">
      <c r="AA6395" s="158" t="s">
        <v>8603</v>
      </c>
    </row>
    <row r="6396" spans="27:27">
      <c r="AA6396" s="158" t="s">
        <v>8604</v>
      </c>
    </row>
    <row r="6397" spans="27:27">
      <c r="AA6397" s="158" t="s">
        <v>8605</v>
      </c>
    </row>
    <row r="6398" spans="27:27">
      <c r="AA6398" s="158" t="s">
        <v>8606</v>
      </c>
    </row>
    <row r="6399" spans="27:27">
      <c r="AA6399" s="158" t="s">
        <v>8607</v>
      </c>
    </row>
    <row r="6400" spans="27:27">
      <c r="AA6400" s="158" t="s">
        <v>2021</v>
      </c>
    </row>
    <row r="6401" spans="27:27">
      <c r="AA6401" s="158" t="s">
        <v>8608</v>
      </c>
    </row>
    <row r="6402" spans="27:27">
      <c r="AA6402" s="158" t="s">
        <v>8609</v>
      </c>
    </row>
    <row r="6403" spans="27:27">
      <c r="AA6403" s="158" t="s">
        <v>8610</v>
      </c>
    </row>
    <row r="6404" spans="27:27">
      <c r="AA6404" s="158" t="s">
        <v>8611</v>
      </c>
    </row>
    <row r="6405" spans="27:27">
      <c r="AA6405" s="158" t="s">
        <v>8612</v>
      </c>
    </row>
    <row r="6406" spans="27:27">
      <c r="AA6406" s="158" t="s">
        <v>8613</v>
      </c>
    </row>
    <row r="6407" spans="27:27">
      <c r="AA6407" s="158" t="s">
        <v>2022</v>
      </c>
    </row>
    <row r="6408" spans="27:27">
      <c r="AA6408" s="158" t="s">
        <v>8614</v>
      </c>
    </row>
    <row r="6409" spans="27:27">
      <c r="AA6409" s="158" t="s">
        <v>8615</v>
      </c>
    </row>
    <row r="6410" spans="27:27">
      <c r="AA6410" s="158" t="s">
        <v>2023</v>
      </c>
    </row>
    <row r="6411" spans="27:27">
      <c r="AA6411" s="158" t="s">
        <v>8616</v>
      </c>
    </row>
    <row r="6412" spans="27:27">
      <c r="AA6412" s="158" t="s">
        <v>8617</v>
      </c>
    </row>
    <row r="6413" spans="27:27">
      <c r="AA6413" s="158" t="s">
        <v>8618</v>
      </c>
    </row>
    <row r="6414" spans="27:27">
      <c r="AA6414" s="158" t="s">
        <v>8619</v>
      </c>
    </row>
    <row r="6415" spans="27:27">
      <c r="AA6415" s="158" t="s">
        <v>8620</v>
      </c>
    </row>
    <row r="6416" spans="27:27">
      <c r="AA6416" s="158" t="s">
        <v>8621</v>
      </c>
    </row>
    <row r="6417" spans="27:27">
      <c r="AA6417" s="158" t="s">
        <v>8622</v>
      </c>
    </row>
    <row r="6418" spans="27:27">
      <c r="AA6418" s="158" t="s">
        <v>8623</v>
      </c>
    </row>
    <row r="6419" spans="27:27">
      <c r="AA6419" s="158" t="s">
        <v>2024</v>
      </c>
    </row>
    <row r="6420" spans="27:27">
      <c r="AA6420" s="158" t="s">
        <v>8624</v>
      </c>
    </row>
    <row r="6421" spans="27:27">
      <c r="AA6421" s="158" t="s">
        <v>8625</v>
      </c>
    </row>
    <row r="6422" spans="27:27">
      <c r="AA6422" s="158" t="s">
        <v>8626</v>
      </c>
    </row>
    <row r="6423" spans="27:27">
      <c r="AA6423" s="158" t="s">
        <v>8627</v>
      </c>
    </row>
    <row r="6424" spans="27:27">
      <c r="AA6424" s="158" t="s">
        <v>8628</v>
      </c>
    </row>
    <row r="6425" spans="27:27">
      <c r="AA6425" s="158" t="s">
        <v>8629</v>
      </c>
    </row>
    <row r="6426" spans="27:27">
      <c r="AA6426" s="158" t="s">
        <v>8630</v>
      </c>
    </row>
    <row r="6427" spans="27:27">
      <c r="AA6427" s="158" t="s">
        <v>8631</v>
      </c>
    </row>
    <row r="6428" spans="27:27">
      <c r="AA6428" s="158" t="s">
        <v>8632</v>
      </c>
    </row>
    <row r="6429" spans="27:27">
      <c r="AA6429" s="158" t="s">
        <v>8633</v>
      </c>
    </row>
    <row r="6430" spans="27:27">
      <c r="AA6430" s="158" t="s">
        <v>2025</v>
      </c>
    </row>
    <row r="6431" spans="27:27">
      <c r="AA6431" s="158" t="s">
        <v>8634</v>
      </c>
    </row>
    <row r="6432" spans="27:27">
      <c r="AA6432" s="158" t="s">
        <v>8635</v>
      </c>
    </row>
    <row r="6433" spans="27:27">
      <c r="AA6433" s="158" t="s">
        <v>8636</v>
      </c>
    </row>
    <row r="6434" spans="27:27">
      <c r="AA6434" s="158" t="s">
        <v>8637</v>
      </c>
    </row>
    <row r="6435" spans="27:27">
      <c r="AA6435" s="158" t="s">
        <v>8638</v>
      </c>
    </row>
    <row r="6436" spans="27:27">
      <c r="AA6436" s="158" t="s">
        <v>8639</v>
      </c>
    </row>
    <row r="6437" spans="27:27">
      <c r="AA6437" s="158" t="s">
        <v>2026</v>
      </c>
    </row>
    <row r="6438" spans="27:27">
      <c r="AA6438" s="158" t="s">
        <v>8640</v>
      </c>
    </row>
    <row r="6439" spans="27:27">
      <c r="AA6439" s="158" t="s">
        <v>8641</v>
      </c>
    </row>
    <row r="6440" spans="27:27">
      <c r="AA6440" s="158" t="s">
        <v>8642</v>
      </c>
    </row>
    <row r="6441" spans="27:27">
      <c r="AA6441" s="158" t="s">
        <v>8643</v>
      </c>
    </row>
    <row r="6442" spans="27:27">
      <c r="AA6442" s="158" t="s">
        <v>8644</v>
      </c>
    </row>
    <row r="6443" spans="27:27">
      <c r="AA6443" s="158" t="s">
        <v>8645</v>
      </c>
    </row>
    <row r="6444" spans="27:27">
      <c r="AA6444" s="158" t="s">
        <v>8646</v>
      </c>
    </row>
    <row r="6445" spans="27:27">
      <c r="AA6445" s="158" t="s">
        <v>8647</v>
      </c>
    </row>
    <row r="6446" spans="27:27">
      <c r="AA6446" s="158" t="s">
        <v>8648</v>
      </c>
    </row>
    <row r="6447" spans="27:27">
      <c r="AA6447" s="158" t="s">
        <v>8649</v>
      </c>
    </row>
    <row r="6448" spans="27:27">
      <c r="AA6448" s="158" t="s">
        <v>2027</v>
      </c>
    </row>
    <row r="6449" spans="27:27">
      <c r="AA6449" s="158" t="s">
        <v>8650</v>
      </c>
    </row>
    <row r="6450" spans="27:27">
      <c r="AA6450" s="158" t="s">
        <v>2028</v>
      </c>
    </row>
    <row r="6451" spans="27:27">
      <c r="AA6451" s="158" t="s">
        <v>8651</v>
      </c>
    </row>
    <row r="6452" spans="27:27">
      <c r="AA6452" s="158" t="s">
        <v>8652</v>
      </c>
    </row>
    <row r="6453" spans="27:27">
      <c r="AA6453" s="158" t="s">
        <v>8653</v>
      </c>
    </row>
    <row r="6454" spans="27:27">
      <c r="AA6454" s="158" t="s">
        <v>8654</v>
      </c>
    </row>
    <row r="6455" spans="27:27">
      <c r="AA6455" s="158" t="s">
        <v>8655</v>
      </c>
    </row>
    <row r="6456" spans="27:27">
      <c r="AA6456" s="158" t="s">
        <v>8656</v>
      </c>
    </row>
    <row r="6457" spans="27:27">
      <c r="AA6457" s="158" t="s">
        <v>2029</v>
      </c>
    </row>
    <row r="6458" spans="27:27">
      <c r="AA6458" s="158" t="s">
        <v>8657</v>
      </c>
    </row>
    <row r="6459" spans="27:27">
      <c r="AA6459" s="158" t="s">
        <v>2030</v>
      </c>
    </row>
    <row r="6460" spans="27:27">
      <c r="AA6460" s="158" t="s">
        <v>8658</v>
      </c>
    </row>
    <row r="6461" spans="27:27">
      <c r="AA6461" s="158" t="s">
        <v>8659</v>
      </c>
    </row>
    <row r="6462" spans="27:27">
      <c r="AA6462" s="158" t="s">
        <v>8660</v>
      </c>
    </row>
    <row r="6463" spans="27:27">
      <c r="AA6463" s="158" t="s">
        <v>8661</v>
      </c>
    </row>
    <row r="6464" spans="27:27">
      <c r="AA6464" s="158" t="s">
        <v>8662</v>
      </c>
    </row>
    <row r="6465" spans="27:27">
      <c r="AA6465" s="158" t="s">
        <v>8663</v>
      </c>
    </row>
    <row r="6466" spans="27:27">
      <c r="AA6466" s="158" t="s">
        <v>8664</v>
      </c>
    </row>
    <row r="6467" spans="27:27">
      <c r="AA6467" s="158" t="s">
        <v>8665</v>
      </c>
    </row>
    <row r="6468" spans="27:27">
      <c r="AA6468" s="158" t="s">
        <v>8666</v>
      </c>
    </row>
    <row r="6469" spans="27:27">
      <c r="AA6469" s="158" t="s">
        <v>8667</v>
      </c>
    </row>
    <row r="6470" spans="27:27">
      <c r="AA6470" s="158" t="s">
        <v>2031</v>
      </c>
    </row>
    <row r="6471" spans="27:27">
      <c r="AA6471" s="158" t="s">
        <v>8668</v>
      </c>
    </row>
    <row r="6472" spans="27:27">
      <c r="AA6472" s="158" t="s">
        <v>8669</v>
      </c>
    </row>
    <row r="6473" spans="27:27">
      <c r="AA6473" s="158" t="s">
        <v>2032</v>
      </c>
    </row>
    <row r="6474" spans="27:27">
      <c r="AA6474" s="158" t="s">
        <v>8670</v>
      </c>
    </row>
    <row r="6475" spans="27:27">
      <c r="AA6475" s="158" t="s">
        <v>8671</v>
      </c>
    </row>
    <row r="6476" spans="27:27">
      <c r="AA6476" s="158" t="s">
        <v>8672</v>
      </c>
    </row>
    <row r="6477" spans="27:27">
      <c r="AA6477" s="158" t="s">
        <v>8673</v>
      </c>
    </row>
    <row r="6478" spans="27:27">
      <c r="AA6478" s="158" t="s">
        <v>8674</v>
      </c>
    </row>
    <row r="6479" spans="27:27">
      <c r="AA6479" s="158" t="s">
        <v>8675</v>
      </c>
    </row>
    <row r="6480" spans="27:27">
      <c r="AA6480" s="158" t="s">
        <v>2033</v>
      </c>
    </row>
    <row r="6481" spans="27:27">
      <c r="AA6481" s="158" t="s">
        <v>8676</v>
      </c>
    </row>
    <row r="6482" spans="27:27">
      <c r="AA6482" s="158" t="s">
        <v>8677</v>
      </c>
    </row>
    <row r="6483" spans="27:27">
      <c r="AA6483" s="158" t="s">
        <v>8678</v>
      </c>
    </row>
    <row r="6484" spans="27:27">
      <c r="AA6484" s="158" t="s">
        <v>8679</v>
      </c>
    </row>
    <row r="6485" spans="27:27">
      <c r="AA6485" s="158" t="s">
        <v>8680</v>
      </c>
    </row>
    <row r="6486" spans="27:27">
      <c r="AA6486" s="158" t="s">
        <v>8681</v>
      </c>
    </row>
    <row r="6487" spans="27:27">
      <c r="AA6487" s="158" t="s">
        <v>8682</v>
      </c>
    </row>
    <row r="6488" spans="27:27">
      <c r="AA6488" s="158" t="s">
        <v>8683</v>
      </c>
    </row>
    <row r="6489" spans="27:27">
      <c r="AA6489" s="158" t="s">
        <v>8684</v>
      </c>
    </row>
    <row r="6490" spans="27:27">
      <c r="AA6490" s="158" t="s">
        <v>8685</v>
      </c>
    </row>
    <row r="6491" spans="27:27">
      <c r="AA6491" s="158" t="s">
        <v>2034</v>
      </c>
    </row>
    <row r="6492" spans="27:27">
      <c r="AA6492" s="158" t="s">
        <v>8686</v>
      </c>
    </row>
    <row r="6493" spans="27:27">
      <c r="AA6493" s="158" t="s">
        <v>2035</v>
      </c>
    </row>
    <row r="6494" spans="27:27">
      <c r="AA6494" s="158" t="s">
        <v>8687</v>
      </c>
    </row>
    <row r="6495" spans="27:27">
      <c r="AA6495" s="158" t="s">
        <v>8688</v>
      </c>
    </row>
    <row r="6496" spans="27:27">
      <c r="AA6496" s="158" t="s">
        <v>8689</v>
      </c>
    </row>
    <row r="6497" spans="27:27">
      <c r="AA6497" s="158" t="s">
        <v>8690</v>
      </c>
    </row>
    <row r="6498" spans="27:27">
      <c r="AA6498" s="158" t="s">
        <v>8691</v>
      </c>
    </row>
    <row r="6499" spans="27:27">
      <c r="AA6499" s="158" t="s">
        <v>8692</v>
      </c>
    </row>
    <row r="6500" spans="27:27">
      <c r="AA6500" s="158" t="s">
        <v>2036</v>
      </c>
    </row>
    <row r="6501" spans="27:27">
      <c r="AA6501" s="158" t="s">
        <v>3757</v>
      </c>
    </row>
    <row r="6502" spans="27:27">
      <c r="AA6502" s="158" t="s">
        <v>8693</v>
      </c>
    </row>
    <row r="6503" spans="27:27">
      <c r="AA6503" s="158" t="s">
        <v>2037</v>
      </c>
    </row>
    <row r="6504" spans="27:27">
      <c r="AA6504" s="158" t="s">
        <v>8694</v>
      </c>
    </row>
    <row r="6505" spans="27:27">
      <c r="AA6505" s="158" t="s">
        <v>8695</v>
      </c>
    </row>
    <row r="6506" spans="27:27">
      <c r="AA6506" s="158" t="s">
        <v>2038</v>
      </c>
    </row>
    <row r="6507" spans="27:27">
      <c r="AA6507" s="158" t="s">
        <v>3758</v>
      </c>
    </row>
    <row r="6508" spans="27:27">
      <c r="AA6508" s="158" t="s">
        <v>2039</v>
      </c>
    </row>
    <row r="6509" spans="27:27">
      <c r="AA6509" s="158" t="s">
        <v>3759</v>
      </c>
    </row>
    <row r="6510" spans="27:27">
      <c r="AA6510" s="158" t="s">
        <v>8696</v>
      </c>
    </row>
    <row r="6511" spans="27:27">
      <c r="AA6511" s="158" t="s">
        <v>8697</v>
      </c>
    </row>
    <row r="6512" spans="27:27">
      <c r="AA6512" s="158" t="s">
        <v>8698</v>
      </c>
    </row>
    <row r="6513" spans="27:27">
      <c r="AA6513" s="158" t="s">
        <v>8699</v>
      </c>
    </row>
    <row r="6514" spans="27:27">
      <c r="AA6514" s="158" t="s">
        <v>8700</v>
      </c>
    </row>
    <row r="6515" spans="27:27">
      <c r="AA6515" s="158" t="s">
        <v>2040</v>
      </c>
    </row>
    <row r="6516" spans="27:27">
      <c r="AA6516" s="158" t="s">
        <v>3760</v>
      </c>
    </row>
    <row r="6517" spans="27:27">
      <c r="AA6517" s="158" t="s">
        <v>2041</v>
      </c>
    </row>
    <row r="6518" spans="27:27">
      <c r="AA6518" s="158" t="s">
        <v>8701</v>
      </c>
    </row>
    <row r="6519" spans="27:27">
      <c r="AA6519" s="158" t="s">
        <v>2042</v>
      </c>
    </row>
    <row r="6520" spans="27:27">
      <c r="AA6520" s="158" t="s">
        <v>8702</v>
      </c>
    </row>
    <row r="6521" spans="27:27">
      <c r="AA6521" s="158" t="s">
        <v>8703</v>
      </c>
    </row>
    <row r="6522" spans="27:27">
      <c r="AA6522" s="158" t="s">
        <v>8704</v>
      </c>
    </row>
    <row r="6523" spans="27:27">
      <c r="AA6523" s="158" t="s">
        <v>2043</v>
      </c>
    </row>
    <row r="6524" spans="27:27">
      <c r="AA6524" s="158" t="s">
        <v>3761</v>
      </c>
    </row>
    <row r="6525" spans="27:27">
      <c r="AA6525" s="158" t="s">
        <v>2044</v>
      </c>
    </row>
    <row r="6526" spans="27:27">
      <c r="AA6526" s="158" t="s">
        <v>3762</v>
      </c>
    </row>
    <row r="6527" spans="27:27">
      <c r="AA6527" s="158" t="s">
        <v>2045</v>
      </c>
    </row>
    <row r="6528" spans="27:27">
      <c r="AA6528" s="158" t="s">
        <v>8705</v>
      </c>
    </row>
    <row r="6529" spans="27:27">
      <c r="AA6529" s="158" t="s">
        <v>8706</v>
      </c>
    </row>
    <row r="6530" spans="27:27">
      <c r="AA6530" s="158" t="s">
        <v>8707</v>
      </c>
    </row>
    <row r="6531" spans="27:27">
      <c r="AA6531" s="158" t="s">
        <v>8708</v>
      </c>
    </row>
    <row r="6532" spans="27:27">
      <c r="AA6532" s="158" t="s">
        <v>8709</v>
      </c>
    </row>
    <row r="6533" spans="27:27">
      <c r="AA6533" s="158" t="s">
        <v>8710</v>
      </c>
    </row>
    <row r="6534" spans="27:27">
      <c r="AA6534" s="158" t="s">
        <v>8711</v>
      </c>
    </row>
    <row r="6535" spans="27:27">
      <c r="AA6535" s="158" t="s">
        <v>8712</v>
      </c>
    </row>
    <row r="6536" spans="27:27">
      <c r="AA6536" s="158" t="s">
        <v>8713</v>
      </c>
    </row>
    <row r="6537" spans="27:27">
      <c r="AA6537" s="158" t="s">
        <v>8714</v>
      </c>
    </row>
    <row r="6538" spans="27:27">
      <c r="AA6538" s="158" t="s">
        <v>8715</v>
      </c>
    </row>
    <row r="6539" spans="27:27">
      <c r="AA6539" s="158" t="s">
        <v>8716</v>
      </c>
    </row>
    <row r="6540" spans="27:27">
      <c r="AA6540" s="158" t="s">
        <v>8717</v>
      </c>
    </row>
    <row r="6541" spans="27:27">
      <c r="AA6541" s="158" t="s">
        <v>8718</v>
      </c>
    </row>
    <row r="6542" spans="27:27">
      <c r="AA6542" s="158" t="s">
        <v>8719</v>
      </c>
    </row>
    <row r="6543" spans="27:27">
      <c r="AA6543" s="158" t="s">
        <v>8720</v>
      </c>
    </row>
    <row r="6544" spans="27:27">
      <c r="AA6544" s="158" t="s">
        <v>8721</v>
      </c>
    </row>
    <row r="6545" spans="27:27">
      <c r="AA6545" s="158" t="s">
        <v>8722</v>
      </c>
    </row>
    <row r="6546" spans="27:27">
      <c r="AA6546" s="158" t="s">
        <v>8723</v>
      </c>
    </row>
    <row r="6547" spans="27:27">
      <c r="AA6547" s="158" t="s">
        <v>8724</v>
      </c>
    </row>
    <row r="6548" spans="27:27">
      <c r="AA6548" s="158" t="s">
        <v>2046</v>
      </c>
    </row>
    <row r="6549" spans="27:27">
      <c r="AA6549" s="158" t="s">
        <v>8725</v>
      </c>
    </row>
    <row r="6550" spans="27:27">
      <c r="AA6550" s="158" t="s">
        <v>8726</v>
      </c>
    </row>
    <row r="6551" spans="27:27">
      <c r="AA6551" s="158" t="s">
        <v>2047</v>
      </c>
    </row>
    <row r="6552" spans="27:27">
      <c r="AA6552" s="158" t="s">
        <v>8727</v>
      </c>
    </row>
    <row r="6553" spans="27:27">
      <c r="AA6553" s="158" t="s">
        <v>8728</v>
      </c>
    </row>
    <row r="6554" spans="27:27">
      <c r="AA6554" s="158" t="s">
        <v>8729</v>
      </c>
    </row>
    <row r="6555" spans="27:27">
      <c r="AA6555" s="158" t="s">
        <v>8730</v>
      </c>
    </row>
    <row r="6556" spans="27:27">
      <c r="AA6556" s="158" t="s">
        <v>2048</v>
      </c>
    </row>
    <row r="6557" spans="27:27">
      <c r="AA6557" s="158" t="s">
        <v>8731</v>
      </c>
    </row>
    <row r="6558" spans="27:27">
      <c r="AA6558" s="158" t="s">
        <v>8732</v>
      </c>
    </row>
    <row r="6559" spans="27:27">
      <c r="AA6559" s="158" t="s">
        <v>2049</v>
      </c>
    </row>
    <row r="6560" spans="27:27">
      <c r="AA6560" s="158" t="s">
        <v>8733</v>
      </c>
    </row>
    <row r="6561" spans="27:27">
      <c r="AA6561" s="158" t="s">
        <v>8734</v>
      </c>
    </row>
    <row r="6562" spans="27:27">
      <c r="AA6562" s="158" t="s">
        <v>8735</v>
      </c>
    </row>
    <row r="6563" spans="27:27">
      <c r="AA6563" s="158" t="s">
        <v>8736</v>
      </c>
    </row>
    <row r="6564" spans="27:27">
      <c r="AA6564" s="158" t="s">
        <v>8737</v>
      </c>
    </row>
    <row r="6565" spans="27:27">
      <c r="AA6565" s="158" t="s">
        <v>8738</v>
      </c>
    </row>
    <row r="6566" spans="27:27">
      <c r="AA6566" s="158" t="s">
        <v>2050</v>
      </c>
    </row>
    <row r="6567" spans="27:27">
      <c r="AA6567" s="158" t="s">
        <v>8739</v>
      </c>
    </row>
    <row r="6568" spans="27:27">
      <c r="AA6568" s="158" t="s">
        <v>8740</v>
      </c>
    </row>
    <row r="6569" spans="27:27">
      <c r="AA6569" s="158" t="s">
        <v>8741</v>
      </c>
    </row>
    <row r="6570" spans="27:27">
      <c r="AA6570" s="158" t="s">
        <v>8742</v>
      </c>
    </row>
    <row r="6571" spans="27:27">
      <c r="AA6571" s="158" t="s">
        <v>8743</v>
      </c>
    </row>
    <row r="6572" spans="27:27">
      <c r="AA6572" s="158" t="s">
        <v>2051</v>
      </c>
    </row>
    <row r="6573" spans="27:27">
      <c r="AA6573" s="158" t="s">
        <v>8744</v>
      </c>
    </row>
    <row r="6574" spans="27:27">
      <c r="AA6574" s="158" t="s">
        <v>8745</v>
      </c>
    </row>
    <row r="6575" spans="27:27">
      <c r="AA6575" s="158" t="s">
        <v>8746</v>
      </c>
    </row>
    <row r="6576" spans="27:27">
      <c r="AA6576" s="158" t="s">
        <v>8747</v>
      </c>
    </row>
    <row r="6577" spans="27:27">
      <c r="AA6577" s="158" t="s">
        <v>8748</v>
      </c>
    </row>
    <row r="6578" spans="27:27">
      <c r="AA6578" s="158" t="s">
        <v>8749</v>
      </c>
    </row>
    <row r="6579" spans="27:27">
      <c r="AA6579" s="158" t="s">
        <v>8750</v>
      </c>
    </row>
    <row r="6580" spans="27:27">
      <c r="AA6580" s="158" t="s">
        <v>8751</v>
      </c>
    </row>
    <row r="6581" spans="27:27">
      <c r="AA6581" s="158" t="s">
        <v>8752</v>
      </c>
    </row>
    <row r="6582" spans="27:27">
      <c r="AA6582" s="158" t="s">
        <v>8753</v>
      </c>
    </row>
    <row r="6583" spans="27:27">
      <c r="AA6583" s="158" t="s">
        <v>2052</v>
      </c>
    </row>
    <row r="6584" spans="27:27">
      <c r="AA6584" s="158" t="s">
        <v>8754</v>
      </c>
    </row>
    <row r="6585" spans="27:27">
      <c r="AA6585" s="158" t="s">
        <v>8755</v>
      </c>
    </row>
    <row r="6586" spans="27:27">
      <c r="AA6586" s="158" t="s">
        <v>8756</v>
      </c>
    </row>
    <row r="6587" spans="27:27">
      <c r="AA6587" s="158" t="s">
        <v>8757</v>
      </c>
    </row>
    <row r="6588" spans="27:27">
      <c r="AA6588" s="158" t="s">
        <v>2053</v>
      </c>
    </row>
    <row r="6589" spans="27:27">
      <c r="AA6589" s="158" t="s">
        <v>8758</v>
      </c>
    </row>
    <row r="6590" spans="27:27">
      <c r="AA6590" s="158" t="s">
        <v>2054</v>
      </c>
    </row>
    <row r="6591" spans="27:27">
      <c r="AA6591" s="158" t="s">
        <v>8759</v>
      </c>
    </row>
    <row r="6592" spans="27:27">
      <c r="AA6592" s="158" t="s">
        <v>8760</v>
      </c>
    </row>
    <row r="6593" spans="27:27">
      <c r="AA6593" s="158" t="s">
        <v>3763</v>
      </c>
    </row>
    <row r="6594" spans="27:27">
      <c r="AA6594" s="158" t="s">
        <v>8761</v>
      </c>
    </row>
    <row r="6595" spans="27:27">
      <c r="AA6595" s="158" t="s">
        <v>8762</v>
      </c>
    </row>
    <row r="6596" spans="27:27">
      <c r="AA6596" s="158" t="s">
        <v>8763</v>
      </c>
    </row>
    <row r="6597" spans="27:27">
      <c r="AA6597" s="158" t="s">
        <v>2055</v>
      </c>
    </row>
    <row r="6598" spans="27:27">
      <c r="AA6598" s="158" t="s">
        <v>3764</v>
      </c>
    </row>
    <row r="6599" spans="27:27">
      <c r="AA6599" s="158" t="s">
        <v>8764</v>
      </c>
    </row>
    <row r="6600" spans="27:27">
      <c r="AA6600" s="158" t="s">
        <v>8765</v>
      </c>
    </row>
    <row r="6601" spans="27:27">
      <c r="AA6601" s="158" t="s">
        <v>8766</v>
      </c>
    </row>
    <row r="6602" spans="27:27">
      <c r="AA6602" s="158" t="s">
        <v>8767</v>
      </c>
    </row>
    <row r="6603" spans="27:27">
      <c r="AA6603" s="158" t="s">
        <v>2056</v>
      </c>
    </row>
    <row r="6604" spans="27:27">
      <c r="AA6604" s="158" t="s">
        <v>8768</v>
      </c>
    </row>
    <row r="6605" spans="27:27">
      <c r="AA6605" s="158" t="s">
        <v>8769</v>
      </c>
    </row>
    <row r="6606" spans="27:27">
      <c r="AA6606" s="158" t="s">
        <v>8770</v>
      </c>
    </row>
    <row r="6607" spans="27:27">
      <c r="AA6607" s="158" t="s">
        <v>2057</v>
      </c>
    </row>
    <row r="6608" spans="27:27">
      <c r="AA6608" s="158" t="s">
        <v>3765</v>
      </c>
    </row>
    <row r="6609" spans="27:27">
      <c r="AA6609" s="158" t="s">
        <v>2058</v>
      </c>
    </row>
    <row r="6610" spans="27:27">
      <c r="AA6610" s="158" t="s">
        <v>3766</v>
      </c>
    </row>
    <row r="6611" spans="27:27">
      <c r="AA6611" s="158" t="s">
        <v>8771</v>
      </c>
    </row>
    <row r="6612" spans="27:27">
      <c r="AA6612" s="158" t="s">
        <v>8772</v>
      </c>
    </row>
    <row r="6613" spans="27:27">
      <c r="AA6613" s="158" t="s">
        <v>8773</v>
      </c>
    </row>
    <row r="6614" spans="27:27">
      <c r="AA6614" s="158" t="s">
        <v>8774</v>
      </c>
    </row>
    <row r="6615" spans="27:27">
      <c r="AA6615" s="158" t="s">
        <v>2059</v>
      </c>
    </row>
    <row r="6616" spans="27:27">
      <c r="AA6616" s="158" t="s">
        <v>8775</v>
      </c>
    </row>
    <row r="6617" spans="27:27">
      <c r="AA6617" s="158" t="s">
        <v>8776</v>
      </c>
    </row>
    <row r="6618" spans="27:27">
      <c r="AA6618" s="158" t="s">
        <v>8777</v>
      </c>
    </row>
    <row r="6619" spans="27:27">
      <c r="AA6619" s="158" t="s">
        <v>8778</v>
      </c>
    </row>
    <row r="6620" spans="27:27">
      <c r="AA6620" s="158" t="s">
        <v>8779</v>
      </c>
    </row>
    <row r="6621" spans="27:27">
      <c r="AA6621" s="158" t="s">
        <v>8780</v>
      </c>
    </row>
    <row r="6622" spans="27:27">
      <c r="AA6622" s="158" t="s">
        <v>8781</v>
      </c>
    </row>
    <row r="6623" spans="27:27">
      <c r="AA6623" s="158" t="s">
        <v>2060</v>
      </c>
    </row>
    <row r="6624" spans="27:27">
      <c r="AA6624" s="158" t="s">
        <v>3767</v>
      </c>
    </row>
    <row r="6625" spans="27:27">
      <c r="AA6625" s="158" t="s">
        <v>2061</v>
      </c>
    </row>
    <row r="6626" spans="27:27">
      <c r="AA6626" s="158" t="s">
        <v>3768</v>
      </c>
    </row>
    <row r="6627" spans="27:27">
      <c r="AA6627" s="158" t="s">
        <v>8782</v>
      </c>
    </row>
    <row r="6628" spans="27:27">
      <c r="AA6628" s="158" t="s">
        <v>8783</v>
      </c>
    </row>
    <row r="6629" spans="27:27">
      <c r="AA6629" s="158" t="s">
        <v>2062</v>
      </c>
    </row>
    <row r="6630" spans="27:27">
      <c r="AA6630" s="158" t="s">
        <v>3769</v>
      </c>
    </row>
    <row r="6631" spans="27:27">
      <c r="AA6631" s="158" t="s">
        <v>8784</v>
      </c>
    </row>
    <row r="6632" spans="27:27">
      <c r="AA6632" s="158" t="s">
        <v>8785</v>
      </c>
    </row>
    <row r="6633" spans="27:27">
      <c r="AA6633" s="158" t="s">
        <v>8786</v>
      </c>
    </row>
    <row r="6634" spans="27:27">
      <c r="AA6634" s="158" t="s">
        <v>8787</v>
      </c>
    </row>
    <row r="6635" spans="27:27">
      <c r="AA6635" s="158" t="s">
        <v>8788</v>
      </c>
    </row>
    <row r="6636" spans="27:27">
      <c r="AA6636" s="158" t="s">
        <v>8789</v>
      </c>
    </row>
    <row r="6637" spans="27:27">
      <c r="AA6637" s="158" t="s">
        <v>8790</v>
      </c>
    </row>
    <row r="6638" spans="27:27">
      <c r="AA6638" s="158" t="s">
        <v>8791</v>
      </c>
    </row>
    <row r="6639" spans="27:27">
      <c r="AA6639" s="158" t="s">
        <v>8792</v>
      </c>
    </row>
    <row r="6640" spans="27:27">
      <c r="AA6640" s="158" t="s">
        <v>8793</v>
      </c>
    </row>
    <row r="6641" spans="27:27">
      <c r="AA6641" s="158" t="s">
        <v>8794</v>
      </c>
    </row>
    <row r="6642" spans="27:27">
      <c r="AA6642" s="158" t="s">
        <v>8795</v>
      </c>
    </row>
    <row r="6643" spans="27:27">
      <c r="AA6643" s="158" t="s">
        <v>2063</v>
      </c>
    </row>
    <row r="6644" spans="27:27">
      <c r="AA6644" s="158" t="s">
        <v>8796</v>
      </c>
    </row>
    <row r="6645" spans="27:27">
      <c r="AA6645" s="158" t="s">
        <v>2064</v>
      </c>
    </row>
    <row r="6646" spans="27:27">
      <c r="AA6646" s="158" t="s">
        <v>8797</v>
      </c>
    </row>
    <row r="6647" spans="27:27">
      <c r="AA6647" s="158" t="s">
        <v>8798</v>
      </c>
    </row>
    <row r="6648" spans="27:27">
      <c r="AA6648" s="158" t="s">
        <v>2065</v>
      </c>
    </row>
    <row r="6649" spans="27:27">
      <c r="AA6649" s="158" t="s">
        <v>3770</v>
      </c>
    </row>
    <row r="6650" spans="27:27">
      <c r="AA6650" s="158" t="s">
        <v>2066</v>
      </c>
    </row>
    <row r="6651" spans="27:27">
      <c r="AA6651" s="158" t="s">
        <v>3771</v>
      </c>
    </row>
    <row r="6652" spans="27:27">
      <c r="AA6652" s="158" t="s">
        <v>8799</v>
      </c>
    </row>
    <row r="6653" spans="27:27">
      <c r="AA6653" s="158" t="s">
        <v>2067</v>
      </c>
    </row>
    <row r="6654" spans="27:27">
      <c r="AA6654" s="158" t="s">
        <v>8800</v>
      </c>
    </row>
    <row r="6655" spans="27:27">
      <c r="AA6655" s="158" t="s">
        <v>2068</v>
      </c>
    </row>
    <row r="6656" spans="27:27">
      <c r="AA6656" s="158" t="s">
        <v>8801</v>
      </c>
    </row>
    <row r="6657" spans="27:27">
      <c r="AA6657" s="158" t="s">
        <v>2069</v>
      </c>
    </row>
    <row r="6658" spans="27:27">
      <c r="AA6658" s="158" t="s">
        <v>8802</v>
      </c>
    </row>
    <row r="6659" spans="27:27">
      <c r="AA6659" s="158" t="s">
        <v>2070</v>
      </c>
    </row>
    <row r="6660" spans="27:27">
      <c r="AA6660" s="158" t="s">
        <v>8803</v>
      </c>
    </row>
    <row r="6661" spans="27:27">
      <c r="AA6661" s="158" t="s">
        <v>8804</v>
      </c>
    </row>
    <row r="6662" spans="27:27">
      <c r="AA6662" s="158" t="s">
        <v>2071</v>
      </c>
    </row>
    <row r="6663" spans="27:27">
      <c r="AA6663" s="158" t="s">
        <v>8805</v>
      </c>
    </row>
    <row r="6664" spans="27:27">
      <c r="AA6664" s="158" t="s">
        <v>8806</v>
      </c>
    </row>
    <row r="6665" spans="27:27">
      <c r="AA6665" s="158" t="s">
        <v>8807</v>
      </c>
    </row>
    <row r="6666" spans="27:27">
      <c r="AA6666" s="158" t="s">
        <v>8808</v>
      </c>
    </row>
    <row r="6667" spans="27:27">
      <c r="AA6667" s="158" t="s">
        <v>8809</v>
      </c>
    </row>
    <row r="6668" spans="27:27">
      <c r="AA6668" s="158" t="s">
        <v>8810</v>
      </c>
    </row>
    <row r="6669" spans="27:27">
      <c r="AA6669" s="158" t="s">
        <v>8811</v>
      </c>
    </row>
    <row r="6670" spans="27:27">
      <c r="AA6670" s="158" t="s">
        <v>8812</v>
      </c>
    </row>
    <row r="6671" spans="27:27">
      <c r="AA6671" s="158" t="s">
        <v>8813</v>
      </c>
    </row>
    <row r="6672" spans="27:27">
      <c r="AA6672" s="158" t="s">
        <v>8814</v>
      </c>
    </row>
    <row r="6673" spans="27:27">
      <c r="AA6673" s="158" t="s">
        <v>8815</v>
      </c>
    </row>
    <row r="6674" spans="27:27">
      <c r="AA6674" s="158" t="s">
        <v>2072</v>
      </c>
    </row>
    <row r="6675" spans="27:27">
      <c r="AA6675" s="158" t="s">
        <v>8816</v>
      </c>
    </row>
    <row r="6676" spans="27:27">
      <c r="AA6676" s="158" t="s">
        <v>8817</v>
      </c>
    </row>
    <row r="6677" spans="27:27">
      <c r="AA6677" s="158" t="s">
        <v>8818</v>
      </c>
    </row>
    <row r="6678" spans="27:27">
      <c r="AA6678" s="158" t="s">
        <v>2073</v>
      </c>
    </row>
    <row r="6679" spans="27:27">
      <c r="AA6679" s="158" t="s">
        <v>8819</v>
      </c>
    </row>
    <row r="6680" spans="27:27">
      <c r="AA6680" s="158" t="s">
        <v>8820</v>
      </c>
    </row>
    <row r="6681" spans="27:27">
      <c r="AA6681" s="158" t="s">
        <v>8821</v>
      </c>
    </row>
    <row r="6682" spans="27:27">
      <c r="AA6682" s="158" t="s">
        <v>2074</v>
      </c>
    </row>
    <row r="6683" spans="27:27">
      <c r="AA6683" s="158" t="s">
        <v>8822</v>
      </c>
    </row>
    <row r="6684" spans="27:27">
      <c r="AA6684" s="158" t="s">
        <v>2075</v>
      </c>
    </row>
    <row r="6685" spans="27:27">
      <c r="AA6685" s="158" t="s">
        <v>8823</v>
      </c>
    </row>
    <row r="6686" spans="27:27">
      <c r="AA6686" s="158" t="s">
        <v>8824</v>
      </c>
    </row>
    <row r="6687" spans="27:27">
      <c r="AA6687" s="158" t="s">
        <v>2076</v>
      </c>
    </row>
    <row r="6688" spans="27:27">
      <c r="AA6688" s="158" t="s">
        <v>8825</v>
      </c>
    </row>
    <row r="6689" spans="27:27">
      <c r="AA6689" s="158" t="s">
        <v>8826</v>
      </c>
    </row>
    <row r="6690" spans="27:27">
      <c r="AA6690" s="158" t="s">
        <v>8827</v>
      </c>
    </row>
    <row r="6691" spans="27:27">
      <c r="AA6691" s="158" t="s">
        <v>8828</v>
      </c>
    </row>
    <row r="6692" spans="27:27">
      <c r="AA6692" s="158" t="s">
        <v>8829</v>
      </c>
    </row>
    <row r="6693" spans="27:27">
      <c r="AA6693" s="158" t="s">
        <v>8830</v>
      </c>
    </row>
    <row r="6694" spans="27:27">
      <c r="AA6694" s="158" t="s">
        <v>8831</v>
      </c>
    </row>
    <row r="6695" spans="27:27">
      <c r="AA6695" s="158" t="s">
        <v>8832</v>
      </c>
    </row>
    <row r="6696" spans="27:27">
      <c r="AA6696" s="158" t="s">
        <v>8833</v>
      </c>
    </row>
    <row r="6697" spans="27:27">
      <c r="AA6697" s="158" t="s">
        <v>8834</v>
      </c>
    </row>
    <row r="6698" spans="27:27">
      <c r="AA6698" s="158" t="s">
        <v>8835</v>
      </c>
    </row>
    <row r="6699" spans="27:27">
      <c r="AA6699" s="158" t="s">
        <v>8836</v>
      </c>
    </row>
    <row r="6700" spans="27:27">
      <c r="AA6700" s="158" t="s">
        <v>8837</v>
      </c>
    </row>
    <row r="6701" spans="27:27">
      <c r="AA6701" s="158" t="s">
        <v>8838</v>
      </c>
    </row>
    <row r="6702" spans="27:27">
      <c r="AA6702" s="158" t="s">
        <v>2077</v>
      </c>
    </row>
    <row r="6703" spans="27:27">
      <c r="AA6703" s="158" t="s">
        <v>8839</v>
      </c>
    </row>
    <row r="6704" spans="27:27">
      <c r="AA6704" s="158" t="s">
        <v>8840</v>
      </c>
    </row>
    <row r="6705" spans="27:27">
      <c r="AA6705" s="158" t="s">
        <v>8841</v>
      </c>
    </row>
    <row r="6706" spans="27:27">
      <c r="AA6706" s="158" t="s">
        <v>2078</v>
      </c>
    </row>
    <row r="6707" spans="27:27">
      <c r="AA6707" s="158" t="s">
        <v>8842</v>
      </c>
    </row>
    <row r="6708" spans="27:27">
      <c r="AA6708" s="158" t="s">
        <v>8843</v>
      </c>
    </row>
    <row r="6709" spans="27:27">
      <c r="AA6709" s="158" t="s">
        <v>2079</v>
      </c>
    </row>
    <row r="6710" spans="27:27">
      <c r="AA6710" s="158" t="s">
        <v>8844</v>
      </c>
    </row>
    <row r="6711" spans="27:27">
      <c r="AA6711" s="158" t="s">
        <v>8845</v>
      </c>
    </row>
    <row r="6712" spans="27:27">
      <c r="AA6712" s="158" t="s">
        <v>8846</v>
      </c>
    </row>
    <row r="6713" spans="27:27">
      <c r="AA6713" s="158" t="s">
        <v>8847</v>
      </c>
    </row>
    <row r="6714" spans="27:27">
      <c r="AA6714" s="158" t="s">
        <v>2080</v>
      </c>
    </row>
    <row r="6715" spans="27:27">
      <c r="AA6715" s="158" t="s">
        <v>8848</v>
      </c>
    </row>
    <row r="6716" spans="27:27">
      <c r="AA6716" s="158" t="s">
        <v>8849</v>
      </c>
    </row>
    <row r="6717" spans="27:27">
      <c r="AA6717" s="158" t="s">
        <v>8850</v>
      </c>
    </row>
    <row r="6718" spans="27:27">
      <c r="AA6718" s="158" t="s">
        <v>8851</v>
      </c>
    </row>
    <row r="6719" spans="27:27">
      <c r="AA6719" s="158" t="s">
        <v>8852</v>
      </c>
    </row>
    <row r="6720" spans="27:27">
      <c r="AA6720" s="158" t="s">
        <v>8853</v>
      </c>
    </row>
    <row r="6721" spans="27:27">
      <c r="AA6721" s="158" t="s">
        <v>8854</v>
      </c>
    </row>
    <row r="6722" spans="27:27">
      <c r="AA6722" s="158" t="s">
        <v>8855</v>
      </c>
    </row>
    <row r="6723" spans="27:27">
      <c r="AA6723" s="158" t="s">
        <v>8856</v>
      </c>
    </row>
    <row r="6724" spans="27:27">
      <c r="AA6724" s="158" t="s">
        <v>8857</v>
      </c>
    </row>
    <row r="6725" spans="27:27">
      <c r="AA6725" s="158" t="s">
        <v>8858</v>
      </c>
    </row>
    <row r="6726" spans="27:27">
      <c r="AA6726" s="158" t="s">
        <v>8859</v>
      </c>
    </row>
    <row r="6727" spans="27:27">
      <c r="AA6727" s="158" t="s">
        <v>8860</v>
      </c>
    </row>
    <row r="6728" spans="27:27">
      <c r="AA6728" s="158" t="s">
        <v>8861</v>
      </c>
    </row>
    <row r="6729" spans="27:27">
      <c r="AA6729" s="158" t="s">
        <v>2081</v>
      </c>
    </row>
    <row r="6730" spans="27:27">
      <c r="AA6730" s="158" t="s">
        <v>8862</v>
      </c>
    </row>
    <row r="6731" spans="27:27">
      <c r="AA6731" s="158" t="s">
        <v>2082</v>
      </c>
    </row>
    <row r="6732" spans="27:27">
      <c r="AA6732" s="158" t="s">
        <v>3772</v>
      </c>
    </row>
    <row r="6733" spans="27:27">
      <c r="AA6733" s="158" t="s">
        <v>2083</v>
      </c>
    </row>
    <row r="6734" spans="27:27">
      <c r="AA6734" s="158" t="s">
        <v>8863</v>
      </c>
    </row>
    <row r="6735" spans="27:27">
      <c r="AA6735" s="158" t="s">
        <v>8864</v>
      </c>
    </row>
    <row r="6736" spans="27:27">
      <c r="AA6736" s="158" t="s">
        <v>2084</v>
      </c>
    </row>
    <row r="6737" spans="27:27">
      <c r="AA6737" s="158" t="s">
        <v>8865</v>
      </c>
    </row>
    <row r="6738" spans="27:27">
      <c r="AA6738" s="158" t="s">
        <v>8866</v>
      </c>
    </row>
    <row r="6739" spans="27:27">
      <c r="AA6739" s="158" t="s">
        <v>8867</v>
      </c>
    </row>
    <row r="6740" spans="27:27">
      <c r="AA6740" s="158" t="s">
        <v>8868</v>
      </c>
    </row>
    <row r="6741" spans="27:27">
      <c r="AA6741" s="158" t="s">
        <v>8869</v>
      </c>
    </row>
    <row r="6742" spans="27:27">
      <c r="AA6742" s="158" t="s">
        <v>8870</v>
      </c>
    </row>
    <row r="6743" spans="27:27">
      <c r="AA6743" s="158" t="s">
        <v>8871</v>
      </c>
    </row>
    <row r="6744" spans="27:27">
      <c r="AA6744" s="158" t="s">
        <v>8872</v>
      </c>
    </row>
    <row r="6745" spans="27:27">
      <c r="AA6745" s="158" t="s">
        <v>2085</v>
      </c>
    </row>
    <row r="6746" spans="27:27">
      <c r="AA6746" s="158" t="s">
        <v>8873</v>
      </c>
    </row>
    <row r="6747" spans="27:27">
      <c r="AA6747" s="158" t="s">
        <v>2086</v>
      </c>
    </row>
    <row r="6748" spans="27:27">
      <c r="AA6748" s="158" t="s">
        <v>8874</v>
      </c>
    </row>
    <row r="6749" spans="27:27">
      <c r="AA6749" s="158" t="s">
        <v>8875</v>
      </c>
    </row>
    <row r="6750" spans="27:27">
      <c r="AA6750" s="158" t="s">
        <v>8876</v>
      </c>
    </row>
    <row r="6751" spans="27:27">
      <c r="AA6751" s="158" t="s">
        <v>2087</v>
      </c>
    </row>
    <row r="6752" spans="27:27">
      <c r="AA6752" s="158" t="s">
        <v>8877</v>
      </c>
    </row>
    <row r="6753" spans="27:27">
      <c r="AA6753" s="158" t="s">
        <v>8878</v>
      </c>
    </row>
    <row r="6754" spans="27:27">
      <c r="AA6754" s="158" t="s">
        <v>8879</v>
      </c>
    </row>
    <row r="6755" spans="27:27">
      <c r="AA6755" s="158" t="s">
        <v>8880</v>
      </c>
    </row>
    <row r="6756" spans="27:27">
      <c r="AA6756" s="158" t="s">
        <v>8881</v>
      </c>
    </row>
    <row r="6757" spans="27:27">
      <c r="AA6757" s="158" t="s">
        <v>8882</v>
      </c>
    </row>
    <row r="6758" spans="27:27">
      <c r="AA6758" s="158" t="s">
        <v>8883</v>
      </c>
    </row>
    <row r="6759" spans="27:27">
      <c r="AA6759" s="158" t="s">
        <v>8884</v>
      </c>
    </row>
    <row r="6760" spans="27:27">
      <c r="AA6760" s="158" t="s">
        <v>8885</v>
      </c>
    </row>
    <row r="6761" spans="27:27">
      <c r="AA6761" s="158" t="s">
        <v>8886</v>
      </c>
    </row>
    <row r="6762" spans="27:27">
      <c r="AA6762" s="158" t="s">
        <v>8887</v>
      </c>
    </row>
    <row r="6763" spans="27:27">
      <c r="AA6763" s="158" t="s">
        <v>2088</v>
      </c>
    </row>
    <row r="6764" spans="27:27">
      <c r="AA6764" s="158" t="s">
        <v>8888</v>
      </c>
    </row>
    <row r="6765" spans="27:27">
      <c r="AA6765" s="158" t="s">
        <v>2089</v>
      </c>
    </row>
    <row r="6766" spans="27:27">
      <c r="AA6766" s="158" t="s">
        <v>8889</v>
      </c>
    </row>
    <row r="6767" spans="27:27">
      <c r="AA6767" s="158" t="s">
        <v>8890</v>
      </c>
    </row>
    <row r="6768" spans="27:27">
      <c r="AA6768" s="158" t="s">
        <v>8891</v>
      </c>
    </row>
    <row r="6769" spans="27:27">
      <c r="AA6769" s="158" t="s">
        <v>2090</v>
      </c>
    </row>
    <row r="6770" spans="27:27">
      <c r="AA6770" s="158" t="s">
        <v>8892</v>
      </c>
    </row>
    <row r="6771" spans="27:27">
      <c r="AA6771" s="158" t="s">
        <v>8893</v>
      </c>
    </row>
    <row r="6772" spans="27:27">
      <c r="AA6772" s="158" t="s">
        <v>8894</v>
      </c>
    </row>
    <row r="6773" spans="27:27">
      <c r="AA6773" s="158" t="s">
        <v>8895</v>
      </c>
    </row>
    <row r="6774" spans="27:27">
      <c r="AA6774" s="158" t="s">
        <v>8896</v>
      </c>
    </row>
    <row r="6775" spans="27:27">
      <c r="AA6775" s="158" t="s">
        <v>2091</v>
      </c>
    </row>
    <row r="6776" spans="27:27">
      <c r="AA6776" s="158" t="s">
        <v>3773</v>
      </c>
    </row>
    <row r="6777" spans="27:27">
      <c r="AA6777" s="158" t="s">
        <v>8897</v>
      </c>
    </row>
    <row r="6778" spans="27:27">
      <c r="AA6778" s="158" t="s">
        <v>8898</v>
      </c>
    </row>
    <row r="6779" spans="27:27">
      <c r="AA6779" s="158" t="s">
        <v>3774</v>
      </c>
    </row>
    <row r="6780" spans="27:27">
      <c r="AA6780" s="158" t="s">
        <v>8899</v>
      </c>
    </row>
    <row r="6781" spans="27:27">
      <c r="AA6781" s="158" t="s">
        <v>3775</v>
      </c>
    </row>
    <row r="6782" spans="27:27">
      <c r="AA6782" s="158" t="s">
        <v>8900</v>
      </c>
    </row>
    <row r="6783" spans="27:27">
      <c r="AA6783" s="158" t="s">
        <v>8901</v>
      </c>
    </row>
    <row r="6784" spans="27:27">
      <c r="AA6784" s="158" t="s">
        <v>8902</v>
      </c>
    </row>
    <row r="6785" spans="27:27">
      <c r="AA6785" s="158" t="s">
        <v>2092</v>
      </c>
    </row>
    <row r="6786" spans="27:27">
      <c r="AA6786" s="158" t="s">
        <v>8903</v>
      </c>
    </row>
    <row r="6787" spans="27:27">
      <c r="AA6787" s="158" t="s">
        <v>8904</v>
      </c>
    </row>
    <row r="6788" spans="27:27">
      <c r="AA6788" s="158" t="s">
        <v>8905</v>
      </c>
    </row>
    <row r="6789" spans="27:27">
      <c r="AA6789" s="158" t="s">
        <v>8906</v>
      </c>
    </row>
    <row r="6790" spans="27:27">
      <c r="AA6790" s="158" t="s">
        <v>8907</v>
      </c>
    </row>
    <row r="6791" spans="27:27">
      <c r="AA6791" s="158" t="s">
        <v>8908</v>
      </c>
    </row>
    <row r="6792" spans="27:27">
      <c r="AA6792" s="158" t="s">
        <v>8909</v>
      </c>
    </row>
    <row r="6793" spans="27:27">
      <c r="AA6793" s="158" t="s">
        <v>8910</v>
      </c>
    </row>
    <row r="6794" spans="27:27">
      <c r="AA6794" s="158" t="s">
        <v>8911</v>
      </c>
    </row>
    <row r="6795" spans="27:27">
      <c r="AA6795" s="158" t="s">
        <v>2093</v>
      </c>
    </row>
    <row r="6796" spans="27:27">
      <c r="AA6796" s="158" t="s">
        <v>8912</v>
      </c>
    </row>
    <row r="6797" spans="27:27">
      <c r="AA6797" s="158" t="s">
        <v>8913</v>
      </c>
    </row>
    <row r="6798" spans="27:27">
      <c r="AA6798" s="158" t="s">
        <v>8914</v>
      </c>
    </row>
    <row r="6799" spans="27:27">
      <c r="AA6799" s="158" t="s">
        <v>8915</v>
      </c>
    </row>
    <row r="6800" spans="27:27">
      <c r="AA6800" s="158" t="s">
        <v>8916</v>
      </c>
    </row>
    <row r="6801" spans="27:27">
      <c r="AA6801" s="158" t="s">
        <v>8917</v>
      </c>
    </row>
    <row r="6802" spans="27:27">
      <c r="AA6802" s="158" t="s">
        <v>2094</v>
      </c>
    </row>
    <row r="6803" spans="27:27">
      <c r="AA6803" s="158" t="s">
        <v>8918</v>
      </c>
    </row>
    <row r="6804" spans="27:27">
      <c r="AA6804" s="158" t="s">
        <v>8919</v>
      </c>
    </row>
    <row r="6805" spans="27:27">
      <c r="AA6805" s="158" t="s">
        <v>8920</v>
      </c>
    </row>
    <row r="6806" spans="27:27">
      <c r="AA6806" s="158" t="s">
        <v>8921</v>
      </c>
    </row>
    <row r="6807" spans="27:27">
      <c r="AA6807" s="158" t="s">
        <v>8922</v>
      </c>
    </row>
    <row r="6808" spans="27:27">
      <c r="AA6808" s="158" t="s">
        <v>8923</v>
      </c>
    </row>
    <row r="6809" spans="27:27">
      <c r="AA6809" s="158" t="s">
        <v>8924</v>
      </c>
    </row>
    <row r="6810" spans="27:27">
      <c r="AA6810" s="158" t="s">
        <v>8925</v>
      </c>
    </row>
    <row r="6811" spans="27:27">
      <c r="AA6811" s="158" t="s">
        <v>8926</v>
      </c>
    </row>
    <row r="6812" spans="27:27">
      <c r="AA6812" s="158" t="s">
        <v>2095</v>
      </c>
    </row>
    <row r="6813" spans="27:27">
      <c r="AA6813" s="158" t="s">
        <v>8927</v>
      </c>
    </row>
    <row r="6814" spans="27:27">
      <c r="AA6814" s="158" t="s">
        <v>8928</v>
      </c>
    </row>
    <row r="6815" spans="27:27">
      <c r="AA6815" s="158" t="s">
        <v>8929</v>
      </c>
    </row>
    <row r="6816" spans="27:27">
      <c r="AA6816" s="158" t="s">
        <v>8930</v>
      </c>
    </row>
    <row r="6817" spans="27:27">
      <c r="AA6817" s="158" t="s">
        <v>8931</v>
      </c>
    </row>
    <row r="6818" spans="27:27">
      <c r="AA6818" s="158" t="s">
        <v>8932</v>
      </c>
    </row>
    <row r="6819" spans="27:27">
      <c r="AA6819" s="158" t="s">
        <v>8933</v>
      </c>
    </row>
    <row r="6820" spans="27:27">
      <c r="AA6820" s="158" t="s">
        <v>8934</v>
      </c>
    </row>
    <row r="6821" spans="27:27">
      <c r="AA6821" s="158" t="s">
        <v>8935</v>
      </c>
    </row>
    <row r="6822" spans="27:27">
      <c r="AA6822" s="158" t="s">
        <v>8936</v>
      </c>
    </row>
    <row r="6823" spans="27:27">
      <c r="AA6823" s="158" t="s">
        <v>8937</v>
      </c>
    </row>
    <row r="6824" spans="27:27">
      <c r="AA6824" s="158" t="s">
        <v>8938</v>
      </c>
    </row>
    <row r="6825" spans="27:27">
      <c r="AA6825" s="158" t="s">
        <v>8939</v>
      </c>
    </row>
    <row r="6826" spans="27:27">
      <c r="AA6826" s="158" t="s">
        <v>8940</v>
      </c>
    </row>
    <row r="6827" spans="27:27">
      <c r="AA6827" s="158" t="s">
        <v>8941</v>
      </c>
    </row>
    <row r="6828" spans="27:27">
      <c r="AA6828" s="158" t="s">
        <v>8942</v>
      </c>
    </row>
    <row r="6829" spans="27:27">
      <c r="AA6829" s="158" t="s">
        <v>8943</v>
      </c>
    </row>
    <row r="6830" spans="27:27">
      <c r="AA6830" s="158" t="s">
        <v>8944</v>
      </c>
    </row>
    <row r="6831" spans="27:27">
      <c r="AA6831" s="158" t="s">
        <v>8945</v>
      </c>
    </row>
    <row r="6832" spans="27:27">
      <c r="AA6832" s="158" t="s">
        <v>8946</v>
      </c>
    </row>
    <row r="6833" spans="27:27">
      <c r="AA6833" s="158" t="s">
        <v>8947</v>
      </c>
    </row>
    <row r="6834" spans="27:27">
      <c r="AA6834" s="158" t="s">
        <v>8948</v>
      </c>
    </row>
    <row r="6835" spans="27:27">
      <c r="AA6835" s="158" t="s">
        <v>8949</v>
      </c>
    </row>
    <row r="6836" spans="27:27">
      <c r="AA6836" s="158" t="s">
        <v>2096</v>
      </c>
    </row>
    <row r="6837" spans="27:27">
      <c r="AA6837" s="158" t="s">
        <v>8950</v>
      </c>
    </row>
    <row r="6838" spans="27:27">
      <c r="AA6838" s="158" t="s">
        <v>8951</v>
      </c>
    </row>
    <row r="6839" spans="27:27">
      <c r="AA6839" s="158" t="s">
        <v>8952</v>
      </c>
    </row>
    <row r="6840" spans="27:27">
      <c r="AA6840" s="158" t="s">
        <v>8953</v>
      </c>
    </row>
    <row r="6841" spans="27:27">
      <c r="AA6841" s="158" t="s">
        <v>8954</v>
      </c>
    </row>
    <row r="6842" spans="27:27">
      <c r="AA6842" s="158" t="s">
        <v>8955</v>
      </c>
    </row>
    <row r="6843" spans="27:27">
      <c r="AA6843" s="158" t="s">
        <v>8956</v>
      </c>
    </row>
    <row r="6844" spans="27:27">
      <c r="AA6844" s="158" t="s">
        <v>8957</v>
      </c>
    </row>
    <row r="6845" spans="27:27">
      <c r="AA6845" s="158" t="s">
        <v>8958</v>
      </c>
    </row>
    <row r="6846" spans="27:27">
      <c r="AA6846" s="158" t="s">
        <v>8959</v>
      </c>
    </row>
    <row r="6847" spans="27:27">
      <c r="AA6847" s="158" t="s">
        <v>2097</v>
      </c>
    </row>
    <row r="6848" spans="27:27">
      <c r="AA6848" s="158" t="s">
        <v>8960</v>
      </c>
    </row>
    <row r="6849" spans="27:27">
      <c r="AA6849" s="158" t="s">
        <v>8961</v>
      </c>
    </row>
    <row r="6850" spans="27:27">
      <c r="AA6850" s="158" t="s">
        <v>8962</v>
      </c>
    </row>
    <row r="6851" spans="27:27">
      <c r="AA6851" s="158" t="s">
        <v>8963</v>
      </c>
    </row>
    <row r="6852" spans="27:27">
      <c r="AA6852" s="158" t="s">
        <v>8964</v>
      </c>
    </row>
    <row r="6853" spans="27:27">
      <c r="AA6853" s="158" t="s">
        <v>8965</v>
      </c>
    </row>
    <row r="6854" spans="27:27">
      <c r="AA6854" s="158" t="s">
        <v>8966</v>
      </c>
    </row>
    <row r="6855" spans="27:27">
      <c r="AA6855" s="158" t="s">
        <v>8967</v>
      </c>
    </row>
    <row r="6856" spans="27:27">
      <c r="AA6856" s="158" t="s">
        <v>2098</v>
      </c>
    </row>
    <row r="6857" spans="27:27">
      <c r="AA6857" s="158" t="s">
        <v>8968</v>
      </c>
    </row>
    <row r="6858" spans="27:27">
      <c r="AA6858" s="158" t="s">
        <v>8969</v>
      </c>
    </row>
    <row r="6859" spans="27:27">
      <c r="AA6859" s="158" t="s">
        <v>8970</v>
      </c>
    </row>
    <row r="6860" spans="27:27">
      <c r="AA6860" s="158" t="s">
        <v>8971</v>
      </c>
    </row>
    <row r="6861" spans="27:27">
      <c r="AA6861" s="158" t="s">
        <v>8972</v>
      </c>
    </row>
    <row r="6862" spans="27:27">
      <c r="AA6862" s="158" t="s">
        <v>8973</v>
      </c>
    </row>
    <row r="6863" spans="27:27">
      <c r="AA6863" s="158" t="s">
        <v>8974</v>
      </c>
    </row>
    <row r="6864" spans="27:27">
      <c r="AA6864" s="158" t="s">
        <v>8975</v>
      </c>
    </row>
    <row r="6865" spans="27:27">
      <c r="AA6865" s="158" t="s">
        <v>8976</v>
      </c>
    </row>
    <row r="6866" spans="27:27">
      <c r="AA6866" s="158" t="s">
        <v>8977</v>
      </c>
    </row>
    <row r="6867" spans="27:27">
      <c r="AA6867" s="158" t="s">
        <v>2099</v>
      </c>
    </row>
    <row r="6868" spans="27:27">
      <c r="AA6868" s="158" t="s">
        <v>8978</v>
      </c>
    </row>
    <row r="6869" spans="27:27">
      <c r="AA6869" s="158" t="s">
        <v>8979</v>
      </c>
    </row>
    <row r="6870" spans="27:27">
      <c r="AA6870" s="158" t="s">
        <v>8980</v>
      </c>
    </row>
    <row r="6871" spans="27:27">
      <c r="AA6871" s="158" t="s">
        <v>8981</v>
      </c>
    </row>
    <row r="6872" spans="27:27">
      <c r="AA6872" s="158" t="s">
        <v>8982</v>
      </c>
    </row>
    <row r="6873" spans="27:27">
      <c r="AA6873" s="158" t="s">
        <v>8983</v>
      </c>
    </row>
    <row r="6874" spans="27:27">
      <c r="AA6874" s="158" t="s">
        <v>8984</v>
      </c>
    </row>
    <row r="6875" spans="27:27">
      <c r="AA6875" s="158" t="s">
        <v>8985</v>
      </c>
    </row>
    <row r="6876" spans="27:27">
      <c r="AA6876" s="158" t="s">
        <v>8986</v>
      </c>
    </row>
    <row r="6877" spans="27:27">
      <c r="AA6877" s="158" t="s">
        <v>8987</v>
      </c>
    </row>
    <row r="6878" spans="27:27">
      <c r="AA6878" s="158" t="s">
        <v>2100</v>
      </c>
    </row>
    <row r="6879" spans="27:27">
      <c r="AA6879" s="158" t="s">
        <v>8988</v>
      </c>
    </row>
    <row r="6880" spans="27:27">
      <c r="AA6880" s="158" t="s">
        <v>3776</v>
      </c>
    </row>
    <row r="6881" spans="27:27">
      <c r="AA6881" s="158" t="s">
        <v>8989</v>
      </c>
    </row>
    <row r="6882" spans="27:27">
      <c r="AA6882" s="158" t="s">
        <v>8990</v>
      </c>
    </row>
    <row r="6883" spans="27:27">
      <c r="AA6883" s="158" t="s">
        <v>8991</v>
      </c>
    </row>
    <row r="6884" spans="27:27">
      <c r="AA6884" s="158" t="s">
        <v>8992</v>
      </c>
    </row>
    <row r="6885" spans="27:27">
      <c r="AA6885" s="158" t="s">
        <v>8993</v>
      </c>
    </row>
    <row r="6886" spans="27:27">
      <c r="AA6886" s="158" t="s">
        <v>8994</v>
      </c>
    </row>
    <row r="6887" spans="27:27">
      <c r="AA6887" s="158" t="s">
        <v>8995</v>
      </c>
    </row>
    <row r="6888" spans="27:27">
      <c r="AA6888" s="158" t="s">
        <v>8996</v>
      </c>
    </row>
    <row r="6889" spans="27:27">
      <c r="AA6889" s="158" t="s">
        <v>8997</v>
      </c>
    </row>
    <row r="6890" spans="27:27">
      <c r="AA6890" s="158" t="s">
        <v>8998</v>
      </c>
    </row>
    <row r="6891" spans="27:27">
      <c r="AA6891" s="158" t="s">
        <v>8999</v>
      </c>
    </row>
    <row r="6892" spans="27:27">
      <c r="AA6892" s="158" t="s">
        <v>2101</v>
      </c>
    </row>
    <row r="6893" spans="27:27">
      <c r="AA6893" s="158" t="s">
        <v>2102</v>
      </c>
    </row>
    <row r="6894" spans="27:27">
      <c r="AA6894" s="158" t="s">
        <v>2103</v>
      </c>
    </row>
    <row r="6895" spans="27:27">
      <c r="AA6895" s="158" t="s">
        <v>3777</v>
      </c>
    </row>
    <row r="6896" spans="27:27">
      <c r="AA6896" s="158" t="s">
        <v>2104</v>
      </c>
    </row>
    <row r="6897" spans="27:27">
      <c r="AA6897" s="158" t="s">
        <v>2105</v>
      </c>
    </row>
    <row r="6898" spans="27:27">
      <c r="AA6898" s="158" t="s">
        <v>2106</v>
      </c>
    </row>
    <row r="6899" spans="27:27">
      <c r="AA6899" s="158" t="s">
        <v>2107</v>
      </c>
    </row>
    <row r="6900" spans="27:27">
      <c r="AA6900" s="158" t="s">
        <v>9000</v>
      </c>
    </row>
    <row r="6901" spans="27:27">
      <c r="AA6901" s="158" t="s">
        <v>9001</v>
      </c>
    </row>
    <row r="6902" spans="27:27">
      <c r="AA6902" s="158" t="s">
        <v>9002</v>
      </c>
    </row>
    <row r="6903" spans="27:27">
      <c r="AA6903" s="158" t="s">
        <v>9003</v>
      </c>
    </row>
    <row r="6904" spans="27:27">
      <c r="AA6904" s="158" t="s">
        <v>2108</v>
      </c>
    </row>
    <row r="6905" spans="27:27">
      <c r="AA6905" s="158" t="s">
        <v>9004</v>
      </c>
    </row>
    <row r="6906" spans="27:27">
      <c r="AA6906" s="158" t="s">
        <v>9005</v>
      </c>
    </row>
    <row r="6907" spans="27:27">
      <c r="AA6907" s="158" t="s">
        <v>9006</v>
      </c>
    </row>
    <row r="6908" spans="27:27">
      <c r="AA6908" s="158" t="s">
        <v>9007</v>
      </c>
    </row>
    <row r="6909" spans="27:27">
      <c r="AA6909" s="158" t="s">
        <v>9008</v>
      </c>
    </row>
    <row r="6910" spans="27:27">
      <c r="AA6910" s="158" t="s">
        <v>9009</v>
      </c>
    </row>
    <row r="6911" spans="27:27">
      <c r="AA6911" s="158" t="s">
        <v>9010</v>
      </c>
    </row>
    <row r="6912" spans="27:27">
      <c r="AA6912" s="158" t="s">
        <v>2109</v>
      </c>
    </row>
    <row r="6913" spans="27:27">
      <c r="AA6913" s="158" t="s">
        <v>9011</v>
      </c>
    </row>
    <row r="6914" spans="27:27">
      <c r="AA6914" s="158" t="s">
        <v>2110</v>
      </c>
    </row>
    <row r="6915" spans="27:27">
      <c r="AA6915" s="158" t="s">
        <v>9012</v>
      </c>
    </row>
    <row r="6916" spans="27:27">
      <c r="AA6916" s="158" t="s">
        <v>9013</v>
      </c>
    </row>
    <row r="6917" spans="27:27">
      <c r="AA6917" s="158" t="s">
        <v>9014</v>
      </c>
    </row>
    <row r="6918" spans="27:27">
      <c r="AA6918" s="158" t="s">
        <v>9015</v>
      </c>
    </row>
    <row r="6919" spans="27:27">
      <c r="AA6919" s="158" t="s">
        <v>9016</v>
      </c>
    </row>
    <row r="6920" spans="27:27">
      <c r="AA6920" s="158" t="s">
        <v>9017</v>
      </c>
    </row>
    <row r="6921" spans="27:27">
      <c r="AA6921" s="158" t="s">
        <v>9018</v>
      </c>
    </row>
    <row r="6922" spans="27:27">
      <c r="AA6922" s="158" t="s">
        <v>2111</v>
      </c>
    </row>
    <row r="6923" spans="27:27">
      <c r="AA6923" s="158" t="s">
        <v>9019</v>
      </c>
    </row>
    <row r="6924" spans="27:27">
      <c r="AA6924" s="158" t="s">
        <v>2112</v>
      </c>
    </row>
    <row r="6925" spans="27:27">
      <c r="AA6925" s="158" t="s">
        <v>9020</v>
      </c>
    </row>
    <row r="6926" spans="27:27">
      <c r="AA6926" s="158" t="s">
        <v>9021</v>
      </c>
    </row>
    <row r="6927" spans="27:27">
      <c r="AA6927" s="158" t="s">
        <v>9022</v>
      </c>
    </row>
    <row r="6928" spans="27:27">
      <c r="AA6928" s="158" t="s">
        <v>9023</v>
      </c>
    </row>
    <row r="6929" spans="27:27">
      <c r="AA6929" s="158" t="s">
        <v>9024</v>
      </c>
    </row>
    <row r="6930" spans="27:27">
      <c r="AA6930" s="158" t="s">
        <v>2113</v>
      </c>
    </row>
    <row r="6931" spans="27:27">
      <c r="AA6931" s="158" t="s">
        <v>9025</v>
      </c>
    </row>
    <row r="6932" spans="27:27">
      <c r="AA6932" s="158" t="s">
        <v>9026</v>
      </c>
    </row>
    <row r="6933" spans="27:27">
      <c r="AA6933" s="158" t="s">
        <v>2114</v>
      </c>
    </row>
    <row r="6934" spans="27:27">
      <c r="AA6934" s="158" t="s">
        <v>9027</v>
      </c>
    </row>
    <row r="6935" spans="27:27">
      <c r="AA6935" s="158" t="s">
        <v>9028</v>
      </c>
    </row>
    <row r="6936" spans="27:27">
      <c r="AA6936" s="158" t="s">
        <v>9029</v>
      </c>
    </row>
    <row r="6937" spans="27:27">
      <c r="AA6937" s="158" t="s">
        <v>9030</v>
      </c>
    </row>
    <row r="6938" spans="27:27">
      <c r="AA6938" s="158" t="s">
        <v>9031</v>
      </c>
    </row>
    <row r="6939" spans="27:27">
      <c r="AA6939" s="158" t="s">
        <v>2115</v>
      </c>
    </row>
    <row r="6940" spans="27:27">
      <c r="AA6940" s="158" t="s">
        <v>9032</v>
      </c>
    </row>
    <row r="6941" spans="27:27">
      <c r="AA6941" s="158" t="s">
        <v>2116</v>
      </c>
    </row>
    <row r="6942" spans="27:27">
      <c r="AA6942" s="158" t="s">
        <v>9033</v>
      </c>
    </row>
    <row r="6943" spans="27:27">
      <c r="AA6943" s="158" t="s">
        <v>9034</v>
      </c>
    </row>
    <row r="6944" spans="27:27">
      <c r="AA6944" s="158" t="s">
        <v>2117</v>
      </c>
    </row>
    <row r="6945" spans="27:27">
      <c r="AA6945" s="158" t="s">
        <v>3778</v>
      </c>
    </row>
    <row r="6946" spans="27:27">
      <c r="AA6946" s="158" t="s">
        <v>9035</v>
      </c>
    </row>
    <row r="6947" spans="27:27">
      <c r="AA6947" s="158" t="s">
        <v>2118</v>
      </c>
    </row>
    <row r="6948" spans="27:27">
      <c r="AA6948" s="158" t="s">
        <v>2119</v>
      </c>
    </row>
    <row r="6949" spans="27:27">
      <c r="AA6949" s="158" t="s">
        <v>2120</v>
      </c>
    </row>
    <row r="6950" spans="27:27">
      <c r="AA6950" s="158" t="s">
        <v>2121</v>
      </c>
    </row>
    <row r="6951" spans="27:27">
      <c r="AA6951" s="158" t="s">
        <v>9036</v>
      </c>
    </row>
    <row r="6952" spans="27:27">
      <c r="AA6952" s="158" t="s">
        <v>9037</v>
      </c>
    </row>
    <row r="6953" spans="27:27">
      <c r="AA6953" s="158" t="s">
        <v>2122</v>
      </c>
    </row>
    <row r="6954" spans="27:27">
      <c r="AA6954" s="158" t="s">
        <v>9038</v>
      </c>
    </row>
    <row r="6955" spans="27:27">
      <c r="AA6955" s="158" t="s">
        <v>9039</v>
      </c>
    </row>
    <row r="6956" spans="27:27">
      <c r="AA6956" s="158" t="s">
        <v>9040</v>
      </c>
    </row>
    <row r="6957" spans="27:27">
      <c r="AA6957" s="158" t="s">
        <v>2123</v>
      </c>
    </row>
    <row r="6958" spans="27:27">
      <c r="AA6958" s="158" t="s">
        <v>9041</v>
      </c>
    </row>
    <row r="6959" spans="27:27">
      <c r="AA6959" s="158" t="s">
        <v>2124</v>
      </c>
    </row>
    <row r="6960" spans="27:27">
      <c r="AA6960" s="158" t="s">
        <v>2125</v>
      </c>
    </row>
    <row r="6961" spans="27:27">
      <c r="AA6961" s="158" t="s">
        <v>9042</v>
      </c>
    </row>
    <row r="6962" spans="27:27">
      <c r="AA6962" s="158" t="s">
        <v>9043</v>
      </c>
    </row>
    <row r="6963" spans="27:27">
      <c r="AA6963" s="158" t="s">
        <v>2126</v>
      </c>
    </row>
    <row r="6964" spans="27:27">
      <c r="AA6964" s="158" t="s">
        <v>9044</v>
      </c>
    </row>
    <row r="6965" spans="27:27">
      <c r="AA6965" s="158" t="s">
        <v>9045</v>
      </c>
    </row>
    <row r="6966" spans="27:27">
      <c r="AA6966" s="158" t="s">
        <v>2127</v>
      </c>
    </row>
    <row r="6967" spans="27:27">
      <c r="AA6967" s="158" t="s">
        <v>2128</v>
      </c>
    </row>
    <row r="6968" spans="27:27">
      <c r="AA6968" s="158" t="s">
        <v>2129</v>
      </c>
    </row>
    <row r="6969" spans="27:27">
      <c r="AA6969" s="158" t="s">
        <v>2130</v>
      </c>
    </row>
    <row r="6970" spans="27:27">
      <c r="AA6970" s="158" t="s">
        <v>9046</v>
      </c>
    </row>
    <row r="6971" spans="27:27">
      <c r="AA6971" s="158" t="s">
        <v>9047</v>
      </c>
    </row>
    <row r="6972" spans="27:27">
      <c r="AA6972" s="158" t="s">
        <v>2131</v>
      </c>
    </row>
    <row r="6973" spans="27:27">
      <c r="AA6973" s="158" t="s">
        <v>9048</v>
      </c>
    </row>
    <row r="6974" spans="27:27">
      <c r="AA6974" s="158" t="s">
        <v>9049</v>
      </c>
    </row>
    <row r="6975" spans="27:27">
      <c r="AA6975" s="158" t="s">
        <v>9050</v>
      </c>
    </row>
    <row r="6976" spans="27:27">
      <c r="AA6976" s="158" t="s">
        <v>2132</v>
      </c>
    </row>
    <row r="6977" spans="27:27">
      <c r="AA6977" s="158" t="s">
        <v>9051</v>
      </c>
    </row>
    <row r="6978" spans="27:27">
      <c r="AA6978" s="158" t="s">
        <v>9052</v>
      </c>
    </row>
    <row r="6979" spans="27:27">
      <c r="AA6979" s="158" t="s">
        <v>9053</v>
      </c>
    </row>
    <row r="6980" spans="27:27">
      <c r="AA6980" s="158" t="s">
        <v>2133</v>
      </c>
    </row>
    <row r="6981" spans="27:27">
      <c r="AA6981" s="158" t="s">
        <v>9054</v>
      </c>
    </row>
    <row r="6982" spans="27:27">
      <c r="AA6982" s="158" t="s">
        <v>9055</v>
      </c>
    </row>
    <row r="6983" spans="27:27">
      <c r="AA6983" s="158" t="s">
        <v>2134</v>
      </c>
    </row>
    <row r="6984" spans="27:27">
      <c r="AA6984" s="158" t="s">
        <v>2135</v>
      </c>
    </row>
    <row r="6985" spans="27:27">
      <c r="AA6985" s="158" t="s">
        <v>2136</v>
      </c>
    </row>
    <row r="6986" spans="27:27">
      <c r="AA6986" s="158" t="s">
        <v>9056</v>
      </c>
    </row>
    <row r="6987" spans="27:27">
      <c r="AA6987" s="158" t="s">
        <v>2137</v>
      </c>
    </row>
    <row r="6988" spans="27:27">
      <c r="AA6988" s="158" t="s">
        <v>2138</v>
      </c>
    </row>
    <row r="6989" spans="27:27">
      <c r="AA6989" s="158" t="s">
        <v>2139</v>
      </c>
    </row>
    <row r="6990" spans="27:27">
      <c r="AA6990" s="158" t="s">
        <v>2140</v>
      </c>
    </row>
    <row r="6991" spans="27:27">
      <c r="AA6991" s="158" t="s">
        <v>2141</v>
      </c>
    </row>
    <row r="6992" spans="27:27">
      <c r="AA6992" s="158" t="s">
        <v>9057</v>
      </c>
    </row>
    <row r="6993" spans="27:27">
      <c r="AA6993" s="158" t="s">
        <v>2142</v>
      </c>
    </row>
    <row r="6994" spans="27:27">
      <c r="AA6994" s="158" t="s">
        <v>9058</v>
      </c>
    </row>
    <row r="6995" spans="27:27">
      <c r="AA6995" s="158" t="s">
        <v>2143</v>
      </c>
    </row>
    <row r="6996" spans="27:27">
      <c r="AA6996" s="158" t="s">
        <v>9059</v>
      </c>
    </row>
    <row r="6997" spans="27:27">
      <c r="AA6997" s="158" t="s">
        <v>2144</v>
      </c>
    </row>
    <row r="6998" spans="27:27">
      <c r="AA6998" s="158" t="s">
        <v>2145</v>
      </c>
    </row>
    <row r="6999" spans="27:27">
      <c r="AA6999" s="158" t="s">
        <v>2146</v>
      </c>
    </row>
    <row r="7000" spans="27:27">
      <c r="AA7000" s="158" t="s">
        <v>2147</v>
      </c>
    </row>
    <row r="7001" spans="27:27">
      <c r="AA7001" s="158" t="s">
        <v>2148</v>
      </c>
    </row>
    <row r="7002" spans="27:27">
      <c r="AA7002" s="158" t="s">
        <v>2149</v>
      </c>
    </row>
    <row r="7003" spans="27:27">
      <c r="AA7003" s="158" t="s">
        <v>2150</v>
      </c>
    </row>
    <row r="7004" spans="27:27">
      <c r="AA7004" s="158" t="s">
        <v>2151</v>
      </c>
    </row>
    <row r="7005" spans="27:27">
      <c r="AA7005" s="158" t="s">
        <v>2152</v>
      </c>
    </row>
    <row r="7006" spans="27:27">
      <c r="AA7006" s="158" t="s">
        <v>2153</v>
      </c>
    </row>
    <row r="7007" spans="27:27">
      <c r="AA7007" s="158" t="s">
        <v>2154</v>
      </c>
    </row>
    <row r="7008" spans="27:27">
      <c r="AA7008" s="158" t="s">
        <v>2155</v>
      </c>
    </row>
    <row r="7009" spans="27:27">
      <c r="AA7009" s="158" t="s">
        <v>2156</v>
      </c>
    </row>
    <row r="7010" spans="27:27">
      <c r="AA7010" s="158" t="s">
        <v>2157</v>
      </c>
    </row>
    <row r="7011" spans="27:27">
      <c r="AA7011" s="158" t="s">
        <v>2158</v>
      </c>
    </row>
    <row r="7012" spans="27:27">
      <c r="AA7012" s="158" t="s">
        <v>2159</v>
      </c>
    </row>
    <row r="7013" spans="27:27">
      <c r="AA7013" s="158" t="s">
        <v>2160</v>
      </c>
    </row>
    <row r="7014" spans="27:27">
      <c r="AA7014" s="158" t="s">
        <v>2161</v>
      </c>
    </row>
    <row r="7015" spans="27:27">
      <c r="AA7015" s="158" t="s">
        <v>2162</v>
      </c>
    </row>
    <row r="7016" spans="27:27">
      <c r="AA7016" s="158" t="s">
        <v>2163</v>
      </c>
    </row>
    <row r="7017" spans="27:27">
      <c r="AA7017" s="158" t="s">
        <v>9060</v>
      </c>
    </row>
    <row r="7018" spans="27:27">
      <c r="AA7018" s="158" t="s">
        <v>2164</v>
      </c>
    </row>
    <row r="7019" spans="27:27">
      <c r="AA7019" s="158" t="s">
        <v>9061</v>
      </c>
    </row>
    <row r="7020" spans="27:27">
      <c r="AA7020" s="158" t="s">
        <v>2165</v>
      </c>
    </row>
    <row r="7021" spans="27:27">
      <c r="AA7021" s="158" t="s">
        <v>9062</v>
      </c>
    </row>
    <row r="7022" spans="27:27">
      <c r="AA7022" s="158" t="s">
        <v>2166</v>
      </c>
    </row>
    <row r="7023" spans="27:27">
      <c r="AA7023" s="158" t="s">
        <v>9063</v>
      </c>
    </row>
    <row r="7024" spans="27:27">
      <c r="AA7024" s="158" t="s">
        <v>2167</v>
      </c>
    </row>
    <row r="7025" spans="27:27">
      <c r="AA7025" s="158" t="s">
        <v>2168</v>
      </c>
    </row>
    <row r="7026" spans="27:27">
      <c r="AA7026" s="158" t="s">
        <v>2169</v>
      </c>
    </row>
    <row r="7027" spans="27:27">
      <c r="AA7027" s="158" t="s">
        <v>2170</v>
      </c>
    </row>
    <row r="7028" spans="27:27">
      <c r="AA7028" s="158" t="s">
        <v>2171</v>
      </c>
    </row>
    <row r="7029" spans="27:27">
      <c r="AA7029" s="158" t="s">
        <v>2172</v>
      </c>
    </row>
    <row r="7030" spans="27:27">
      <c r="AA7030" s="158" t="s">
        <v>797</v>
      </c>
    </row>
    <row r="7031" spans="27:27">
      <c r="AA7031" s="158" t="s">
        <v>798</v>
      </c>
    </row>
    <row r="7032" spans="27:27">
      <c r="AA7032" s="158" t="s">
        <v>799</v>
      </c>
    </row>
    <row r="7033" spans="27:27">
      <c r="AA7033" s="158" t="s">
        <v>3779</v>
      </c>
    </row>
    <row r="7034" spans="27:27">
      <c r="AA7034" s="158" t="s">
        <v>3780</v>
      </c>
    </row>
    <row r="7035" spans="27:27">
      <c r="AA7035" s="158" t="s">
        <v>800</v>
      </c>
    </row>
    <row r="7036" spans="27:27">
      <c r="AA7036" s="158" t="s">
        <v>3781</v>
      </c>
    </row>
    <row r="7037" spans="27:27">
      <c r="AA7037" s="158" t="s">
        <v>801</v>
      </c>
    </row>
    <row r="7038" spans="27:27">
      <c r="AA7038" s="158" t="s">
        <v>3782</v>
      </c>
    </row>
    <row r="7039" spans="27:27">
      <c r="AA7039" s="158" t="s">
        <v>3783</v>
      </c>
    </row>
    <row r="7040" spans="27:27">
      <c r="AA7040" s="158" t="s">
        <v>802</v>
      </c>
    </row>
    <row r="7041" spans="27:27">
      <c r="AA7041" s="158" t="s">
        <v>803</v>
      </c>
    </row>
    <row r="7042" spans="27:27">
      <c r="AA7042" s="158" t="s">
        <v>804</v>
      </c>
    </row>
    <row r="7043" spans="27:27">
      <c r="AA7043" s="158" t="s">
        <v>805</v>
      </c>
    </row>
    <row r="7044" spans="27:27">
      <c r="AA7044" s="158" t="s">
        <v>2173</v>
      </c>
    </row>
    <row r="7045" spans="27:27">
      <c r="AA7045" s="158" t="s">
        <v>2174</v>
      </c>
    </row>
    <row r="7046" spans="27:27">
      <c r="AA7046" s="158" t="s">
        <v>2175</v>
      </c>
    </row>
    <row r="7047" spans="27:27">
      <c r="AA7047" s="158" t="s">
        <v>2176</v>
      </c>
    </row>
    <row r="7048" spans="27:27">
      <c r="AA7048" s="158" t="s">
        <v>2177</v>
      </c>
    </row>
    <row r="7049" spans="27:27">
      <c r="AA7049" s="158" t="s">
        <v>2178</v>
      </c>
    </row>
    <row r="7050" spans="27:27">
      <c r="AA7050" s="158" t="s">
        <v>2179</v>
      </c>
    </row>
    <row r="7051" spans="27:27">
      <c r="AA7051" s="158" t="s">
        <v>9064</v>
      </c>
    </row>
    <row r="7052" spans="27:27">
      <c r="AA7052" s="158" t="s">
        <v>2180</v>
      </c>
    </row>
    <row r="7053" spans="27:27">
      <c r="AA7053" s="158" t="s">
        <v>9065</v>
      </c>
    </row>
    <row r="7054" spans="27:27">
      <c r="AA7054" s="158" t="s">
        <v>2181</v>
      </c>
    </row>
    <row r="7055" spans="27:27">
      <c r="AA7055" s="158" t="s">
        <v>9066</v>
      </c>
    </row>
    <row r="7056" spans="27:27">
      <c r="AA7056" s="158" t="s">
        <v>2182</v>
      </c>
    </row>
    <row r="7057" spans="27:27">
      <c r="AA7057" s="158" t="s">
        <v>2183</v>
      </c>
    </row>
    <row r="7058" spans="27:27">
      <c r="AA7058" s="158" t="s">
        <v>9067</v>
      </c>
    </row>
    <row r="7059" spans="27:27">
      <c r="AA7059" s="158" t="s">
        <v>2184</v>
      </c>
    </row>
    <row r="7060" spans="27:27">
      <c r="AA7060" s="158" t="s">
        <v>9068</v>
      </c>
    </row>
    <row r="7061" spans="27:27">
      <c r="AA7061" s="158" t="s">
        <v>2185</v>
      </c>
    </row>
    <row r="7062" spans="27:27">
      <c r="AA7062" s="158" t="s">
        <v>9069</v>
      </c>
    </row>
    <row r="7063" spans="27:27">
      <c r="AA7063" s="158" t="s">
        <v>2186</v>
      </c>
    </row>
    <row r="7064" spans="27:27">
      <c r="AA7064" s="158" t="s">
        <v>9070</v>
      </c>
    </row>
    <row r="7065" spans="27:27">
      <c r="AA7065" s="158" t="s">
        <v>2187</v>
      </c>
    </row>
    <row r="7066" spans="27:27">
      <c r="AA7066" s="158" t="s">
        <v>2188</v>
      </c>
    </row>
    <row r="7067" spans="27:27">
      <c r="AA7067" s="158" t="s">
        <v>9071</v>
      </c>
    </row>
    <row r="7068" spans="27:27">
      <c r="AA7068" s="158" t="s">
        <v>9072</v>
      </c>
    </row>
    <row r="7069" spans="27:27">
      <c r="AA7069" s="158" t="s">
        <v>2189</v>
      </c>
    </row>
    <row r="7070" spans="27:27">
      <c r="AA7070" s="158" t="s">
        <v>9073</v>
      </c>
    </row>
    <row r="7071" spans="27:27">
      <c r="AA7071" s="158" t="s">
        <v>2190</v>
      </c>
    </row>
    <row r="7072" spans="27:27">
      <c r="AA7072" s="158" t="s">
        <v>9074</v>
      </c>
    </row>
    <row r="7073" spans="27:27">
      <c r="AA7073" s="158" t="s">
        <v>2191</v>
      </c>
    </row>
    <row r="7074" spans="27:27">
      <c r="AA7074" s="158" t="s">
        <v>2192</v>
      </c>
    </row>
    <row r="7075" spans="27:27">
      <c r="AA7075" s="158" t="s">
        <v>2193</v>
      </c>
    </row>
    <row r="7076" spans="27:27">
      <c r="AA7076" s="158" t="s">
        <v>2194</v>
      </c>
    </row>
    <row r="7077" spans="27:27">
      <c r="AA7077" s="158" t="s">
        <v>2195</v>
      </c>
    </row>
    <row r="7078" spans="27:27">
      <c r="AA7078" s="158" t="s">
        <v>2196</v>
      </c>
    </row>
    <row r="7079" spans="27:27">
      <c r="AA7079" s="158" t="s">
        <v>2197</v>
      </c>
    </row>
    <row r="7080" spans="27:27">
      <c r="AA7080" s="158" t="s">
        <v>2198</v>
      </c>
    </row>
    <row r="7081" spans="27:27">
      <c r="AA7081" s="158" t="s">
        <v>9075</v>
      </c>
    </row>
    <row r="7082" spans="27:27">
      <c r="AA7082" s="158" t="s">
        <v>2199</v>
      </c>
    </row>
    <row r="7083" spans="27:27">
      <c r="AA7083" s="158" t="s">
        <v>9076</v>
      </c>
    </row>
    <row r="7084" spans="27:27">
      <c r="AA7084" s="158" t="s">
        <v>2200</v>
      </c>
    </row>
    <row r="7085" spans="27:27">
      <c r="AA7085" s="158" t="s">
        <v>9077</v>
      </c>
    </row>
    <row r="7086" spans="27:27">
      <c r="AA7086" s="158" t="s">
        <v>2201</v>
      </c>
    </row>
    <row r="7087" spans="27:27">
      <c r="AA7087" s="158" t="s">
        <v>2202</v>
      </c>
    </row>
    <row r="7088" spans="27:27">
      <c r="AA7088" s="158" t="s">
        <v>2203</v>
      </c>
    </row>
    <row r="7089" spans="27:27">
      <c r="AA7089" s="158" t="s">
        <v>2204</v>
      </c>
    </row>
    <row r="7090" spans="27:27">
      <c r="AA7090" s="158" t="s">
        <v>2205</v>
      </c>
    </row>
    <row r="7091" spans="27:27">
      <c r="AA7091" s="158" t="s">
        <v>2206</v>
      </c>
    </row>
    <row r="7092" spans="27:27">
      <c r="AA7092" s="158" t="s">
        <v>2207</v>
      </c>
    </row>
    <row r="7093" spans="27:27">
      <c r="AA7093" s="158" t="s">
        <v>2208</v>
      </c>
    </row>
    <row r="7094" spans="27:27">
      <c r="AA7094" s="158" t="s">
        <v>2209</v>
      </c>
    </row>
    <row r="7095" spans="27:27">
      <c r="AA7095" s="158" t="s">
        <v>2210</v>
      </c>
    </row>
    <row r="7096" spans="27:27">
      <c r="AA7096" s="158" t="s">
        <v>2211</v>
      </c>
    </row>
    <row r="7097" spans="27:27">
      <c r="AA7097" s="158" t="s">
        <v>2212</v>
      </c>
    </row>
    <row r="7098" spans="27:27">
      <c r="AA7098" s="158" t="s">
        <v>2213</v>
      </c>
    </row>
    <row r="7099" spans="27:27">
      <c r="AA7099" s="158" t="s">
        <v>2214</v>
      </c>
    </row>
    <row r="7100" spans="27:27">
      <c r="AA7100" s="158" t="s">
        <v>2215</v>
      </c>
    </row>
    <row r="7101" spans="27:27">
      <c r="AA7101" s="158" t="s">
        <v>2216</v>
      </c>
    </row>
    <row r="7102" spans="27:27">
      <c r="AA7102" s="158" t="s">
        <v>2217</v>
      </c>
    </row>
    <row r="7103" spans="27:27">
      <c r="AA7103" s="158" t="s">
        <v>2218</v>
      </c>
    </row>
    <row r="7104" spans="27:27">
      <c r="AA7104" s="158" t="s">
        <v>2219</v>
      </c>
    </row>
    <row r="7105" spans="27:27">
      <c r="AA7105" s="158" t="s">
        <v>2220</v>
      </c>
    </row>
    <row r="7106" spans="27:27">
      <c r="AA7106" s="158" t="s">
        <v>2221</v>
      </c>
    </row>
    <row r="7107" spans="27:27">
      <c r="AA7107" s="158" t="s">
        <v>9078</v>
      </c>
    </row>
    <row r="7108" spans="27:27">
      <c r="AA7108" s="158" t="s">
        <v>2222</v>
      </c>
    </row>
    <row r="7109" spans="27:27">
      <c r="AA7109" s="158" t="s">
        <v>9079</v>
      </c>
    </row>
    <row r="7110" spans="27:27">
      <c r="AA7110" s="158" t="s">
        <v>2223</v>
      </c>
    </row>
    <row r="7111" spans="27:27">
      <c r="AA7111" s="158" t="s">
        <v>9080</v>
      </c>
    </row>
    <row r="7112" spans="27:27">
      <c r="AA7112" s="158" t="s">
        <v>2224</v>
      </c>
    </row>
    <row r="7113" spans="27:27">
      <c r="AA7113" s="158" t="s">
        <v>9081</v>
      </c>
    </row>
    <row r="7114" spans="27:27">
      <c r="AA7114" s="158" t="s">
        <v>2225</v>
      </c>
    </row>
    <row r="7115" spans="27:27">
      <c r="AA7115" s="158" t="s">
        <v>2226</v>
      </c>
    </row>
    <row r="7116" spans="27:27">
      <c r="AA7116" s="158" t="s">
        <v>2227</v>
      </c>
    </row>
    <row r="7117" spans="27:27">
      <c r="AA7117" s="158" t="s">
        <v>2228</v>
      </c>
    </row>
    <row r="7118" spans="27:27">
      <c r="AA7118" s="158" t="s">
        <v>2229</v>
      </c>
    </row>
    <row r="7119" spans="27:27">
      <c r="AA7119" s="158" t="s">
        <v>2230</v>
      </c>
    </row>
    <row r="7120" spans="27:27">
      <c r="AA7120" s="158" t="s">
        <v>2231</v>
      </c>
    </row>
    <row r="7121" spans="27:27">
      <c r="AA7121" s="158" t="s">
        <v>2232</v>
      </c>
    </row>
    <row r="7122" spans="27:27">
      <c r="AA7122" s="158" t="s">
        <v>2233</v>
      </c>
    </row>
    <row r="7123" spans="27:27">
      <c r="AA7123" s="158" t="s">
        <v>2234</v>
      </c>
    </row>
    <row r="7124" spans="27:27">
      <c r="AA7124" s="158" t="s">
        <v>2235</v>
      </c>
    </row>
    <row r="7125" spans="27:27">
      <c r="AA7125" s="158" t="s">
        <v>2236</v>
      </c>
    </row>
    <row r="7126" spans="27:27">
      <c r="AA7126" s="158" t="s">
        <v>2237</v>
      </c>
    </row>
    <row r="7127" spans="27:27">
      <c r="AA7127" s="158" t="s">
        <v>2238</v>
      </c>
    </row>
    <row r="7128" spans="27:27">
      <c r="AA7128" s="158" t="s">
        <v>9082</v>
      </c>
    </row>
    <row r="7129" spans="27:27">
      <c r="AA7129" s="158" t="s">
        <v>2239</v>
      </c>
    </row>
    <row r="7130" spans="27:27">
      <c r="AA7130" s="158" t="s">
        <v>9083</v>
      </c>
    </row>
    <row r="7131" spans="27:27">
      <c r="AA7131" s="158" t="s">
        <v>2240</v>
      </c>
    </row>
    <row r="7132" spans="27:27">
      <c r="AA7132" s="158" t="s">
        <v>9084</v>
      </c>
    </row>
    <row r="7133" spans="27:27">
      <c r="AA7133" s="158" t="s">
        <v>2241</v>
      </c>
    </row>
    <row r="7134" spans="27:27">
      <c r="AA7134" s="158" t="s">
        <v>2242</v>
      </c>
    </row>
    <row r="7135" spans="27:27">
      <c r="AA7135" s="158" t="s">
        <v>9085</v>
      </c>
    </row>
    <row r="7136" spans="27:27">
      <c r="AA7136" s="158" t="s">
        <v>2243</v>
      </c>
    </row>
    <row r="7137" spans="27:27">
      <c r="AA7137" s="158" t="s">
        <v>9086</v>
      </c>
    </row>
    <row r="7138" spans="27:27">
      <c r="AA7138" s="158" t="s">
        <v>2244</v>
      </c>
    </row>
    <row r="7139" spans="27:27">
      <c r="AA7139" s="158" t="s">
        <v>9087</v>
      </c>
    </row>
    <row r="7140" spans="27:27">
      <c r="AA7140" s="158" t="s">
        <v>2245</v>
      </c>
    </row>
    <row r="7141" spans="27:27">
      <c r="AA7141" s="158" t="s">
        <v>9088</v>
      </c>
    </row>
    <row r="7142" spans="27:27">
      <c r="AA7142" s="158" t="s">
        <v>2246</v>
      </c>
    </row>
    <row r="7143" spans="27:27">
      <c r="AA7143" s="158" t="s">
        <v>2247</v>
      </c>
    </row>
    <row r="7144" spans="27:27">
      <c r="AA7144" s="158" t="s">
        <v>9089</v>
      </c>
    </row>
    <row r="7145" spans="27:27">
      <c r="AA7145" s="158" t="s">
        <v>9090</v>
      </c>
    </row>
    <row r="7146" spans="27:27">
      <c r="AA7146" s="158" t="s">
        <v>2248</v>
      </c>
    </row>
    <row r="7147" spans="27:27">
      <c r="AA7147" s="158" t="s">
        <v>9091</v>
      </c>
    </row>
    <row r="7148" spans="27:27">
      <c r="AA7148" s="158" t="s">
        <v>2249</v>
      </c>
    </row>
    <row r="7149" spans="27:27">
      <c r="AA7149" s="158" t="s">
        <v>9092</v>
      </c>
    </row>
    <row r="7150" spans="27:27">
      <c r="AA7150" s="158" t="s">
        <v>2250</v>
      </c>
    </row>
    <row r="7151" spans="27:27">
      <c r="AA7151" s="158" t="s">
        <v>2251</v>
      </c>
    </row>
    <row r="7152" spans="27:27">
      <c r="AA7152" s="158" t="s">
        <v>2252</v>
      </c>
    </row>
    <row r="7153" spans="27:27">
      <c r="AA7153" s="158" t="s">
        <v>2253</v>
      </c>
    </row>
    <row r="7154" spans="27:27">
      <c r="AA7154" s="158" t="s">
        <v>2254</v>
      </c>
    </row>
    <row r="7155" spans="27:27">
      <c r="AA7155" s="158" t="s">
        <v>2255</v>
      </c>
    </row>
    <row r="7156" spans="27:27">
      <c r="AA7156" s="158" t="s">
        <v>2256</v>
      </c>
    </row>
    <row r="7157" spans="27:27">
      <c r="AA7157" s="158" t="s">
        <v>2257</v>
      </c>
    </row>
    <row r="7158" spans="27:27">
      <c r="AA7158" s="158" t="s">
        <v>2258</v>
      </c>
    </row>
    <row r="7159" spans="27:27">
      <c r="AA7159" s="158" t="s">
        <v>9093</v>
      </c>
    </row>
    <row r="7160" spans="27:27">
      <c r="AA7160" s="158" t="s">
        <v>2259</v>
      </c>
    </row>
    <row r="7161" spans="27:27">
      <c r="AA7161" s="158" t="s">
        <v>9094</v>
      </c>
    </row>
    <row r="7162" spans="27:27">
      <c r="AA7162" s="158" t="s">
        <v>9095</v>
      </c>
    </row>
    <row r="7163" spans="27:27">
      <c r="AA7163" s="158" t="s">
        <v>9096</v>
      </c>
    </row>
    <row r="7164" spans="27:27">
      <c r="AA7164" s="158" t="s">
        <v>2260</v>
      </c>
    </row>
    <row r="7165" spans="27:27">
      <c r="AA7165" s="158" t="s">
        <v>9097</v>
      </c>
    </row>
    <row r="7166" spans="27:27">
      <c r="AA7166" s="158" t="s">
        <v>2261</v>
      </c>
    </row>
    <row r="7167" spans="27:27">
      <c r="AA7167" s="158" t="s">
        <v>9098</v>
      </c>
    </row>
    <row r="7168" spans="27:27">
      <c r="AA7168" s="158" t="s">
        <v>2262</v>
      </c>
    </row>
    <row r="7169" spans="27:27">
      <c r="AA7169" s="158" t="s">
        <v>9099</v>
      </c>
    </row>
    <row r="7170" spans="27:27">
      <c r="AA7170" s="158" t="s">
        <v>2263</v>
      </c>
    </row>
    <row r="7171" spans="27:27">
      <c r="AA7171" s="158" t="s">
        <v>9100</v>
      </c>
    </row>
    <row r="7172" spans="27:27">
      <c r="AA7172" s="158" t="s">
        <v>2264</v>
      </c>
    </row>
    <row r="7173" spans="27:27">
      <c r="AA7173" s="158" t="s">
        <v>9101</v>
      </c>
    </row>
    <row r="7174" spans="27:27">
      <c r="AA7174" s="158" t="s">
        <v>2265</v>
      </c>
    </row>
    <row r="7175" spans="27:27">
      <c r="AA7175" s="158" t="s">
        <v>9102</v>
      </c>
    </row>
    <row r="7176" spans="27:27">
      <c r="AA7176" s="158" t="s">
        <v>2266</v>
      </c>
    </row>
    <row r="7177" spans="27:27">
      <c r="AA7177" s="158" t="s">
        <v>2267</v>
      </c>
    </row>
    <row r="7178" spans="27:27">
      <c r="AA7178" s="158" t="s">
        <v>9103</v>
      </c>
    </row>
    <row r="7179" spans="27:27">
      <c r="AA7179" s="158" t="s">
        <v>2268</v>
      </c>
    </row>
    <row r="7180" spans="27:27">
      <c r="AA7180" s="158" t="s">
        <v>9104</v>
      </c>
    </row>
    <row r="7181" spans="27:27">
      <c r="AA7181" s="158" t="s">
        <v>2269</v>
      </c>
    </row>
    <row r="7182" spans="27:27">
      <c r="AA7182" s="158" t="s">
        <v>9105</v>
      </c>
    </row>
    <row r="7183" spans="27:27">
      <c r="AA7183" s="158" t="s">
        <v>2270</v>
      </c>
    </row>
    <row r="7184" spans="27:27">
      <c r="AA7184" s="158" t="s">
        <v>9106</v>
      </c>
    </row>
    <row r="7185" spans="27:27">
      <c r="AA7185" s="158" t="s">
        <v>2271</v>
      </c>
    </row>
    <row r="7186" spans="27:27">
      <c r="AA7186" s="158" t="s">
        <v>9107</v>
      </c>
    </row>
    <row r="7187" spans="27:27">
      <c r="AA7187" s="158" t="s">
        <v>2272</v>
      </c>
    </row>
    <row r="7188" spans="27:27">
      <c r="AA7188" s="158" t="s">
        <v>9108</v>
      </c>
    </row>
    <row r="7189" spans="27:27">
      <c r="AA7189" s="158" t="s">
        <v>2273</v>
      </c>
    </row>
    <row r="7190" spans="27:27">
      <c r="AA7190" s="158" t="s">
        <v>2274</v>
      </c>
    </row>
    <row r="7191" spans="27:27">
      <c r="AA7191" s="158" t="s">
        <v>2275</v>
      </c>
    </row>
    <row r="7192" spans="27:27">
      <c r="AA7192" s="158" t="s">
        <v>9109</v>
      </c>
    </row>
    <row r="7193" spans="27:27">
      <c r="AA7193" s="158" t="s">
        <v>2276</v>
      </c>
    </row>
    <row r="7194" spans="27:27">
      <c r="AA7194" s="158" t="s">
        <v>9110</v>
      </c>
    </row>
    <row r="7195" spans="27:27">
      <c r="AA7195" s="158" t="s">
        <v>2277</v>
      </c>
    </row>
    <row r="7196" spans="27:27">
      <c r="AA7196" s="158" t="s">
        <v>2278</v>
      </c>
    </row>
    <row r="7197" spans="27:27">
      <c r="AA7197" s="158" t="s">
        <v>9111</v>
      </c>
    </row>
    <row r="7198" spans="27:27">
      <c r="AA7198" s="158" t="s">
        <v>2279</v>
      </c>
    </row>
    <row r="7199" spans="27:27">
      <c r="AA7199" s="158" t="s">
        <v>9112</v>
      </c>
    </row>
    <row r="7200" spans="27:27">
      <c r="AA7200" s="158" t="s">
        <v>2280</v>
      </c>
    </row>
    <row r="7201" spans="27:27">
      <c r="AA7201" s="158" t="s">
        <v>2281</v>
      </c>
    </row>
    <row r="7202" spans="27:27">
      <c r="AA7202" s="158" t="s">
        <v>9113</v>
      </c>
    </row>
    <row r="7203" spans="27:27">
      <c r="AA7203" s="158" t="s">
        <v>2282</v>
      </c>
    </row>
    <row r="7204" spans="27:27">
      <c r="AA7204" s="158" t="s">
        <v>9114</v>
      </c>
    </row>
    <row r="7205" spans="27:27">
      <c r="AA7205" s="158" t="s">
        <v>2283</v>
      </c>
    </row>
    <row r="7206" spans="27:27">
      <c r="AA7206" s="158" t="s">
        <v>2284</v>
      </c>
    </row>
    <row r="7207" spans="27:27">
      <c r="AA7207" s="158" t="s">
        <v>2285</v>
      </c>
    </row>
    <row r="7208" spans="27:27">
      <c r="AA7208" s="158" t="s">
        <v>2286</v>
      </c>
    </row>
    <row r="7209" spans="27:27">
      <c r="AA7209" s="158" t="s">
        <v>2287</v>
      </c>
    </row>
    <row r="7210" spans="27:27">
      <c r="AA7210" s="158" t="s">
        <v>2288</v>
      </c>
    </row>
    <row r="7211" spans="27:27">
      <c r="AA7211" s="158" t="s">
        <v>2289</v>
      </c>
    </row>
    <row r="7212" spans="27:27">
      <c r="AA7212" s="158" t="s">
        <v>2290</v>
      </c>
    </row>
    <row r="7213" spans="27:27">
      <c r="AA7213" s="158" t="s">
        <v>9115</v>
      </c>
    </row>
    <row r="7214" spans="27:27">
      <c r="AA7214" s="158" t="s">
        <v>2291</v>
      </c>
    </row>
    <row r="7215" spans="27:27">
      <c r="AA7215" s="158" t="s">
        <v>9116</v>
      </c>
    </row>
    <row r="7216" spans="27:27">
      <c r="AA7216" s="158" t="s">
        <v>2292</v>
      </c>
    </row>
    <row r="7217" spans="27:27">
      <c r="AA7217" s="158" t="s">
        <v>9117</v>
      </c>
    </row>
    <row r="7218" spans="27:27">
      <c r="AA7218" s="158" t="s">
        <v>2293</v>
      </c>
    </row>
    <row r="7219" spans="27:27">
      <c r="AA7219" s="158" t="s">
        <v>9118</v>
      </c>
    </row>
    <row r="7220" spans="27:27">
      <c r="AA7220" s="158" t="s">
        <v>2294</v>
      </c>
    </row>
    <row r="7221" spans="27:27">
      <c r="AA7221" s="158" t="s">
        <v>9119</v>
      </c>
    </row>
    <row r="7222" spans="27:27">
      <c r="AA7222" s="158" t="s">
        <v>2295</v>
      </c>
    </row>
    <row r="7223" spans="27:27">
      <c r="AA7223" s="158" t="s">
        <v>9120</v>
      </c>
    </row>
    <row r="7224" spans="27:27">
      <c r="AA7224" s="158" t="s">
        <v>2296</v>
      </c>
    </row>
    <row r="7225" spans="27:27">
      <c r="AA7225" s="158" t="s">
        <v>2297</v>
      </c>
    </row>
    <row r="7226" spans="27:27">
      <c r="AA7226" s="158" t="s">
        <v>9121</v>
      </c>
    </row>
    <row r="7227" spans="27:27">
      <c r="AA7227" s="158" t="s">
        <v>2298</v>
      </c>
    </row>
    <row r="7228" spans="27:27">
      <c r="AA7228" s="158" t="s">
        <v>9122</v>
      </c>
    </row>
    <row r="7229" spans="27:27">
      <c r="AA7229" s="158" t="s">
        <v>2299</v>
      </c>
    </row>
    <row r="7230" spans="27:27">
      <c r="AA7230" s="158" t="s">
        <v>9123</v>
      </c>
    </row>
    <row r="7231" spans="27:27">
      <c r="AA7231" s="158" t="s">
        <v>2300</v>
      </c>
    </row>
    <row r="7232" spans="27:27">
      <c r="AA7232" s="158" t="s">
        <v>9124</v>
      </c>
    </row>
    <row r="7233" spans="27:27">
      <c r="AA7233" s="158" t="s">
        <v>2301</v>
      </c>
    </row>
    <row r="7234" spans="27:27">
      <c r="AA7234" s="158" t="s">
        <v>9125</v>
      </c>
    </row>
    <row r="7235" spans="27:27">
      <c r="AA7235" s="158" t="s">
        <v>2302</v>
      </c>
    </row>
    <row r="7236" spans="27:27">
      <c r="AA7236" s="158" t="s">
        <v>9126</v>
      </c>
    </row>
    <row r="7237" spans="27:27">
      <c r="AA7237" s="158" t="s">
        <v>2303</v>
      </c>
    </row>
    <row r="7238" spans="27:27">
      <c r="AA7238" s="158" t="s">
        <v>2304</v>
      </c>
    </row>
    <row r="7239" spans="27:27">
      <c r="AA7239" s="158" t="s">
        <v>2305</v>
      </c>
    </row>
    <row r="7240" spans="27:27">
      <c r="AA7240" s="158" t="s">
        <v>9127</v>
      </c>
    </row>
    <row r="7241" spans="27:27">
      <c r="AA7241" s="158" t="s">
        <v>2306</v>
      </c>
    </row>
    <row r="7242" spans="27:27">
      <c r="AA7242" s="158" t="s">
        <v>9128</v>
      </c>
    </row>
    <row r="7243" spans="27:27">
      <c r="AA7243" s="158" t="s">
        <v>2307</v>
      </c>
    </row>
    <row r="7244" spans="27:27">
      <c r="AA7244" s="158" t="s">
        <v>2308</v>
      </c>
    </row>
    <row r="7245" spans="27:27">
      <c r="AA7245" s="158" t="s">
        <v>9129</v>
      </c>
    </row>
    <row r="7246" spans="27:27">
      <c r="AA7246" s="158" t="s">
        <v>2309</v>
      </c>
    </row>
    <row r="7247" spans="27:27">
      <c r="AA7247" s="158" t="s">
        <v>9130</v>
      </c>
    </row>
    <row r="7248" spans="27:27">
      <c r="AA7248" s="158" t="s">
        <v>2310</v>
      </c>
    </row>
    <row r="7249" spans="27:27">
      <c r="AA7249" s="158" t="s">
        <v>2311</v>
      </c>
    </row>
    <row r="7250" spans="27:27">
      <c r="AA7250" s="158" t="s">
        <v>9131</v>
      </c>
    </row>
    <row r="7251" spans="27:27">
      <c r="AA7251" s="158" t="s">
        <v>2312</v>
      </c>
    </row>
    <row r="7252" spans="27:27">
      <c r="AA7252" s="158" t="s">
        <v>9132</v>
      </c>
    </row>
    <row r="7253" spans="27:27">
      <c r="AA7253" s="158" t="s">
        <v>2313</v>
      </c>
    </row>
    <row r="7254" spans="27:27">
      <c r="AA7254" s="158" t="s">
        <v>2314</v>
      </c>
    </row>
    <row r="7255" spans="27:27">
      <c r="AA7255" s="158" t="s">
        <v>9133</v>
      </c>
    </row>
    <row r="7256" spans="27:27">
      <c r="AA7256" s="158" t="s">
        <v>9134</v>
      </c>
    </row>
    <row r="7257" spans="27:27">
      <c r="AA7257" s="158" t="s">
        <v>9135</v>
      </c>
    </row>
    <row r="7258" spans="27:27">
      <c r="AA7258" s="158" t="s">
        <v>9136</v>
      </c>
    </row>
    <row r="7259" spans="27:27">
      <c r="AA7259" s="158" t="s">
        <v>2315</v>
      </c>
    </row>
    <row r="7260" spans="27:27">
      <c r="AA7260" s="158" t="s">
        <v>2316</v>
      </c>
    </row>
    <row r="7261" spans="27:27">
      <c r="AA7261" s="158" t="s">
        <v>2317</v>
      </c>
    </row>
    <row r="7262" spans="27:27">
      <c r="AA7262" s="158" t="s">
        <v>3784</v>
      </c>
    </row>
    <row r="7263" spans="27:27">
      <c r="AA7263" s="158" t="s">
        <v>9137</v>
      </c>
    </row>
    <row r="7264" spans="27:27">
      <c r="AA7264" s="158" t="s">
        <v>9138</v>
      </c>
    </row>
    <row r="7265" spans="27:27">
      <c r="AA7265" s="158" t="s">
        <v>9139</v>
      </c>
    </row>
    <row r="7266" spans="27:27">
      <c r="AA7266" s="158" t="s">
        <v>9140</v>
      </c>
    </row>
    <row r="7267" spans="27:27">
      <c r="AA7267" s="158" t="s">
        <v>9141</v>
      </c>
    </row>
    <row r="7268" spans="27:27">
      <c r="AA7268" s="158" t="s">
        <v>9142</v>
      </c>
    </row>
    <row r="7269" spans="27:27">
      <c r="AA7269" s="158" t="s">
        <v>9143</v>
      </c>
    </row>
    <row r="7270" spans="27:27">
      <c r="AA7270" s="158" t="s">
        <v>3785</v>
      </c>
    </row>
    <row r="7271" spans="27:27">
      <c r="AA7271" s="158" t="s">
        <v>2318</v>
      </c>
    </row>
    <row r="7272" spans="27:27">
      <c r="AA7272" s="158" t="s">
        <v>3786</v>
      </c>
    </row>
    <row r="7273" spans="27:27">
      <c r="AA7273" s="158" t="s">
        <v>9144</v>
      </c>
    </row>
    <row r="7274" spans="27:27">
      <c r="AA7274" s="158" t="s">
        <v>9145</v>
      </c>
    </row>
    <row r="7275" spans="27:27">
      <c r="AA7275" s="158" t="s">
        <v>2319</v>
      </c>
    </row>
    <row r="7276" spans="27:27">
      <c r="AA7276" s="158" t="s">
        <v>3787</v>
      </c>
    </row>
    <row r="7277" spans="27:27">
      <c r="AA7277" s="158" t="s">
        <v>9146</v>
      </c>
    </row>
    <row r="7278" spans="27:27">
      <c r="AA7278" s="158" t="s">
        <v>9147</v>
      </c>
    </row>
    <row r="7279" spans="27:27">
      <c r="AA7279" s="158" t="s">
        <v>2320</v>
      </c>
    </row>
    <row r="7280" spans="27:27">
      <c r="AA7280" s="158" t="s">
        <v>3788</v>
      </c>
    </row>
    <row r="7281" spans="27:27">
      <c r="AA7281" s="158" t="s">
        <v>2321</v>
      </c>
    </row>
    <row r="7282" spans="27:27">
      <c r="AA7282" s="158" t="s">
        <v>9148</v>
      </c>
    </row>
    <row r="7283" spans="27:27">
      <c r="AA7283" s="158" t="s">
        <v>9149</v>
      </c>
    </row>
    <row r="7284" spans="27:27">
      <c r="AA7284" s="158" t="s">
        <v>2322</v>
      </c>
    </row>
    <row r="7285" spans="27:27">
      <c r="AA7285" s="158" t="s">
        <v>2323</v>
      </c>
    </row>
    <row r="7286" spans="27:27">
      <c r="AA7286" s="158" t="s">
        <v>9150</v>
      </c>
    </row>
    <row r="7287" spans="27:27">
      <c r="AA7287" s="158" t="s">
        <v>9151</v>
      </c>
    </row>
    <row r="7288" spans="27:27">
      <c r="AA7288" s="158" t="s">
        <v>9152</v>
      </c>
    </row>
    <row r="7289" spans="27:27">
      <c r="AA7289" s="158" t="s">
        <v>9153</v>
      </c>
    </row>
    <row r="7290" spans="27:27">
      <c r="AA7290" s="158" t="s">
        <v>9154</v>
      </c>
    </row>
    <row r="7291" spans="27:27">
      <c r="AA7291" s="158" t="s">
        <v>9155</v>
      </c>
    </row>
    <row r="7292" spans="27:27">
      <c r="AA7292" s="158" t="s">
        <v>9156</v>
      </c>
    </row>
    <row r="7293" spans="27:27">
      <c r="AA7293" s="158" t="s">
        <v>2324</v>
      </c>
    </row>
    <row r="7294" spans="27:27">
      <c r="AA7294" s="158" t="s">
        <v>9157</v>
      </c>
    </row>
    <row r="7295" spans="27:27">
      <c r="AA7295" s="158" t="s">
        <v>9158</v>
      </c>
    </row>
    <row r="7296" spans="27:27">
      <c r="AA7296" s="158" t="s">
        <v>9159</v>
      </c>
    </row>
    <row r="7297" spans="27:27">
      <c r="AA7297" s="158" t="s">
        <v>9160</v>
      </c>
    </row>
    <row r="7298" spans="27:27">
      <c r="AA7298" s="158" t="s">
        <v>9161</v>
      </c>
    </row>
    <row r="7299" spans="27:27">
      <c r="AA7299" s="158" t="s">
        <v>9162</v>
      </c>
    </row>
    <row r="7300" spans="27:27">
      <c r="AA7300" s="158" t="s">
        <v>2325</v>
      </c>
    </row>
    <row r="7301" spans="27:27">
      <c r="AA7301" s="158" t="s">
        <v>9163</v>
      </c>
    </row>
    <row r="7302" spans="27:27">
      <c r="AA7302" s="158" t="s">
        <v>2326</v>
      </c>
    </row>
    <row r="7303" spans="27:27">
      <c r="AA7303" s="158" t="s">
        <v>9164</v>
      </c>
    </row>
    <row r="7304" spans="27:27">
      <c r="AA7304" s="158" t="s">
        <v>2327</v>
      </c>
    </row>
    <row r="7305" spans="27:27">
      <c r="AA7305" s="158" t="s">
        <v>9165</v>
      </c>
    </row>
    <row r="7306" spans="27:27">
      <c r="AA7306" s="158" t="s">
        <v>9166</v>
      </c>
    </row>
    <row r="7307" spans="27:27">
      <c r="AA7307" s="158" t="s">
        <v>9167</v>
      </c>
    </row>
    <row r="7308" spans="27:27">
      <c r="AA7308" s="158" t="s">
        <v>2328</v>
      </c>
    </row>
    <row r="7309" spans="27:27">
      <c r="AA7309" s="158" t="s">
        <v>9168</v>
      </c>
    </row>
    <row r="7310" spans="27:27">
      <c r="AA7310" s="158" t="s">
        <v>2329</v>
      </c>
    </row>
    <row r="7311" spans="27:27">
      <c r="AA7311" s="158" t="s">
        <v>9169</v>
      </c>
    </row>
    <row r="7312" spans="27:27">
      <c r="AA7312" s="158" t="s">
        <v>9170</v>
      </c>
    </row>
    <row r="7313" spans="27:27">
      <c r="AA7313" s="158" t="s">
        <v>9171</v>
      </c>
    </row>
    <row r="7314" spans="27:27">
      <c r="AA7314" s="158" t="s">
        <v>9172</v>
      </c>
    </row>
    <row r="7315" spans="27:27">
      <c r="AA7315" s="158" t="s">
        <v>9173</v>
      </c>
    </row>
    <row r="7316" spans="27:27">
      <c r="AA7316" s="158" t="s">
        <v>9174</v>
      </c>
    </row>
    <row r="7317" spans="27:27">
      <c r="AA7317" s="158" t="s">
        <v>9175</v>
      </c>
    </row>
    <row r="7318" spans="27:27">
      <c r="AA7318" s="158" t="s">
        <v>9176</v>
      </c>
    </row>
    <row r="7319" spans="27:27">
      <c r="AA7319" s="158" t="s">
        <v>2330</v>
      </c>
    </row>
    <row r="7320" spans="27:27">
      <c r="AA7320" s="158" t="s">
        <v>9177</v>
      </c>
    </row>
    <row r="7321" spans="27:27">
      <c r="AA7321" s="158" t="s">
        <v>2331</v>
      </c>
    </row>
    <row r="7322" spans="27:27">
      <c r="AA7322" s="158" t="s">
        <v>2332</v>
      </c>
    </row>
    <row r="7323" spans="27:27">
      <c r="AA7323" s="158" t="s">
        <v>9178</v>
      </c>
    </row>
    <row r="7324" spans="27:27">
      <c r="AA7324" s="158" t="s">
        <v>9179</v>
      </c>
    </row>
    <row r="7325" spans="27:27">
      <c r="AA7325" s="158" t="s">
        <v>9180</v>
      </c>
    </row>
    <row r="7326" spans="27:27">
      <c r="AA7326" s="158" t="s">
        <v>9181</v>
      </c>
    </row>
    <row r="7327" spans="27:27">
      <c r="AA7327" s="158" t="s">
        <v>9182</v>
      </c>
    </row>
    <row r="7328" spans="27:27">
      <c r="AA7328" s="158" t="s">
        <v>9183</v>
      </c>
    </row>
    <row r="7329" spans="27:27">
      <c r="AA7329" s="158" t="s">
        <v>9184</v>
      </c>
    </row>
    <row r="7330" spans="27:27">
      <c r="AA7330" s="158" t="s">
        <v>9185</v>
      </c>
    </row>
    <row r="7331" spans="27:27">
      <c r="AA7331" s="158" t="s">
        <v>2333</v>
      </c>
    </row>
    <row r="7332" spans="27:27">
      <c r="AA7332" s="158" t="s">
        <v>9186</v>
      </c>
    </row>
    <row r="7333" spans="27:27">
      <c r="AA7333" s="158" t="s">
        <v>9187</v>
      </c>
    </row>
    <row r="7334" spans="27:27">
      <c r="AA7334" s="158" t="s">
        <v>9188</v>
      </c>
    </row>
    <row r="7335" spans="27:27">
      <c r="AA7335" s="158" t="s">
        <v>9189</v>
      </c>
    </row>
    <row r="7336" spans="27:27">
      <c r="AA7336" s="158" t="s">
        <v>9190</v>
      </c>
    </row>
    <row r="7337" spans="27:27">
      <c r="AA7337" s="158" t="s">
        <v>9191</v>
      </c>
    </row>
    <row r="7338" spans="27:27">
      <c r="AA7338" s="158" t="s">
        <v>9192</v>
      </c>
    </row>
    <row r="7339" spans="27:27">
      <c r="AA7339" s="158" t="s">
        <v>9193</v>
      </c>
    </row>
    <row r="7340" spans="27:27">
      <c r="AA7340" s="158" t="s">
        <v>2334</v>
      </c>
    </row>
    <row r="7341" spans="27:27">
      <c r="AA7341" s="158" t="s">
        <v>2335</v>
      </c>
    </row>
    <row r="7342" spans="27:27">
      <c r="AA7342" s="158" t="s">
        <v>9194</v>
      </c>
    </row>
    <row r="7343" spans="27:27">
      <c r="AA7343" s="158" t="s">
        <v>9195</v>
      </c>
    </row>
    <row r="7344" spans="27:27">
      <c r="AA7344" s="158" t="s">
        <v>9196</v>
      </c>
    </row>
    <row r="7345" spans="27:27">
      <c r="AA7345" s="158" t="s">
        <v>9197</v>
      </c>
    </row>
    <row r="7346" spans="27:27">
      <c r="AA7346" s="158" t="s">
        <v>9198</v>
      </c>
    </row>
    <row r="7347" spans="27:27">
      <c r="AA7347" s="158" t="s">
        <v>9199</v>
      </c>
    </row>
    <row r="7348" spans="27:27">
      <c r="AA7348" s="158" t="s">
        <v>9200</v>
      </c>
    </row>
    <row r="7349" spans="27:27">
      <c r="AA7349" s="158" t="s">
        <v>9201</v>
      </c>
    </row>
    <row r="7350" spans="27:27">
      <c r="AA7350" s="158" t="s">
        <v>2336</v>
      </c>
    </row>
    <row r="7351" spans="27:27">
      <c r="AA7351" s="158" t="s">
        <v>2337</v>
      </c>
    </row>
    <row r="7352" spans="27:27">
      <c r="AA7352" s="158" t="s">
        <v>2338</v>
      </c>
    </row>
    <row r="7353" spans="27:27">
      <c r="AA7353" s="158" t="s">
        <v>9202</v>
      </c>
    </row>
    <row r="7354" spans="27:27">
      <c r="AA7354" s="158" t="s">
        <v>9203</v>
      </c>
    </row>
    <row r="7355" spans="27:27">
      <c r="AA7355" s="158" t="s">
        <v>9204</v>
      </c>
    </row>
    <row r="7356" spans="27:27">
      <c r="AA7356" s="158" t="s">
        <v>9205</v>
      </c>
    </row>
    <row r="7357" spans="27:27">
      <c r="AA7357" s="158" t="s">
        <v>9206</v>
      </c>
    </row>
    <row r="7358" spans="27:27">
      <c r="AA7358" s="158" t="s">
        <v>9207</v>
      </c>
    </row>
    <row r="7359" spans="27:27">
      <c r="AA7359" s="158" t="s">
        <v>2339</v>
      </c>
    </row>
    <row r="7360" spans="27:27">
      <c r="AA7360" s="158" t="s">
        <v>9208</v>
      </c>
    </row>
    <row r="7361" spans="27:27">
      <c r="AA7361" s="158" t="s">
        <v>2340</v>
      </c>
    </row>
    <row r="7362" spans="27:27">
      <c r="AA7362" s="158" t="s">
        <v>2341</v>
      </c>
    </row>
    <row r="7363" spans="27:27">
      <c r="AA7363" s="158" t="s">
        <v>9209</v>
      </c>
    </row>
    <row r="7364" spans="27:27">
      <c r="AA7364" s="158" t="s">
        <v>9210</v>
      </c>
    </row>
    <row r="7365" spans="27:27">
      <c r="AA7365" s="158" t="s">
        <v>9211</v>
      </c>
    </row>
    <row r="7366" spans="27:27">
      <c r="AA7366" s="158" t="s">
        <v>2342</v>
      </c>
    </row>
    <row r="7367" spans="27:27">
      <c r="AA7367" s="158" t="s">
        <v>9212</v>
      </c>
    </row>
    <row r="7368" spans="27:27">
      <c r="AA7368" s="158" t="s">
        <v>9213</v>
      </c>
    </row>
    <row r="7369" spans="27:27">
      <c r="AA7369" s="158" t="s">
        <v>9214</v>
      </c>
    </row>
    <row r="7370" spans="27:27">
      <c r="AA7370" s="158" t="s">
        <v>9215</v>
      </c>
    </row>
    <row r="7371" spans="27:27">
      <c r="AA7371" s="158" t="s">
        <v>9216</v>
      </c>
    </row>
    <row r="7372" spans="27:27">
      <c r="AA7372" s="158" t="s">
        <v>9217</v>
      </c>
    </row>
    <row r="7373" spans="27:27">
      <c r="AA7373" s="158" t="s">
        <v>9218</v>
      </c>
    </row>
    <row r="7374" spans="27:27">
      <c r="AA7374" s="158" t="s">
        <v>9219</v>
      </c>
    </row>
    <row r="7375" spans="27:27">
      <c r="AA7375" s="158" t="s">
        <v>2343</v>
      </c>
    </row>
    <row r="7376" spans="27:27">
      <c r="AA7376" s="158" t="s">
        <v>9220</v>
      </c>
    </row>
    <row r="7377" spans="27:27">
      <c r="AA7377" s="158" t="s">
        <v>9221</v>
      </c>
    </row>
    <row r="7378" spans="27:27">
      <c r="AA7378" s="158" t="s">
        <v>9222</v>
      </c>
    </row>
    <row r="7379" spans="27:27">
      <c r="AA7379" s="158" t="s">
        <v>9223</v>
      </c>
    </row>
    <row r="7380" spans="27:27">
      <c r="AA7380" s="158" t="s">
        <v>9224</v>
      </c>
    </row>
    <row r="7381" spans="27:27">
      <c r="AA7381" s="158" t="s">
        <v>9225</v>
      </c>
    </row>
    <row r="7382" spans="27:27">
      <c r="AA7382" s="158" t="s">
        <v>9226</v>
      </c>
    </row>
    <row r="7383" spans="27:27">
      <c r="AA7383" s="158" t="s">
        <v>9227</v>
      </c>
    </row>
    <row r="7384" spans="27:27">
      <c r="AA7384" s="158" t="s">
        <v>9228</v>
      </c>
    </row>
    <row r="7385" spans="27:27">
      <c r="AA7385" s="158" t="s">
        <v>2344</v>
      </c>
    </row>
    <row r="7386" spans="27:27">
      <c r="AA7386" s="158" t="s">
        <v>9229</v>
      </c>
    </row>
    <row r="7387" spans="27:27">
      <c r="AA7387" s="158" t="s">
        <v>2345</v>
      </c>
    </row>
    <row r="7388" spans="27:27">
      <c r="AA7388" s="158" t="s">
        <v>9230</v>
      </c>
    </row>
    <row r="7389" spans="27:27">
      <c r="AA7389" s="158" t="s">
        <v>9231</v>
      </c>
    </row>
    <row r="7390" spans="27:27">
      <c r="AA7390" s="158" t="s">
        <v>9232</v>
      </c>
    </row>
    <row r="7391" spans="27:27">
      <c r="AA7391" s="158" t="s">
        <v>9233</v>
      </c>
    </row>
    <row r="7392" spans="27:27">
      <c r="AA7392" s="158" t="s">
        <v>9234</v>
      </c>
    </row>
    <row r="7393" spans="27:27">
      <c r="AA7393" s="158" t="s">
        <v>9235</v>
      </c>
    </row>
    <row r="7394" spans="27:27">
      <c r="AA7394" s="158" t="s">
        <v>9236</v>
      </c>
    </row>
    <row r="7395" spans="27:27">
      <c r="AA7395" s="158" t="s">
        <v>9237</v>
      </c>
    </row>
    <row r="7396" spans="27:27">
      <c r="AA7396" s="158" t="s">
        <v>2346</v>
      </c>
    </row>
    <row r="7397" spans="27:27">
      <c r="AA7397" s="158" t="s">
        <v>2347</v>
      </c>
    </row>
    <row r="7398" spans="27:27">
      <c r="AA7398" s="158" t="s">
        <v>9238</v>
      </c>
    </row>
    <row r="7399" spans="27:27">
      <c r="AA7399" s="158" t="s">
        <v>2348</v>
      </c>
    </row>
    <row r="7400" spans="27:27">
      <c r="AA7400" s="158" t="s">
        <v>2349</v>
      </c>
    </row>
    <row r="7401" spans="27:27">
      <c r="AA7401" s="158" t="s">
        <v>9239</v>
      </c>
    </row>
    <row r="7402" spans="27:27">
      <c r="AA7402" s="158" t="s">
        <v>9240</v>
      </c>
    </row>
    <row r="7403" spans="27:27">
      <c r="AA7403" s="158" t="s">
        <v>9241</v>
      </c>
    </row>
    <row r="7404" spans="27:27">
      <c r="AA7404" s="158" t="s">
        <v>9242</v>
      </c>
    </row>
    <row r="7405" spans="27:27">
      <c r="AA7405" s="158" t="s">
        <v>9243</v>
      </c>
    </row>
    <row r="7406" spans="27:27">
      <c r="AA7406" s="158" t="s">
        <v>9244</v>
      </c>
    </row>
    <row r="7407" spans="27:27">
      <c r="AA7407" s="158" t="s">
        <v>9245</v>
      </c>
    </row>
    <row r="7408" spans="27:27">
      <c r="AA7408" s="158" t="s">
        <v>9246</v>
      </c>
    </row>
    <row r="7409" spans="27:27">
      <c r="AA7409" s="158" t="s">
        <v>2350</v>
      </c>
    </row>
    <row r="7410" spans="27:27">
      <c r="AA7410" s="158" t="s">
        <v>9247</v>
      </c>
    </row>
    <row r="7411" spans="27:27">
      <c r="AA7411" s="158" t="s">
        <v>9248</v>
      </c>
    </row>
    <row r="7412" spans="27:27">
      <c r="AA7412" s="158" t="s">
        <v>9249</v>
      </c>
    </row>
    <row r="7413" spans="27:27">
      <c r="AA7413" s="158" t="s">
        <v>9250</v>
      </c>
    </row>
    <row r="7414" spans="27:27">
      <c r="AA7414" s="158" t="s">
        <v>9251</v>
      </c>
    </row>
    <row r="7415" spans="27:27">
      <c r="AA7415" s="158" t="s">
        <v>9252</v>
      </c>
    </row>
    <row r="7416" spans="27:27">
      <c r="AA7416" s="158" t="s">
        <v>9253</v>
      </c>
    </row>
    <row r="7417" spans="27:27">
      <c r="AA7417" s="158" t="s">
        <v>9254</v>
      </c>
    </row>
    <row r="7418" spans="27:27">
      <c r="AA7418" s="158" t="s">
        <v>2351</v>
      </c>
    </row>
    <row r="7419" spans="27:27">
      <c r="AA7419" s="158" t="s">
        <v>2352</v>
      </c>
    </row>
    <row r="7420" spans="27:27">
      <c r="AA7420" s="158" t="s">
        <v>9255</v>
      </c>
    </row>
    <row r="7421" spans="27:27">
      <c r="AA7421" s="158" t="s">
        <v>9256</v>
      </c>
    </row>
    <row r="7422" spans="27:27">
      <c r="AA7422" s="158" t="s">
        <v>9257</v>
      </c>
    </row>
    <row r="7423" spans="27:27">
      <c r="AA7423" s="158" t="s">
        <v>9258</v>
      </c>
    </row>
    <row r="7424" spans="27:27">
      <c r="AA7424" s="158" t="s">
        <v>9259</v>
      </c>
    </row>
    <row r="7425" spans="27:27">
      <c r="AA7425" s="158" t="s">
        <v>9260</v>
      </c>
    </row>
    <row r="7426" spans="27:27">
      <c r="AA7426" s="158" t="s">
        <v>9261</v>
      </c>
    </row>
    <row r="7427" spans="27:27">
      <c r="AA7427" s="158" t="s">
        <v>9262</v>
      </c>
    </row>
    <row r="7428" spans="27:27">
      <c r="AA7428" s="158" t="s">
        <v>2353</v>
      </c>
    </row>
    <row r="7429" spans="27:27">
      <c r="AA7429" s="158" t="s">
        <v>2354</v>
      </c>
    </row>
    <row r="7430" spans="27:27">
      <c r="AA7430" s="158" t="s">
        <v>9263</v>
      </c>
    </row>
    <row r="7431" spans="27:27">
      <c r="AA7431" s="158" t="s">
        <v>2355</v>
      </c>
    </row>
    <row r="7432" spans="27:27">
      <c r="AA7432" s="158" t="s">
        <v>9264</v>
      </c>
    </row>
    <row r="7433" spans="27:27">
      <c r="AA7433" s="158" t="s">
        <v>9265</v>
      </c>
    </row>
    <row r="7434" spans="27:27">
      <c r="AA7434" s="158" t="s">
        <v>9266</v>
      </c>
    </row>
    <row r="7435" spans="27:27">
      <c r="AA7435" s="158" t="s">
        <v>9267</v>
      </c>
    </row>
    <row r="7436" spans="27:27">
      <c r="AA7436" s="158" t="s">
        <v>9268</v>
      </c>
    </row>
    <row r="7437" spans="27:27">
      <c r="AA7437" s="158" t="s">
        <v>9269</v>
      </c>
    </row>
    <row r="7438" spans="27:27">
      <c r="AA7438" s="158" t="s">
        <v>9270</v>
      </c>
    </row>
    <row r="7439" spans="27:27">
      <c r="AA7439" s="158" t="s">
        <v>2356</v>
      </c>
    </row>
    <row r="7440" spans="27:27">
      <c r="AA7440" s="158" t="s">
        <v>2357</v>
      </c>
    </row>
    <row r="7441" spans="27:27">
      <c r="AA7441" s="158" t="s">
        <v>9271</v>
      </c>
    </row>
    <row r="7442" spans="27:27">
      <c r="AA7442" s="158" t="s">
        <v>9272</v>
      </c>
    </row>
    <row r="7443" spans="27:27">
      <c r="AA7443" s="158" t="s">
        <v>9273</v>
      </c>
    </row>
    <row r="7444" spans="27:27">
      <c r="AA7444" s="158" t="s">
        <v>9274</v>
      </c>
    </row>
    <row r="7445" spans="27:27">
      <c r="AA7445" s="158" t="s">
        <v>9275</v>
      </c>
    </row>
    <row r="7446" spans="27:27">
      <c r="AA7446" s="158" t="s">
        <v>9276</v>
      </c>
    </row>
    <row r="7447" spans="27:27">
      <c r="AA7447" s="158" t="s">
        <v>9277</v>
      </c>
    </row>
    <row r="7448" spans="27:27">
      <c r="AA7448" s="158" t="s">
        <v>2358</v>
      </c>
    </row>
    <row r="7449" spans="27:27">
      <c r="AA7449" s="158" t="s">
        <v>9278</v>
      </c>
    </row>
    <row r="7450" spans="27:27">
      <c r="AA7450" s="158" t="s">
        <v>9279</v>
      </c>
    </row>
    <row r="7451" spans="27:27">
      <c r="AA7451" s="158" t="s">
        <v>9280</v>
      </c>
    </row>
    <row r="7452" spans="27:27">
      <c r="AA7452" s="158" t="s">
        <v>9281</v>
      </c>
    </row>
    <row r="7453" spans="27:27">
      <c r="AA7453" s="158" t="s">
        <v>9282</v>
      </c>
    </row>
    <row r="7454" spans="27:27">
      <c r="AA7454" s="158" t="s">
        <v>9283</v>
      </c>
    </row>
    <row r="7455" spans="27:27">
      <c r="AA7455" s="158" t="s">
        <v>9284</v>
      </c>
    </row>
    <row r="7456" spans="27:27">
      <c r="AA7456" s="158" t="s">
        <v>2359</v>
      </c>
    </row>
    <row r="7457" spans="27:27">
      <c r="AA7457" s="158" t="s">
        <v>9285</v>
      </c>
    </row>
    <row r="7458" spans="27:27">
      <c r="AA7458" s="158" t="s">
        <v>2360</v>
      </c>
    </row>
    <row r="7459" spans="27:27">
      <c r="AA7459" s="158" t="s">
        <v>9286</v>
      </c>
    </row>
    <row r="7460" spans="27:27">
      <c r="AA7460" s="158" t="s">
        <v>2361</v>
      </c>
    </row>
    <row r="7461" spans="27:27">
      <c r="AA7461" s="158" t="s">
        <v>9287</v>
      </c>
    </row>
    <row r="7462" spans="27:27">
      <c r="AA7462" s="158" t="s">
        <v>9288</v>
      </c>
    </row>
    <row r="7463" spans="27:27">
      <c r="AA7463" s="158" t="s">
        <v>9289</v>
      </c>
    </row>
    <row r="7464" spans="27:27">
      <c r="AA7464" s="158" t="s">
        <v>9290</v>
      </c>
    </row>
    <row r="7465" spans="27:27">
      <c r="AA7465" s="158" t="s">
        <v>9291</v>
      </c>
    </row>
    <row r="7466" spans="27:27">
      <c r="AA7466" s="158" t="s">
        <v>9292</v>
      </c>
    </row>
    <row r="7467" spans="27:27">
      <c r="AA7467" s="158" t="s">
        <v>9293</v>
      </c>
    </row>
    <row r="7468" spans="27:27">
      <c r="AA7468" s="158" t="s">
        <v>9294</v>
      </c>
    </row>
    <row r="7469" spans="27:27">
      <c r="AA7469" s="158" t="s">
        <v>9295</v>
      </c>
    </row>
    <row r="7470" spans="27:27">
      <c r="AA7470" s="158" t="s">
        <v>2362</v>
      </c>
    </row>
    <row r="7471" spans="27:27">
      <c r="AA7471" s="158" t="s">
        <v>9296</v>
      </c>
    </row>
    <row r="7472" spans="27:27">
      <c r="AA7472" s="158" t="s">
        <v>3789</v>
      </c>
    </row>
    <row r="7473" spans="27:27">
      <c r="AA7473" s="158" t="s">
        <v>9297</v>
      </c>
    </row>
    <row r="7474" spans="27:27">
      <c r="AA7474" s="158" t="s">
        <v>2363</v>
      </c>
    </row>
    <row r="7475" spans="27:27">
      <c r="AA7475" s="158" t="s">
        <v>9298</v>
      </c>
    </row>
    <row r="7476" spans="27:27">
      <c r="AA7476" s="158" t="s">
        <v>9299</v>
      </c>
    </row>
    <row r="7477" spans="27:27">
      <c r="AA7477" s="158" t="s">
        <v>2364</v>
      </c>
    </row>
    <row r="7478" spans="27:27">
      <c r="AA7478" s="158" t="s">
        <v>9300</v>
      </c>
    </row>
    <row r="7479" spans="27:27">
      <c r="AA7479" s="158" t="s">
        <v>9301</v>
      </c>
    </row>
    <row r="7480" spans="27:27">
      <c r="AA7480" s="158" t="s">
        <v>9302</v>
      </c>
    </row>
    <row r="7481" spans="27:27">
      <c r="AA7481" s="158" t="s">
        <v>2365</v>
      </c>
    </row>
    <row r="7482" spans="27:27">
      <c r="AA7482" s="158" t="s">
        <v>9303</v>
      </c>
    </row>
    <row r="7483" spans="27:27">
      <c r="AA7483" s="158" t="s">
        <v>9304</v>
      </c>
    </row>
    <row r="7484" spans="27:27">
      <c r="AA7484" s="158" t="s">
        <v>9305</v>
      </c>
    </row>
    <row r="7485" spans="27:27">
      <c r="AA7485" s="158" t="s">
        <v>2366</v>
      </c>
    </row>
    <row r="7486" spans="27:27">
      <c r="AA7486" s="158" t="s">
        <v>9306</v>
      </c>
    </row>
    <row r="7487" spans="27:27">
      <c r="AA7487" s="158" t="s">
        <v>9307</v>
      </c>
    </row>
    <row r="7488" spans="27:27">
      <c r="AA7488" s="158" t="s">
        <v>9308</v>
      </c>
    </row>
    <row r="7489" spans="27:27">
      <c r="AA7489" s="158" t="s">
        <v>9309</v>
      </c>
    </row>
    <row r="7490" spans="27:27">
      <c r="AA7490" s="158" t="s">
        <v>2367</v>
      </c>
    </row>
    <row r="7491" spans="27:27">
      <c r="AA7491" s="158" t="s">
        <v>9310</v>
      </c>
    </row>
    <row r="7492" spans="27:27">
      <c r="AA7492" s="158" t="s">
        <v>9311</v>
      </c>
    </row>
    <row r="7493" spans="27:27">
      <c r="AA7493" s="158" t="s">
        <v>9312</v>
      </c>
    </row>
    <row r="7494" spans="27:27">
      <c r="AA7494" s="158" t="s">
        <v>9313</v>
      </c>
    </row>
    <row r="7495" spans="27:27">
      <c r="AA7495" s="158" t="s">
        <v>2368</v>
      </c>
    </row>
    <row r="7496" spans="27:27">
      <c r="AA7496" s="158" t="s">
        <v>9314</v>
      </c>
    </row>
    <row r="7497" spans="27:27">
      <c r="AA7497" s="158" t="s">
        <v>2369</v>
      </c>
    </row>
    <row r="7498" spans="27:27">
      <c r="AA7498" s="158" t="s">
        <v>9315</v>
      </c>
    </row>
    <row r="7499" spans="27:27">
      <c r="AA7499" s="158" t="s">
        <v>9316</v>
      </c>
    </row>
    <row r="7500" spans="27:27">
      <c r="AA7500" s="158" t="s">
        <v>9317</v>
      </c>
    </row>
    <row r="7501" spans="27:27">
      <c r="AA7501" s="158" t="s">
        <v>9318</v>
      </c>
    </row>
    <row r="7502" spans="27:27">
      <c r="AA7502" s="158" t="s">
        <v>9319</v>
      </c>
    </row>
    <row r="7503" spans="27:27">
      <c r="AA7503" s="158" t="s">
        <v>9320</v>
      </c>
    </row>
    <row r="7504" spans="27:27">
      <c r="AA7504" s="158" t="s">
        <v>9321</v>
      </c>
    </row>
    <row r="7505" spans="27:27">
      <c r="AA7505" s="158" t="s">
        <v>2370</v>
      </c>
    </row>
    <row r="7506" spans="27:27">
      <c r="AA7506" s="158" t="s">
        <v>9322</v>
      </c>
    </row>
    <row r="7507" spans="27:27">
      <c r="AA7507" s="158" t="s">
        <v>2371</v>
      </c>
    </row>
    <row r="7508" spans="27:27">
      <c r="AA7508" s="158" t="s">
        <v>9323</v>
      </c>
    </row>
    <row r="7509" spans="27:27">
      <c r="AA7509" s="158" t="s">
        <v>2372</v>
      </c>
    </row>
    <row r="7510" spans="27:27">
      <c r="AA7510" s="158" t="s">
        <v>2373</v>
      </c>
    </row>
    <row r="7511" spans="27:27">
      <c r="AA7511" s="158" t="s">
        <v>2374</v>
      </c>
    </row>
    <row r="7512" spans="27:27">
      <c r="AA7512" s="158" t="s">
        <v>2375</v>
      </c>
    </row>
    <row r="7513" spans="27:27">
      <c r="AA7513" s="158" t="s">
        <v>9324</v>
      </c>
    </row>
    <row r="7514" spans="27:27">
      <c r="AA7514" s="158" t="s">
        <v>9325</v>
      </c>
    </row>
    <row r="7515" spans="27:27">
      <c r="AA7515" s="158" t="s">
        <v>9326</v>
      </c>
    </row>
    <row r="7516" spans="27:27">
      <c r="AA7516" s="158" t="s">
        <v>9327</v>
      </c>
    </row>
    <row r="7517" spans="27:27">
      <c r="AA7517" s="158" t="s">
        <v>9328</v>
      </c>
    </row>
    <row r="7518" spans="27:27">
      <c r="AA7518" s="158" t="s">
        <v>9329</v>
      </c>
    </row>
    <row r="7519" spans="27:27">
      <c r="AA7519" s="158" t="s">
        <v>2376</v>
      </c>
    </row>
    <row r="7520" spans="27:27">
      <c r="AA7520" s="158" t="s">
        <v>9330</v>
      </c>
    </row>
    <row r="7521" spans="27:27">
      <c r="AA7521" s="158" t="s">
        <v>9331</v>
      </c>
    </row>
    <row r="7522" spans="27:27">
      <c r="AA7522" s="158" t="s">
        <v>9332</v>
      </c>
    </row>
    <row r="7523" spans="27:27">
      <c r="AA7523" s="158" t="s">
        <v>9333</v>
      </c>
    </row>
    <row r="7524" spans="27:27">
      <c r="AA7524" s="158" t="s">
        <v>2377</v>
      </c>
    </row>
    <row r="7525" spans="27:27">
      <c r="AA7525" s="158" t="s">
        <v>9334</v>
      </c>
    </row>
    <row r="7526" spans="27:27">
      <c r="AA7526" s="158" t="s">
        <v>9335</v>
      </c>
    </row>
    <row r="7527" spans="27:27">
      <c r="AA7527" s="158" t="s">
        <v>9336</v>
      </c>
    </row>
    <row r="7528" spans="27:27">
      <c r="AA7528" s="158" t="s">
        <v>9337</v>
      </c>
    </row>
    <row r="7529" spans="27:27">
      <c r="AA7529" s="158" t="s">
        <v>2378</v>
      </c>
    </row>
    <row r="7530" spans="27:27">
      <c r="AA7530" s="158" t="s">
        <v>9338</v>
      </c>
    </row>
    <row r="7531" spans="27:27">
      <c r="AA7531" s="158" t="s">
        <v>2379</v>
      </c>
    </row>
    <row r="7532" spans="27:27">
      <c r="AA7532" s="158" t="s">
        <v>9339</v>
      </c>
    </row>
    <row r="7533" spans="27:27">
      <c r="AA7533" s="158" t="s">
        <v>9340</v>
      </c>
    </row>
    <row r="7534" spans="27:27">
      <c r="AA7534" s="158" t="s">
        <v>9341</v>
      </c>
    </row>
    <row r="7535" spans="27:27">
      <c r="AA7535" s="158" t="s">
        <v>9342</v>
      </c>
    </row>
    <row r="7536" spans="27:27">
      <c r="AA7536" s="158" t="s">
        <v>9343</v>
      </c>
    </row>
    <row r="7537" spans="27:27">
      <c r="AA7537" s="158" t="s">
        <v>9344</v>
      </c>
    </row>
    <row r="7538" spans="27:27">
      <c r="AA7538" s="158" t="s">
        <v>9345</v>
      </c>
    </row>
    <row r="7539" spans="27:27">
      <c r="AA7539" s="158" t="s">
        <v>9346</v>
      </c>
    </row>
    <row r="7540" spans="27:27">
      <c r="AA7540" s="158" t="s">
        <v>2380</v>
      </c>
    </row>
    <row r="7541" spans="27:27">
      <c r="AA7541" s="158" t="s">
        <v>9347</v>
      </c>
    </row>
    <row r="7542" spans="27:27">
      <c r="AA7542" s="158" t="s">
        <v>9348</v>
      </c>
    </row>
    <row r="7543" spans="27:27">
      <c r="AA7543" s="158" t="s">
        <v>9349</v>
      </c>
    </row>
    <row r="7544" spans="27:27">
      <c r="AA7544" s="158" t="s">
        <v>9350</v>
      </c>
    </row>
    <row r="7545" spans="27:27">
      <c r="AA7545" s="158" t="s">
        <v>9351</v>
      </c>
    </row>
    <row r="7546" spans="27:27">
      <c r="AA7546" s="158" t="s">
        <v>9352</v>
      </c>
    </row>
    <row r="7547" spans="27:27">
      <c r="AA7547" s="158" t="s">
        <v>9353</v>
      </c>
    </row>
    <row r="7548" spans="27:27">
      <c r="AA7548" s="158" t="s">
        <v>9354</v>
      </c>
    </row>
    <row r="7549" spans="27:27">
      <c r="AA7549" s="158" t="s">
        <v>9355</v>
      </c>
    </row>
    <row r="7550" spans="27:27">
      <c r="AA7550" s="158" t="s">
        <v>9356</v>
      </c>
    </row>
    <row r="7551" spans="27:27">
      <c r="AA7551" s="158" t="s">
        <v>2381</v>
      </c>
    </row>
    <row r="7552" spans="27:27">
      <c r="AA7552" s="158" t="s">
        <v>9357</v>
      </c>
    </row>
    <row r="7553" spans="27:27">
      <c r="AA7553" s="158" t="s">
        <v>9358</v>
      </c>
    </row>
    <row r="7554" spans="27:27">
      <c r="AA7554" s="158" t="s">
        <v>9359</v>
      </c>
    </row>
    <row r="7555" spans="27:27">
      <c r="AA7555" s="158" t="s">
        <v>9360</v>
      </c>
    </row>
    <row r="7556" spans="27:27">
      <c r="AA7556" s="158" t="s">
        <v>9361</v>
      </c>
    </row>
    <row r="7557" spans="27:27">
      <c r="AA7557" s="158" t="s">
        <v>9362</v>
      </c>
    </row>
    <row r="7558" spans="27:27">
      <c r="AA7558" s="158" t="s">
        <v>9363</v>
      </c>
    </row>
    <row r="7559" spans="27:27">
      <c r="AA7559" s="158" t="s">
        <v>9364</v>
      </c>
    </row>
    <row r="7560" spans="27:27">
      <c r="AA7560" s="158" t="s">
        <v>9365</v>
      </c>
    </row>
    <row r="7561" spans="27:27">
      <c r="AA7561" s="158" t="s">
        <v>9366</v>
      </c>
    </row>
    <row r="7562" spans="27:27">
      <c r="AA7562" s="158" t="s">
        <v>2382</v>
      </c>
    </row>
    <row r="7563" spans="27:27">
      <c r="AA7563" s="158" t="s">
        <v>9367</v>
      </c>
    </row>
    <row r="7564" spans="27:27">
      <c r="AA7564" s="158" t="s">
        <v>2383</v>
      </c>
    </row>
    <row r="7565" spans="27:27">
      <c r="AA7565" s="158" t="s">
        <v>9368</v>
      </c>
    </row>
    <row r="7566" spans="27:27">
      <c r="AA7566" s="158" t="s">
        <v>2384</v>
      </c>
    </row>
    <row r="7567" spans="27:27">
      <c r="AA7567" s="158" t="s">
        <v>9369</v>
      </c>
    </row>
    <row r="7568" spans="27:27">
      <c r="AA7568" s="158" t="s">
        <v>2385</v>
      </c>
    </row>
    <row r="7569" spans="27:27">
      <c r="AA7569" s="158" t="s">
        <v>9370</v>
      </c>
    </row>
    <row r="7570" spans="27:27">
      <c r="AA7570" s="158" t="s">
        <v>9371</v>
      </c>
    </row>
    <row r="7571" spans="27:27">
      <c r="AA7571" s="158" t="s">
        <v>2386</v>
      </c>
    </row>
    <row r="7572" spans="27:27">
      <c r="AA7572" s="158" t="s">
        <v>2387</v>
      </c>
    </row>
    <row r="7573" spans="27:27">
      <c r="AA7573" s="158" t="s">
        <v>9372</v>
      </c>
    </row>
    <row r="7574" spans="27:27">
      <c r="AA7574" s="158" t="s">
        <v>2388</v>
      </c>
    </row>
    <row r="7575" spans="27:27">
      <c r="AA7575" s="158" t="s">
        <v>3790</v>
      </c>
    </row>
    <row r="7576" spans="27:27">
      <c r="AA7576" s="158" t="s">
        <v>9373</v>
      </c>
    </row>
    <row r="7577" spans="27:27">
      <c r="AA7577" s="158" t="s">
        <v>9374</v>
      </c>
    </row>
    <row r="7578" spans="27:27">
      <c r="AA7578" s="158" t="s">
        <v>9375</v>
      </c>
    </row>
    <row r="7579" spans="27:27">
      <c r="AA7579" s="158" t="s">
        <v>9376</v>
      </c>
    </row>
    <row r="7580" spans="27:27">
      <c r="AA7580" s="158" t="s">
        <v>9377</v>
      </c>
    </row>
    <row r="7581" spans="27:27">
      <c r="AA7581" s="158" t="s">
        <v>9378</v>
      </c>
    </row>
    <row r="7582" spans="27:27">
      <c r="AA7582" s="158" t="s">
        <v>9379</v>
      </c>
    </row>
    <row r="7583" spans="27:27">
      <c r="AA7583" s="158" t="s">
        <v>9380</v>
      </c>
    </row>
    <row r="7584" spans="27:27">
      <c r="AA7584" s="158" t="s">
        <v>9381</v>
      </c>
    </row>
    <row r="7585" spans="27:27">
      <c r="AA7585" s="158" t="s">
        <v>9382</v>
      </c>
    </row>
    <row r="7586" spans="27:27">
      <c r="AA7586" s="158" t="s">
        <v>9383</v>
      </c>
    </row>
    <row r="7587" spans="27:27">
      <c r="AA7587" s="158" t="s">
        <v>2389</v>
      </c>
    </row>
    <row r="7588" spans="27:27">
      <c r="AA7588" s="158" t="s">
        <v>2390</v>
      </c>
    </row>
    <row r="7589" spans="27:27">
      <c r="AA7589" s="158" t="s">
        <v>2391</v>
      </c>
    </row>
    <row r="7590" spans="27:27">
      <c r="AA7590" s="158" t="s">
        <v>3791</v>
      </c>
    </row>
    <row r="7591" spans="27:27">
      <c r="AA7591" s="158" t="s">
        <v>9384</v>
      </c>
    </row>
    <row r="7592" spans="27:27">
      <c r="AA7592" s="158" t="s">
        <v>9385</v>
      </c>
    </row>
    <row r="7593" spans="27:27">
      <c r="AA7593" s="158" t="s">
        <v>9386</v>
      </c>
    </row>
    <row r="7594" spans="27:27">
      <c r="AA7594" s="158" t="s">
        <v>2392</v>
      </c>
    </row>
    <row r="7595" spans="27:27">
      <c r="AA7595" s="158" t="s">
        <v>3792</v>
      </c>
    </row>
    <row r="7596" spans="27:27">
      <c r="AA7596" s="158" t="s">
        <v>9387</v>
      </c>
    </row>
    <row r="7597" spans="27:27">
      <c r="AA7597" s="158" t="s">
        <v>9388</v>
      </c>
    </row>
    <row r="7598" spans="27:27">
      <c r="AA7598" s="158" t="s">
        <v>9389</v>
      </c>
    </row>
    <row r="7599" spans="27:27">
      <c r="AA7599" s="158" t="s">
        <v>9390</v>
      </c>
    </row>
    <row r="7600" spans="27:27">
      <c r="AA7600" s="158" t="s">
        <v>806</v>
      </c>
    </row>
    <row r="7601" spans="27:27">
      <c r="AA7601" s="158" t="s">
        <v>9391</v>
      </c>
    </row>
    <row r="7602" spans="27:27">
      <c r="AA7602" s="158" t="s">
        <v>2393</v>
      </c>
    </row>
    <row r="7603" spans="27:27">
      <c r="AA7603" s="158" t="s">
        <v>2394</v>
      </c>
    </row>
    <row r="7604" spans="27:27">
      <c r="AA7604" s="158" t="s">
        <v>9392</v>
      </c>
    </row>
    <row r="7605" spans="27:27">
      <c r="AA7605" s="158" t="s">
        <v>9393</v>
      </c>
    </row>
    <row r="7606" spans="27:27">
      <c r="AA7606" s="158" t="s">
        <v>9394</v>
      </c>
    </row>
    <row r="7607" spans="27:27">
      <c r="AA7607" s="158" t="s">
        <v>9395</v>
      </c>
    </row>
    <row r="7608" spans="27:27">
      <c r="AA7608" s="158" t="s">
        <v>9396</v>
      </c>
    </row>
    <row r="7609" spans="27:27">
      <c r="AA7609" s="158" t="s">
        <v>9397</v>
      </c>
    </row>
    <row r="7610" spans="27:27">
      <c r="AA7610" s="158" t="s">
        <v>9398</v>
      </c>
    </row>
    <row r="7611" spans="27:27">
      <c r="AA7611" s="158" t="s">
        <v>807</v>
      </c>
    </row>
    <row r="7612" spans="27:27">
      <c r="AA7612" s="158" t="s">
        <v>808</v>
      </c>
    </row>
    <row r="7613" spans="27:27">
      <c r="AA7613" s="158" t="s">
        <v>809</v>
      </c>
    </row>
    <row r="7614" spans="27:27">
      <c r="AA7614" s="158" t="s">
        <v>810</v>
      </c>
    </row>
    <row r="7615" spans="27:27">
      <c r="AA7615" s="158" t="s">
        <v>2395</v>
      </c>
    </row>
    <row r="7616" spans="27:27">
      <c r="AA7616" s="158" t="s">
        <v>2396</v>
      </c>
    </row>
    <row r="7617" spans="27:27">
      <c r="AA7617" s="158" t="s">
        <v>2397</v>
      </c>
    </row>
    <row r="7618" spans="27:27">
      <c r="AA7618" s="158" t="s">
        <v>811</v>
      </c>
    </row>
    <row r="7619" spans="27:27">
      <c r="AA7619" s="158" t="s">
        <v>812</v>
      </c>
    </row>
    <row r="7620" spans="27:27">
      <c r="AA7620" s="158" t="s">
        <v>813</v>
      </c>
    </row>
    <row r="7621" spans="27:27">
      <c r="AA7621" s="158" t="s">
        <v>814</v>
      </c>
    </row>
    <row r="7622" spans="27:27">
      <c r="AA7622" s="158" t="s">
        <v>9399</v>
      </c>
    </row>
    <row r="7623" spans="27:27">
      <c r="AA7623" s="158" t="s">
        <v>815</v>
      </c>
    </row>
    <row r="7624" spans="27:27">
      <c r="AA7624" s="158" t="s">
        <v>2398</v>
      </c>
    </row>
    <row r="7625" spans="27:27">
      <c r="AA7625" s="158" t="s">
        <v>9400</v>
      </c>
    </row>
    <row r="7626" spans="27:27">
      <c r="AA7626" s="158" t="s">
        <v>2399</v>
      </c>
    </row>
    <row r="7627" spans="27:27">
      <c r="AA7627" s="158" t="s">
        <v>816</v>
      </c>
    </row>
    <row r="7628" spans="27:27">
      <c r="AA7628" s="158" t="s">
        <v>2400</v>
      </c>
    </row>
    <row r="7629" spans="27:27">
      <c r="AA7629" s="158" t="s">
        <v>9401</v>
      </c>
    </row>
    <row r="7630" spans="27:27">
      <c r="AA7630" s="158" t="s">
        <v>9402</v>
      </c>
    </row>
    <row r="7631" spans="27:27">
      <c r="AA7631" s="158" t="s">
        <v>9403</v>
      </c>
    </row>
    <row r="7632" spans="27:27">
      <c r="AA7632" s="158" t="s">
        <v>9404</v>
      </c>
    </row>
    <row r="7633" spans="27:27">
      <c r="AA7633" s="158" t="s">
        <v>2401</v>
      </c>
    </row>
    <row r="7634" spans="27:27">
      <c r="AA7634" s="158" t="s">
        <v>9405</v>
      </c>
    </row>
    <row r="7635" spans="27:27">
      <c r="AA7635" s="158" t="s">
        <v>2402</v>
      </c>
    </row>
    <row r="7636" spans="27:27">
      <c r="AA7636" s="158" t="s">
        <v>817</v>
      </c>
    </row>
    <row r="7637" spans="27:27">
      <c r="AA7637" s="158" t="s">
        <v>9406</v>
      </c>
    </row>
    <row r="7638" spans="27:27">
      <c r="AA7638" s="158" t="s">
        <v>2403</v>
      </c>
    </row>
    <row r="7639" spans="27:27">
      <c r="AA7639" s="158" t="s">
        <v>9407</v>
      </c>
    </row>
    <row r="7640" spans="27:27">
      <c r="AA7640" s="158" t="s">
        <v>2404</v>
      </c>
    </row>
    <row r="7641" spans="27:27">
      <c r="AA7641" s="158" t="s">
        <v>9408</v>
      </c>
    </row>
    <row r="7642" spans="27:27">
      <c r="AA7642" s="158" t="s">
        <v>9409</v>
      </c>
    </row>
    <row r="7643" spans="27:27">
      <c r="AA7643" s="158" t="s">
        <v>9410</v>
      </c>
    </row>
    <row r="7644" spans="27:27">
      <c r="AA7644" s="158" t="s">
        <v>9411</v>
      </c>
    </row>
    <row r="7645" spans="27:27">
      <c r="AA7645" s="158" t="s">
        <v>2405</v>
      </c>
    </row>
    <row r="7646" spans="27:27">
      <c r="AA7646" s="158" t="s">
        <v>9412</v>
      </c>
    </row>
    <row r="7647" spans="27:27">
      <c r="AA7647" s="158" t="s">
        <v>9413</v>
      </c>
    </row>
    <row r="7648" spans="27:27">
      <c r="AA7648" s="158" t="s">
        <v>9414</v>
      </c>
    </row>
    <row r="7649" spans="27:27">
      <c r="AA7649" s="158" t="s">
        <v>2406</v>
      </c>
    </row>
    <row r="7650" spans="27:27">
      <c r="AA7650" s="158" t="s">
        <v>9415</v>
      </c>
    </row>
    <row r="7651" spans="27:27">
      <c r="AA7651" s="158" t="s">
        <v>9416</v>
      </c>
    </row>
    <row r="7652" spans="27:27">
      <c r="AA7652" s="158" t="s">
        <v>9417</v>
      </c>
    </row>
    <row r="7653" spans="27:27">
      <c r="AA7653" s="158" t="s">
        <v>9418</v>
      </c>
    </row>
    <row r="7654" spans="27:27">
      <c r="AA7654" s="158" t="s">
        <v>2407</v>
      </c>
    </row>
    <row r="7655" spans="27:27">
      <c r="AA7655" s="158" t="s">
        <v>9419</v>
      </c>
    </row>
    <row r="7656" spans="27:27">
      <c r="AA7656" s="158" t="s">
        <v>9420</v>
      </c>
    </row>
    <row r="7657" spans="27:27">
      <c r="AA7657" s="158" t="s">
        <v>2408</v>
      </c>
    </row>
    <row r="7658" spans="27:27">
      <c r="AA7658" s="158" t="s">
        <v>9421</v>
      </c>
    </row>
    <row r="7659" spans="27:27">
      <c r="AA7659" s="158" t="s">
        <v>9422</v>
      </c>
    </row>
    <row r="7660" spans="27:27">
      <c r="AA7660" s="158" t="s">
        <v>9423</v>
      </c>
    </row>
    <row r="7661" spans="27:27">
      <c r="AA7661" s="158" t="s">
        <v>9424</v>
      </c>
    </row>
    <row r="7662" spans="27:27">
      <c r="AA7662" s="158" t="s">
        <v>9425</v>
      </c>
    </row>
    <row r="7663" spans="27:27">
      <c r="AA7663" s="158" t="s">
        <v>2409</v>
      </c>
    </row>
    <row r="7664" spans="27:27">
      <c r="AA7664" s="158" t="s">
        <v>9426</v>
      </c>
    </row>
    <row r="7665" spans="27:27">
      <c r="AA7665" s="158" t="s">
        <v>9427</v>
      </c>
    </row>
    <row r="7666" spans="27:27">
      <c r="AA7666" s="158" t="s">
        <v>2410</v>
      </c>
    </row>
    <row r="7667" spans="27:27">
      <c r="AA7667" s="158" t="s">
        <v>2411</v>
      </c>
    </row>
    <row r="7668" spans="27:27">
      <c r="AA7668" s="158" t="s">
        <v>2412</v>
      </c>
    </row>
    <row r="7669" spans="27:27">
      <c r="AA7669" s="158" t="s">
        <v>2413</v>
      </c>
    </row>
    <row r="7670" spans="27:27">
      <c r="AA7670" s="158" t="s">
        <v>9428</v>
      </c>
    </row>
    <row r="7671" spans="27:27">
      <c r="AA7671" s="158" t="s">
        <v>9429</v>
      </c>
    </row>
    <row r="7672" spans="27:27">
      <c r="AA7672" s="158" t="s">
        <v>9430</v>
      </c>
    </row>
    <row r="7673" spans="27:27">
      <c r="AA7673" s="158" t="s">
        <v>2414</v>
      </c>
    </row>
    <row r="7674" spans="27:27">
      <c r="AA7674" s="158" t="s">
        <v>9431</v>
      </c>
    </row>
    <row r="7675" spans="27:27">
      <c r="AA7675" s="158" t="s">
        <v>9432</v>
      </c>
    </row>
    <row r="7676" spans="27:27">
      <c r="AA7676" s="158" t="s">
        <v>9433</v>
      </c>
    </row>
    <row r="7677" spans="27:27">
      <c r="AA7677" s="158" t="s">
        <v>2415</v>
      </c>
    </row>
    <row r="7678" spans="27:27">
      <c r="AA7678" s="158" t="s">
        <v>9434</v>
      </c>
    </row>
    <row r="7679" spans="27:27">
      <c r="AA7679" s="158" t="s">
        <v>9435</v>
      </c>
    </row>
    <row r="7680" spans="27:27">
      <c r="AA7680" s="158" t="s">
        <v>9436</v>
      </c>
    </row>
    <row r="7681" spans="27:27">
      <c r="AA7681" s="158" t="s">
        <v>2416</v>
      </c>
    </row>
    <row r="7682" spans="27:27">
      <c r="AA7682" s="158" t="s">
        <v>9437</v>
      </c>
    </row>
    <row r="7683" spans="27:27">
      <c r="AA7683" s="158" t="s">
        <v>9438</v>
      </c>
    </row>
    <row r="7684" spans="27:27">
      <c r="AA7684" s="158" t="s">
        <v>9439</v>
      </c>
    </row>
    <row r="7685" spans="27:27">
      <c r="AA7685" s="158" t="s">
        <v>2417</v>
      </c>
    </row>
    <row r="7686" spans="27:27">
      <c r="AA7686" s="158" t="s">
        <v>9440</v>
      </c>
    </row>
    <row r="7687" spans="27:27">
      <c r="AA7687" s="158" t="s">
        <v>9441</v>
      </c>
    </row>
    <row r="7688" spans="27:27">
      <c r="AA7688" s="158" t="s">
        <v>2418</v>
      </c>
    </row>
    <row r="7689" spans="27:27">
      <c r="AA7689" s="158" t="s">
        <v>9442</v>
      </c>
    </row>
    <row r="7690" spans="27:27">
      <c r="AA7690" s="158" t="s">
        <v>9443</v>
      </c>
    </row>
    <row r="7691" spans="27:27">
      <c r="AA7691" s="158" t="s">
        <v>9444</v>
      </c>
    </row>
    <row r="7692" spans="27:27">
      <c r="AA7692" s="158" t="s">
        <v>9445</v>
      </c>
    </row>
    <row r="7693" spans="27:27">
      <c r="AA7693" s="158" t="s">
        <v>9446</v>
      </c>
    </row>
    <row r="7694" spans="27:27">
      <c r="AA7694" s="158" t="s">
        <v>2419</v>
      </c>
    </row>
    <row r="7695" spans="27:27">
      <c r="AA7695" s="158" t="s">
        <v>9447</v>
      </c>
    </row>
    <row r="7696" spans="27:27">
      <c r="AA7696" s="158" t="s">
        <v>9448</v>
      </c>
    </row>
    <row r="7697" spans="27:27">
      <c r="AA7697" s="158" t="s">
        <v>9449</v>
      </c>
    </row>
    <row r="7698" spans="27:27">
      <c r="AA7698" s="158" t="s">
        <v>9450</v>
      </c>
    </row>
    <row r="7699" spans="27:27">
      <c r="AA7699" s="158" t="s">
        <v>2420</v>
      </c>
    </row>
    <row r="7700" spans="27:27">
      <c r="AA7700" s="158" t="s">
        <v>9451</v>
      </c>
    </row>
    <row r="7701" spans="27:27">
      <c r="AA7701" s="158" t="s">
        <v>9452</v>
      </c>
    </row>
    <row r="7702" spans="27:27">
      <c r="AA7702" s="158" t="s">
        <v>2421</v>
      </c>
    </row>
    <row r="7703" spans="27:27">
      <c r="AA7703" s="158" t="s">
        <v>9453</v>
      </c>
    </row>
    <row r="7704" spans="27:27">
      <c r="AA7704" s="158" t="s">
        <v>9454</v>
      </c>
    </row>
    <row r="7705" spans="27:27">
      <c r="AA7705" s="158" t="s">
        <v>9455</v>
      </c>
    </row>
    <row r="7706" spans="27:27">
      <c r="AA7706" s="158" t="s">
        <v>9456</v>
      </c>
    </row>
    <row r="7707" spans="27:27">
      <c r="AA7707" s="158" t="s">
        <v>9457</v>
      </c>
    </row>
    <row r="7708" spans="27:27">
      <c r="AA7708" s="158" t="s">
        <v>9458</v>
      </c>
    </row>
    <row r="7709" spans="27:27">
      <c r="AA7709" s="158" t="s">
        <v>9459</v>
      </c>
    </row>
    <row r="7710" spans="27:27">
      <c r="AA7710" s="158" t="s">
        <v>9460</v>
      </c>
    </row>
    <row r="7711" spans="27:27">
      <c r="AA7711" s="158" t="s">
        <v>2422</v>
      </c>
    </row>
    <row r="7712" spans="27:27">
      <c r="AA7712" s="158" t="s">
        <v>9461</v>
      </c>
    </row>
    <row r="7713" spans="27:27">
      <c r="AA7713" s="158" t="s">
        <v>2423</v>
      </c>
    </row>
    <row r="7714" spans="27:27">
      <c r="AA7714" s="158" t="s">
        <v>9462</v>
      </c>
    </row>
    <row r="7715" spans="27:27">
      <c r="AA7715" s="158" t="s">
        <v>9463</v>
      </c>
    </row>
    <row r="7716" spans="27:27">
      <c r="AA7716" s="158" t="s">
        <v>9464</v>
      </c>
    </row>
    <row r="7717" spans="27:27">
      <c r="AA7717" s="158" t="s">
        <v>9465</v>
      </c>
    </row>
    <row r="7718" spans="27:27">
      <c r="AA7718" s="158" t="s">
        <v>9466</v>
      </c>
    </row>
    <row r="7719" spans="27:27">
      <c r="AA7719" s="158" t="s">
        <v>9467</v>
      </c>
    </row>
    <row r="7720" spans="27:27">
      <c r="AA7720" s="158" t="s">
        <v>9468</v>
      </c>
    </row>
    <row r="7721" spans="27:27">
      <c r="AA7721" s="158" t="s">
        <v>9469</v>
      </c>
    </row>
    <row r="7722" spans="27:27">
      <c r="AA7722" s="158" t="s">
        <v>9470</v>
      </c>
    </row>
    <row r="7723" spans="27:27">
      <c r="AA7723" s="158" t="s">
        <v>2424</v>
      </c>
    </row>
    <row r="7724" spans="27:27">
      <c r="AA7724" s="158" t="s">
        <v>2425</v>
      </c>
    </row>
    <row r="7725" spans="27:27">
      <c r="AA7725" s="158" t="s">
        <v>9471</v>
      </c>
    </row>
    <row r="7726" spans="27:27">
      <c r="AA7726" s="158" t="s">
        <v>9472</v>
      </c>
    </row>
    <row r="7727" spans="27:27">
      <c r="AA7727" s="158" t="s">
        <v>9473</v>
      </c>
    </row>
    <row r="7728" spans="27:27">
      <c r="AA7728" s="158" t="s">
        <v>9474</v>
      </c>
    </row>
    <row r="7729" spans="27:27">
      <c r="AA7729" s="158" t="s">
        <v>2426</v>
      </c>
    </row>
    <row r="7730" spans="27:27">
      <c r="AA7730" s="158" t="s">
        <v>9475</v>
      </c>
    </row>
    <row r="7731" spans="27:27">
      <c r="AA7731" s="158" t="s">
        <v>9476</v>
      </c>
    </row>
    <row r="7732" spans="27:27">
      <c r="AA7732" s="158" t="s">
        <v>9477</v>
      </c>
    </row>
    <row r="7733" spans="27:27">
      <c r="AA7733" s="158" t="s">
        <v>2427</v>
      </c>
    </row>
    <row r="7734" spans="27:27">
      <c r="AA7734" s="158" t="s">
        <v>9478</v>
      </c>
    </row>
    <row r="7735" spans="27:27">
      <c r="AA7735" s="158" t="s">
        <v>9479</v>
      </c>
    </row>
    <row r="7736" spans="27:27">
      <c r="AA7736" s="158" t="s">
        <v>9480</v>
      </c>
    </row>
    <row r="7737" spans="27:27">
      <c r="AA7737" s="158" t="s">
        <v>9481</v>
      </c>
    </row>
    <row r="7738" spans="27:27">
      <c r="AA7738" s="158" t="s">
        <v>2428</v>
      </c>
    </row>
    <row r="7739" spans="27:27">
      <c r="AA7739" s="158" t="s">
        <v>9482</v>
      </c>
    </row>
    <row r="7740" spans="27:27">
      <c r="AA7740" s="158" t="s">
        <v>9483</v>
      </c>
    </row>
    <row r="7741" spans="27:27">
      <c r="AA7741" s="158" t="s">
        <v>9484</v>
      </c>
    </row>
    <row r="7742" spans="27:27">
      <c r="AA7742" s="158" t="s">
        <v>2429</v>
      </c>
    </row>
    <row r="7743" spans="27:27">
      <c r="AA7743" s="158" t="s">
        <v>9485</v>
      </c>
    </row>
    <row r="7744" spans="27:27">
      <c r="AA7744" s="158" t="s">
        <v>9486</v>
      </c>
    </row>
    <row r="7745" spans="27:27">
      <c r="AA7745" s="158" t="s">
        <v>9487</v>
      </c>
    </row>
    <row r="7746" spans="27:27">
      <c r="AA7746" s="158" t="s">
        <v>2430</v>
      </c>
    </row>
    <row r="7747" spans="27:27">
      <c r="AA7747" s="158" t="s">
        <v>9488</v>
      </c>
    </row>
    <row r="7748" spans="27:27">
      <c r="AA7748" s="158" t="s">
        <v>9489</v>
      </c>
    </row>
    <row r="7749" spans="27:27">
      <c r="AA7749" s="158" t="s">
        <v>9490</v>
      </c>
    </row>
    <row r="7750" spans="27:27">
      <c r="AA7750" s="158" t="s">
        <v>2431</v>
      </c>
    </row>
    <row r="7751" spans="27:27">
      <c r="AA7751" s="158" t="s">
        <v>2432</v>
      </c>
    </row>
    <row r="7752" spans="27:27">
      <c r="AA7752" s="158" t="s">
        <v>9491</v>
      </c>
    </row>
    <row r="7753" spans="27:27">
      <c r="AA7753" s="158" t="s">
        <v>9492</v>
      </c>
    </row>
    <row r="7754" spans="27:27">
      <c r="AA7754" s="158" t="s">
        <v>9493</v>
      </c>
    </row>
    <row r="7755" spans="27:27">
      <c r="AA7755" s="158" t="s">
        <v>2433</v>
      </c>
    </row>
    <row r="7756" spans="27:27">
      <c r="AA7756" s="158" t="s">
        <v>9494</v>
      </c>
    </row>
    <row r="7757" spans="27:27">
      <c r="AA7757" s="158" t="s">
        <v>9495</v>
      </c>
    </row>
    <row r="7758" spans="27:27">
      <c r="AA7758" s="158" t="s">
        <v>9496</v>
      </c>
    </row>
    <row r="7759" spans="27:27">
      <c r="AA7759" s="158" t="s">
        <v>2434</v>
      </c>
    </row>
    <row r="7760" spans="27:27">
      <c r="AA7760" s="158" t="s">
        <v>9497</v>
      </c>
    </row>
    <row r="7761" spans="27:27">
      <c r="AA7761" s="158" t="s">
        <v>9498</v>
      </c>
    </row>
    <row r="7762" spans="27:27">
      <c r="AA7762" s="158" t="s">
        <v>9499</v>
      </c>
    </row>
    <row r="7763" spans="27:27">
      <c r="AA7763" s="158" t="s">
        <v>2435</v>
      </c>
    </row>
    <row r="7764" spans="27:27">
      <c r="AA7764" s="158" t="s">
        <v>9500</v>
      </c>
    </row>
    <row r="7765" spans="27:27">
      <c r="AA7765" s="158" t="s">
        <v>2436</v>
      </c>
    </row>
    <row r="7766" spans="27:27">
      <c r="AA7766" s="158" t="s">
        <v>2437</v>
      </c>
    </row>
    <row r="7767" spans="27:27">
      <c r="AA7767" s="158" t="s">
        <v>9501</v>
      </c>
    </row>
    <row r="7768" spans="27:27">
      <c r="AA7768" s="158" t="s">
        <v>2438</v>
      </c>
    </row>
    <row r="7769" spans="27:27">
      <c r="AA7769" s="158" t="s">
        <v>9502</v>
      </c>
    </row>
    <row r="7770" spans="27:27">
      <c r="AA7770" s="158" t="s">
        <v>9503</v>
      </c>
    </row>
    <row r="7771" spans="27:27">
      <c r="AA7771" s="158" t="s">
        <v>9504</v>
      </c>
    </row>
    <row r="7772" spans="27:27">
      <c r="AA7772" s="158" t="s">
        <v>9505</v>
      </c>
    </row>
    <row r="7773" spans="27:27">
      <c r="AA7773" s="158" t="s">
        <v>9506</v>
      </c>
    </row>
    <row r="7774" spans="27:27">
      <c r="AA7774" s="158" t="s">
        <v>2439</v>
      </c>
    </row>
    <row r="7775" spans="27:27">
      <c r="AA7775" s="158" t="s">
        <v>9507</v>
      </c>
    </row>
    <row r="7776" spans="27:27">
      <c r="AA7776" s="158" t="s">
        <v>9508</v>
      </c>
    </row>
    <row r="7777" spans="27:27">
      <c r="AA7777" s="158" t="s">
        <v>9509</v>
      </c>
    </row>
    <row r="7778" spans="27:27">
      <c r="AA7778" s="158" t="s">
        <v>2440</v>
      </c>
    </row>
    <row r="7779" spans="27:27">
      <c r="AA7779" s="158" t="s">
        <v>9510</v>
      </c>
    </row>
    <row r="7780" spans="27:27">
      <c r="AA7780" s="158" t="s">
        <v>9511</v>
      </c>
    </row>
    <row r="7781" spans="27:27">
      <c r="AA7781" s="158" t="s">
        <v>9512</v>
      </c>
    </row>
    <row r="7782" spans="27:27">
      <c r="AA7782" s="158" t="s">
        <v>9513</v>
      </c>
    </row>
    <row r="7783" spans="27:27">
      <c r="AA7783" s="158" t="s">
        <v>9514</v>
      </c>
    </row>
    <row r="7784" spans="27:27">
      <c r="AA7784" s="158" t="s">
        <v>2441</v>
      </c>
    </row>
    <row r="7785" spans="27:27">
      <c r="AA7785" s="158" t="s">
        <v>9515</v>
      </c>
    </row>
    <row r="7786" spans="27:27">
      <c r="AA7786" s="158" t="s">
        <v>9516</v>
      </c>
    </row>
    <row r="7787" spans="27:27">
      <c r="AA7787" s="158" t="s">
        <v>9517</v>
      </c>
    </row>
    <row r="7788" spans="27:27">
      <c r="AA7788" s="158" t="s">
        <v>2442</v>
      </c>
    </row>
    <row r="7789" spans="27:27">
      <c r="AA7789" s="158" t="s">
        <v>9518</v>
      </c>
    </row>
    <row r="7790" spans="27:27">
      <c r="AA7790" s="158" t="s">
        <v>9519</v>
      </c>
    </row>
    <row r="7791" spans="27:27">
      <c r="AA7791" s="158" t="s">
        <v>9520</v>
      </c>
    </row>
    <row r="7792" spans="27:27">
      <c r="AA7792" s="158" t="s">
        <v>2443</v>
      </c>
    </row>
    <row r="7793" spans="27:27">
      <c r="AA7793" s="158" t="s">
        <v>9521</v>
      </c>
    </row>
    <row r="7794" spans="27:27">
      <c r="AA7794" s="158" t="s">
        <v>9522</v>
      </c>
    </row>
    <row r="7795" spans="27:27">
      <c r="AA7795" s="158" t="s">
        <v>9523</v>
      </c>
    </row>
    <row r="7796" spans="27:27">
      <c r="AA7796" s="158" t="s">
        <v>9524</v>
      </c>
    </row>
    <row r="7797" spans="27:27">
      <c r="AA7797" s="158" t="s">
        <v>2444</v>
      </c>
    </row>
    <row r="7798" spans="27:27">
      <c r="AA7798" s="158" t="s">
        <v>2445</v>
      </c>
    </row>
    <row r="7799" spans="27:27">
      <c r="AA7799" s="158" t="s">
        <v>9525</v>
      </c>
    </row>
    <row r="7800" spans="27:27">
      <c r="AA7800" s="158" t="s">
        <v>9526</v>
      </c>
    </row>
    <row r="7801" spans="27:27">
      <c r="AA7801" s="158" t="s">
        <v>9527</v>
      </c>
    </row>
    <row r="7802" spans="27:27">
      <c r="AA7802" s="158" t="s">
        <v>2446</v>
      </c>
    </row>
    <row r="7803" spans="27:27">
      <c r="AA7803" s="158" t="s">
        <v>9528</v>
      </c>
    </row>
    <row r="7804" spans="27:27">
      <c r="AA7804" s="158" t="s">
        <v>9529</v>
      </c>
    </row>
    <row r="7805" spans="27:27">
      <c r="AA7805" s="158" t="s">
        <v>9530</v>
      </c>
    </row>
    <row r="7806" spans="27:27">
      <c r="AA7806" s="158" t="s">
        <v>2447</v>
      </c>
    </row>
    <row r="7807" spans="27:27">
      <c r="AA7807" s="158" t="s">
        <v>9531</v>
      </c>
    </row>
    <row r="7808" spans="27:27">
      <c r="AA7808" s="158" t="s">
        <v>9532</v>
      </c>
    </row>
    <row r="7809" spans="27:27">
      <c r="AA7809" s="158" t="s">
        <v>9533</v>
      </c>
    </row>
    <row r="7810" spans="27:27">
      <c r="AA7810" s="158" t="s">
        <v>9534</v>
      </c>
    </row>
    <row r="7811" spans="27:27">
      <c r="AA7811" s="158" t="s">
        <v>9535</v>
      </c>
    </row>
    <row r="7812" spans="27:27">
      <c r="AA7812" s="158" t="s">
        <v>9536</v>
      </c>
    </row>
    <row r="7813" spans="27:27">
      <c r="AA7813" s="158" t="s">
        <v>9537</v>
      </c>
    </row>
    <row r="7814" spans="27:27">
      <c r="AA7814" s="158" t="s">
        <v>2448</v>
      </c>
    </row>
    <row r="7815" spans="27:27">
      <c r="AA7815" s="158" t="s">
        <v>9538</v>
      </c>
    </row>
    <row r="7816" spans="27:27">
      <c r="AA7816" s="158" t="s">
        <v>9539</v>
      </c>
    </row>
    <row r="7817" spans="27:27">
      <c r="AA7817" s="158" t="s">
        <v>9540</v>
      </c>
    </row>
    <row r="7818" spans="27:27">
      <c r="AA7818" s="158" t="s">
        <v>9541</v>
      </c>
    </row>
    <row r="7819" spans="27:27">
      <c r="AA7819" s="158" t="s">
        <v>9542</v>
      </c>
    </row>
    <row r="7820" spans="27:27">
      <c r="AA7820" s="158" t="s">
        <v>9543</v>
      </c>
    </row>
    <row r="7821" spans="27:27">
      <c r="AA7821" s="158" t="s">
        <v>9544</v>
      </c>
    </row>
    <row r="7822" spans="27:27">
      <c r="AA7822" s="158" t="s">
        <v>9545</v>
      </c>
    </row>
    <row r="7823" spans="27:27">
      <c r="AA7823" s="158" t="s">
        <v>9546</v>
      </c>
    </row>
    <row r="7824" spans="27:27">
      <c r="AA7824" s="158" t="s">
        <v>9547</v>
      </c>
    </row>
    <row r="7825" spans="27:27">
      <c r="AA7825" s="158" t="s">
        <v>2449</v>
      </c>
    </row>
    <row r="7826" spans="27:27">
      <c r="AA7826" s="158" t="s">
        <v>9548</v>
      </c>
    </row>
    <row r="7827" spans="27:27">
      <c r="AA7827" s="158" t="s">
        <v>9549</v>
      </c>
    </row>
    <row r="7828" spans="27:27">
      <c r="AA7828" s="158" t="s">
        <v>9550</v>
      </c>
    </row>
    <row r="7829" spans="27:27">
      <c r="AA7829" s="158" t="s">
        <v>9551</v>
      </c>
    </row>
    <row r="7830" spans="27:27">
      <c r="AA7830" s="158" t="s">
        <v>9552</v>
      </c>
    </row>
    <row r="7831" spans="27:27">
      <c r="AA7831" s="158" t="s">
        <v>9553</v>
      </c>
    </row>
    <row r="7832" spans="27:27">
      <c r="AA7832" s="158" t="s">
        <v>9554</v>
      </c>
    </row>
    <row r="7833" spans="27:27">
      <c r="AA7833" s="158" t="s">
        <v>9555</v>
      </c>
    </row>
    <row r="7834" spans="27:27">
      <c r="AA7834" s="158" t="s">
        <v>9556</v>
      </c>
    </row>
    <row r="7835" spans="27:27">
      <c r="AA7835" s="158" t="s">
        <v>9557</v>
      </c>
    </row>
    <row r="7836" spans="27:27">
      <c r="AA7836" s="158" t="s">
        <v>2450</v>
      </c>
    </row>
    <row r="7837" spans="27:27">
      <c r="AA7837" s="158" t="s">
        <v>9558</v>
      </c>
    </row>
    <row r="7838" spans="27:27">
      <c r="AA7838" s="158" t="s">
        <v>9559</v>
      </c>
    </row>
    <row r="7839" spans="27:27">
      <c r="AA7839" s="158" t="s">
        <v>9560</v>
      </c>
    </row>
    <row r="7840" spans="27:27">
      <c r="AA7840" s="158" t="s">
        <v>9561</v>
      </c>
    </row>
    <row r="7841" spans="27:27">
      <c r="AA7841" s="158" t="s">
        <v>9562</v>
      </c>
    </row>
    <row r="7842" spans="27:27">
      <c r="AA7842" s="158" t="s">
        <v>9563</v>
      </c>
    </row>
    <row r="7843" spans="27:27">
      <c r="AA7843" s="158" t="s">
        <v>9564</v>
      </c>
    </row>
    <row r="7844" spans="27:27">
      <c r="AA7844" s="158" t="s">
        <v>9565</v>
      </c>
    </row>
    <row r="7845" spans="27:27">
      <c r="AA7845" s="158" t="s">
        <v>9566</v>
      </c>
    </row>
    <row r="7846" spans="27:27">
      <c r="AA7846" s="158" t="s">
        <v>9567</v>
      </c>
    </row>
    <row r="7847" spans="27:27">
      <c r="AA7847" s="158" t="s">
        <v>9568</v>
      </c>
    </row>
    <row r="7848" spans="27:27">
      <c r="AA7848" s="158" t="s">
        <v>2451</v>
      </c>
    </row>
    <row r="7849" spans="27:27">
      <c r="AA7849" s="158" t="s">
        <v>2452</v>
      </c>
    </row>
    <row r="7850" spans="27:27">
      <c r="AA7850" s="158" t="s">
        <v>2453</v>
      </c>
    </row>
    <row r="7851" spans="27:27">
      <c r="AA7851" s="158" t="s">
        <v>9569</v>
      </c>
    </row>
    <row r="7852" spans="27:27">
      <c r="AA7852" s="158" t="s">
        <v>9570</v>
      </c>
    </row>
    <row r="7853" spans="27:27">
      <c r="AA7853" s="158" t="s">
        <v>9571</v>
      </c>
    </row>
    <row r="7854" spans="27:27">
      <c r="AA7854" s="158" t="s">
        <v>2454</v>
      </c>
    </row>
    <row r="7855" spans="27:27">
      <c r="AA7855" s="158" t="s">
        <v>9572</v>
      </c>
    </row>
    <row r="7856" spans="27:27">
      <c r="AA7856" s="158" t="s">
        <v>9573</v>
      </c>
    </row>
    <row r="7857" spans="27:27">
      <c r="AA7857" s="158" t="s">
        <v>9574</v>
      </c>
    </row>
    <row r="7858" spans="27:27">
      <c r="AA7858" s="158" t="s">
        <v>2455</v>
      </c>
    </row>
    <row r="7859" spans="27:27">
      <c r="AA7859" s="158" t="s">
        <v>9575</v>
      </c>
    </row>
    <row r="7860" spans="27:27">
      <c r="AA7860" s="158" t="s">
        <v>9576</v>
      </c>
    </row>
    <row r="7861" spans="27:27">
      <c r="AA7861" s="158" t="s">
        <v>9577</v>
      </c>
    </row>
    <row r="7862" spans="27:27">
      <c r="AA7862" s="158" t="s">
        <v>9578</v>
      </c>
    </row>
    <row r="7863" spans="27:27">
      <c r="AA7863" s="158" t="s">
        <v>2456</v>
      </c>
    </row>
    <row r="7864" spans="27:27">
      <c r="AA7864" s="158" t="s">
        <v>9579</v>
      </c>
    </row>
    <row r="7865" spans="27:27">
      <c r="AA7865" s="158" t="s">
        <v>9580</v>
      </c>
    </row>
    <row r="7866" spans="27:27">
      <c r="AA7866" s="158" t="s">
        <v>9581</v>
      </c>
    </row>
    <row r="7867" spans="27:27">
      <c r="AA7867" s="158" t="s">
        <v>9582</v>
      </c>
    </row>
    <row r="7868" spans="27:27">
      <c r="AA7868" s="158" t="s">
        <v>2457</v>
      </c>
    </row>
    <row r="7869" spans="27:27">
      <c r="AA7869" s="158" t="s">
        <v>2458</v>
      </c>
    </row>
    <row r="7870" spans="27:27">
      <c r="AA7870" s="158" t="s">
        <v>9583</v>
      </c>
    </row>
    <row r="7871" spans="27:27">
      <c r="AA7871" s="158" t="s">
        <v>9584</v>
      </c>
    </row>
    <row r="7872" spans="27:27">
      <c r="AA7872" s="158" t="s">
        <v>9585</v>
      </c>
    </row>
    <row r="7873" spans="27:27">
      <c r="AA7873" s="158" t="s">
        <v>9586</v>
      </c>
    </row>
    <row r="7874" spans="27:27">
      <c r="AA7874" s="158" t="s">
        <v>9587</v>
      </c>
    </row>
    <row r="7875" spans="27:27">
      <c r="AA7875" s="158" t="s">
        <v>2459</v>
      </c>
    </row>
    <row r="7876" spans="27:27">
      <c r="AA7876" s="158" t="s">
        <v>9588</v>
      </c>
    </row>
    <row r="7877" spans="27:27">
      <c r="AA7877" s="158" t="s">
        <v>9589</v>
      </c>
    </row>
    <row r="7878" spans="27:27">
      <c r="AA7878" s="158" t="s">
        <v>9590</v>
      </c>
    </row>
    <row r="7879" spans="27:27">
      <c r="AA7879" s="158" t="s">
        <v>9591</v>
      </c>
    </row>
    <row r="7880" spans="27:27">
      <c r="AA7880" s="158" t="s">
        <v>2460</v>
      </c>
    </row>
    <row r="7881" spans="27:27">
      <c r="AA7881" s="158" t="s">
        <v>9592</v>
      </c>
    </row>
    <row r="7882" spans="27:27">
      <c r="AA7882" s="158" t="s">
        <v>2461</v>
      </c>
    </row>
    <row r="7883" spans="27:27">
      <c r="AA7883" s="158" t="s">
        <v>9593</v>
      </c>
    </row>
    <row r="7884" spans="27:27">
      <c r="AA7884" s="158" t="s">
        <v>2462</v>
      </c>
    </row>
    <row r="7885" spans="27:27">
      <c r="AA7885" s="158" t="s">
        <v>9594</v>
      </c>
    </row>
    <row r="7886" spans="27:27">
      <c r="AA7886" s="158" t="s">
        <v>9595</v>
      </c>
    </row>
    <row r="7887" spans="27:27">
      <c r="AA7887" s="158" t="s">
        <v>9596</v>
      </c>
    </row>
    <row r="7888" spans="27:27">
      <c r="AA7888" s="158" t="s">
        <v>2463</v>
      </c>
    </row>
    <row r="7889" spans="27:27">
      <c r="AA7889" s="158" t="s">
        <v>9597</v>
      </c>
    </row>
    <row r="7890" spans="27:27">
      <c r="AA7890" s="158" t="s">
        <v>2464</v>
      </c>
    </row>
    <row r="7891" spans="27:27">
      <c r="AA7891" s="158" t="s">
        <v>2465</v>
      </c>
    </row>
    <row r="7892" spans="27:27">
      <c r="AA7892" s="158" t="s">
        <v>9598</v>
      </c>
    </row>
    <row r="7893" spans="27:27">
      <c r="AA7893" s="158" t="s">
        <v>2466</v>
      </c>
    </row>
    <row r="7894" spans="27:27">
      <c r="AA7894" s="158" t="s">
        <v>9599</v>
      </c>
    </row>
    <row r="7895" spans="27:27">
      <c r="AA7895" s="158" t="s">
        <v>2467</v>
      </c>
    </row>
    <row r="7896" spans="27:27">
      <c r="AA7896" s="158" t="s">
        <v>9600</v>
      </c>
    </row>
    <row r="7897" spans="27:27">
      <c r="AA7897" s="158" t="s">
        <v>9601</v>
      </c>
    </row>
    <row r="7898" spans="27:27">
      <c r="AA7898" s="158" t="s">
        <v>9602</v>
      </c>
    </row>
    <row r="7899" spans="27:27">
      <c r="AA7899" s="158" t="s">
        <v>9603</v>
      </c>
    </row>
    <row r="7900" spans="27:27">
      <c r="AA7900" s="158" t="s">
        <v>9604</v>
      </c>
    </row>
    <row r="7901" spans="27:27">
      <c r="AA7901" s="158" t="s">
        <v>9605</v>
      </c>
    </row>
    <row r="7902" spans="27:27">
      <c r="AA7902" s="158" t="s">
        <v>9606</v>
      </c>
    </row>
    <row r="7903" spans="27:27">
      <c r="AA7903" s="158" t="s">
        <v>9607</v>
      </c>
    </row>
    <row r="7904" spans="27:27">
      <c r="AA7904" s="158" t="s">
        <v>2468</v>
      </c>
    </row>
    <row r="7905" spans="27:27">
      <c r="AA7905" s="158" t="s">
        <v>818</v>
      </c>
    </row>
    <row r="7906" spans="27:27">
      <c r="AA7906" s="158" t="s">
        <v>819</v>
      </c>
    </row>
    <row r="7907" spans="27:27">
      <c r="AA7907" s="158" t="s">
        <v>9608</v>
      </c>
    </row>
    <row r="7908" spans="27:27">
      <c r="AA7908" s="158" t="s">
        <v>2469</v>
      </c>
    </row>
    <row r="7909" spans="27:27">
      <c r="AA7909" s="158" t="s">
        <v>2470</v>
      </c>
    </row>
    <row r="7910" spans="27:27">
      <c r="AA7910" s="158" t="s">
        <v>3793</v>
      </c>
    </row>
    <row r="7911" spans="27:27">
      <c r="AA7911" s="158" t="s">
        <v>820</v>
      </c>
    </row>
    <row r="7912" spans="27:27">
      <c r="AA7912" s="158" t="s">
        <v>821</v>
      </c>
    </row>
    <row r="7913" spans="27:27">
      <c r="AA7913" s="158" t="s">
        <v>822</v>
      </c>
    </row>
    <row r="7914" spans="27:27">
      <c r="AA7914" s="158" t="s">
        <v>823</v>
      </c>
    </row>
    <row r="7915" spans="27:27">
      <c r="AA7915" s="158" t="s">
        <v>3794</v>
      </c>
    </row>
    <row r="7916" spans="27:27">
      <c r="AA7916" s="158" t="s">
        <v>9609</v>
      </c>
    </row>
    <row r="7917" spans="27:27">
      <c r="AA7917" s="158" t="s">
        <v>9610</v>
      </c>
    </row>
    <row r="7918" spans="27:27">
      <c r="AA7918" s="158" t="s">
        <v>9611</v>
      </c>
    </row>
    <row r="7919" spans="27:27">
      <c r="AA7919" s="158" t="s">
        <v>9612</v>
      </c>
    </row>
    <row r="7920" spans="27:27">
      <c r="AA7920" s="158" t="s">
        <v>9613</v>
      </c>
    </row>
    <row r="7921" spans="27:27">
      <c r="AA7921" s="158" t="s">
        <v>9614</v>
      </c>
    </row>
    <row r="7922" spans="27:27">
      <c r="AA7922" s="158" t="s">
        <v>9615</v>
      </c>
    </row>
    <row r="7923" spans="27:27">
      <c r="AA7923" s="158" t="s">
        <v>824</v>
      </c>
    </row>
    <row r="7924" spans="27:27">
      <c r="AA7924" s="158" t="s">
        <v>9616</v>
      </c>
    </row>
    <row r="7925" spans="27:27">
      <c r="AA7925" s="158" t="s">
        <v>3795</v>
      </c>
    </row>
    <row r="7926" spans="27:27">
      <c r="AA7926" s="158" t="s">
        <v>9617</v>
      </c>
    </row>
    <row r="7927" spans="27:27">
      <c r="AA7927" s="158" t="s">
        <v>825</v>
      </c>
    </row>
    <row r="7928" spans="27:27">
      <c r="AA7928" s="158" t="s">
        <v>826</v>
      </c>
    </row>
    <row r="7929" spans="27:27">
      <c r="AA7929" s="158" t="s">
        <v>9618</v>
      </c>
    </row>
    <row r="7930" spans="27:27">
      <c r="AA7930" s="158" t="s">
        <v>9619</v>
      </c>
    </row>
    <row r="7931" spans="27:27">
      <c r="AA7931" s="158" t="s">
        <v>9620</v>
      </c>
    </row>
    <row r="7932" spans="27:27">
      <c r="AA7932" s="158" t="s">
        <v>3355</v>
      </c>
    </row>
    <row r="7933" spans="27:27">
      <c r="AA7933" s="158" t="s">
        <v>9621</v>
      </c>
    </row>
    <row r="7934" spans="27:27">
      <c r="AA7934" s="158" t="s">
        <v>9622</v>
      </c>
    </row>
    <row r="7935" spans="27:27">
      <c r="AA7935" s="158" t="s">
        <v>9623</v>
      </c>
    </row>
    <row r="7936" spans="27:27">
      <c r="AA7936" s="158" t="s">
        <v>9624</v>
      </c>
    </row>
    <row r="7937" spans="27:27">
      <c r="AA7937" s="158" t="s">
        <v>9625</v>
      </c>
    </row>
    <row r="7938" spans="27:27">
      <c r="AA7938" s="158" t="s">
        <v>9626</v>
      </c>
    </row>
    <row r="7939" spans="27:27">
      <c r="AA7939" s="158" t="s">
        <v>9627</v>
      </c>
    </row>
    <row r="7940" spans="27:27">
      <c r="AA7940" s="158" t="s">
        <v>9628</v>
      </c>
    </row>
    <row r="7941" spans="27:27">
      <c r="AA7941" s="158" t="s">
        <v>9629</v>
      </c>
    </row>
    <row r="7942" spans="27:27">
      <c r="AA7942" s="158" t="s">
        <v>9630</v>
      </c>
    </row>
    <row r="7943" spans="27:27">
      <c r="AA7943" s="158" t="s">
        <v>2471</v>
      </c>
    </row>
    <row r="7944" spans="27:27">
      <c r="AA7944" s="158" t="s">
        <v>2472</v>
      </c>
    </row>
    <row r="7945" spans="27:27">
      <c r="AA7945" s="158" t="s">
        <v>2473</v>
      </c>
    </row>
    <row r="7946" spans="27:27">
      <c r="AA7946" s="158" t="s">
        <v>9631</v>
      </c>
    </row>
    <row r="7947" spans="27:27">
      <c r="AA7947" s="158" t="s">
        <v>9632</v>
      </c>
    </row>
    <row r="7948" spans="27:27">
      <c r="AA7948" s="158" t="s">
        <v>9633</v>
      </c>
    </row>
    <row r="7949" spans="27:27">
      <c r="AA7949" s="158" t="s">
        <v>9634</v>
      </c>
    </row>
    <row r="7950" spans="27:27">
      <c r="AA7950" s="158" t="s">
        <v>2474</v>
      </c>
    </row>
    <row r="7951" spans="27:27">
      <c r="AA7951" s="158" t="s">
        <v>9635</v>
      </c>
    </row>
    <row r="7952" spans="27:27">
      <c r="AA7952" s="158" t="s">
        <v>9636</v>
      </c>
    </row>
    <row r="7953" spans="27:27">
      <c r="AA7953" s="158" t="s">
        <v>9637</v>
      </c>
    </row>
    <row r="7954" spans="27:27">
      <c r="AA7954" s="158" t="s">
        <v>2475</v>
      </c>
    </row>
    <row r="7955" spans="27:27">
      <c r="AA7955" s="158" t="s">
        <v>9638</v>
      </c>
    </row>
    <row r="7956" spans="27:27">
      <c r="AA7956" s="158" t="s">
        <v>9639</v>
      </c>
    </row>
    <row r="7957" spans="27:27">
      <c r="AA7957" s="158" t="s">
        <v>9640</v>
      </c>
    </row>
    <row r="7958" spans="27:27">
      <c r="AA7958" s="158" t="s">
        <v>9641</v>
      </c>
    </row>
    <row r="7959" spans="27:27">
      <c r="AA7959" s="158" t="s">
        <v>9642</v>
      </c>
    </row>
    <row r="7960" spans="27:27">
      <c r="AA7960" s="158" t="s">
        <v>9643</v>
      </c>
    </row>
    <row r="7961" spans="27:27">
      <c r="AA7961" s="158" t="s">
        <v>9644</v>
      </c>
    </row>
    <row r="7962" spans="27:27">
      <c r="AA7962" s="158" t="s">
        <v>9645</v>
      </c>
    </row>
    <row r="7963" spans="27:27">
      <c r="AA7963" s="158" t="s">
        <v>9646</v>
      </c>
    </row>
    <row r="7964" spans="27:27">
      <c r="AA7964" s="158" t="s">
        <v>9647</v>
      </c>
    </row>
    <row r="7965" spans="27:27">
      <c r="AA7965" s="158" t="s">
        <v>3796</v>
      </c>
    </row>
    <row r="7966" spans="27:27">
      <c r="AA7966" s="158" t="s">
        <v>9648</v>
      </c>
    </row>
    <row r="7967" spans="27:27">
      <c r="AA7967" s="158" t="s">
        <v>9649</v>
      </c>
    </row>
    <row r="7968" spans="27:27">
      <c r="AA7968" s="158" t="s">
        <v>9650</v>
      </c>
    </row>
    <row r="7969" spans="27:27">
      <c r="AA7969" s="158" t="s">
        <v>9651</v>
      </c>
    </row>
    <row r="7970" spans="27:27">
      <c r="AA7970" s="158" t="s">
        <v>2476</v>
      </c>
    </row>
    <row r="7971" spans="27:27">
      <c r="AA7971" s="158" t="s">
        <v>9652</v>
      </c>
    </row>
    <row r="7972" spans="27:27">
      <c r="AA7972" s="158" t="s">
        <v>9653</v>
      </c>
    </row>
    <row r="7973" spans="27:27">
      <c r="AA7973" s="158" t="s">
        <v>9654</v>
      </c>
    </row>
    <row r="7974" spans="27:27">
      <c r="AA7974" s="158" t="s">
        <v>2477</v>
      </c>
    </row>
    <row r="7975" spans="27:27">
      <c r="AA7975" s="158" t="s">
        <v>9655</v>
      </c>
    </row>
    <row r="7976" spans="27:27">
      <c r="AA7976" s="158" t="s">
        <v>9656</v>
      </c>
    </row>
    <row r="7977" spans="27:27">
      <c r="AA7977" s="158" t="s">
        <v>9657</v>
      </c>
    </row>
    <row r="7978" spans="27:27">
      <c r="AA7978" s="158" t="s">
        <v>2478</v>
      </c>
    </row>
    <row r="7979" spans="27:27">
      <c r="AA7979" s="158" t="s">
        <v>9658</v>
      </c>
    </row>
    <row r="7980" spans="27:27">
      <c r="AA7980" s="158" t="s">
        <v>9659</v>
      </c>
    </row>
    <row r="7981" spans="27:27">
      <c r="AA7981" s="158" t="s">
        <v>9660</v>
      </c>
    </row>
    <row r="7982" spans="27:27">
      <c r="AA7982" s="158" t="s">
        <v>2479</v>
      </c>
    </row>
    <row r="7983" spans="27:27">
      <c r="AA7983" s="158" t="s">
        <v>827</v>
      </c>
    </row>
    <row r="7984" spans="27:27">
      <c r="AA7984" s="158" t="s">
        <v>9661</v>
      </c>
    </row>
    <row r="7985" spans="27:27">
      <c r="AA7985" s="158" t="s">
        <v>9662</v>
      </c>
    </row>
    <row r="7986" spans="27:27">
      <c r="AA7986" s="158" t="s">
        <v>9663</v>
      </c>
    </row>
    <row r="7987" spans="27:27">
      <c r="AA7987" s="158" t="s">
        <v>9664</v>
      </c>
    </row>
    <row r="7988" spans="27:27">
      <c r="AA7988" s="158" t="s">
        <v>2480</v>
      </c>
    </row>
    <row r="7989" spans="27:27">
      <c r="AA7989" s="158" t="s">
        <v>2481</v>
      </c>
    </row>
    <row r="7990" spans="27:27">
      <c r="AA7990" s="158" t="s">
        <v>2482</v>
      </c>
    </row>
    <row r="7991" spans="27:27">
      <c r="AA7991" s="158" t="s">
        <v>2483</v>
      </c>
    </row>
    <row r="7992" spans="27:27">
      <c r="AA7992" s="158" t="s">
        <v>9665</v>
      </c>
    </row>
    <row r="7993" spans="27:27">
      <c r="AA7993" s="158" t="s">
        <v>9666</v>
      </c>
    </row>
    <row r="7994" spans="27:27">
      <c r="AA7994" s="158" t="s">
        <v>2484</v>
      </c>
    </row>
    <row r="7995" spans="27:27">
      <c r="AA7995" s="158" t="s">
        <v>3797</v>
      </c>
    </row>
    <row r="7996" spans="27:27">
      <c r="AA7996" s="158" t="s">
        <v>2485</v>
      </c>
    </row>
    <row r="7997" spans="27:27">
      <c r="AA7997" s="158" t="s">
        <v>9667</v>
      </c>
    </row>
    <row r="7998" spans="27:27">
      <c r="AA7998" s="158" t="s">
        <v>9668</v>
      </c>
    </row>
    <row r="7999" spans="27:27">
      <c r="AA7999" s="158" t="s">
        <v>9669</v>
      </c>
    </row>
    <row r="8000" spans="27:27">
      <c r="AA8000" s="158" t="s">
        <v>9670</v>
      </c>
    </row>
    <row r="8001" spans="27:27">
      <c r="AA8001" s="158" t="s">
        <v>9671</v>
      </c>
    </row>
    <row r="8002" spans="27:27">
      <c r="AA8002" s="158" t="s">
        <v>9672</v>
      </c>
    </row>
    <row r="8003" spans="27:27">
      <c r="AA8003" s="158" t="s">
        <v>9673</v>
      </c>
    </row>
    <row r="8004" spans="27:27">
      <c r="AA8004" s="158" t="s">
        <v>9674</v>
      </c>
    </row>
    <row r="8005" spans="27:27">
      <c r="AA8005" s="158" t="s">
        <v>2486</v>
      </c>
    </row>
    <row r="8006" spans="27:27">
      <c r="AA8006" s="158" t="s">
        <v>2487</v>
      </c>
    </row>
    <row r="8007" spans="27:27">
      <c r="AA8007" s="158" t="s">
        <v>2488</v>
      </c>
    </row>
    <row r="8008" spans="27:27">
      <c r="AA8008" s="158" t="s">
        <v>2489</v>
      </c>
    </row>
    <row r="8009" spans="27:27">
      <c r="AA8009" s="158" t="s">
        <v>2490</v>
      </c>
    </row>
    <row r="8010" spans="27:27">
      <c r="AA8010" s="158" t="s">
        <v>9675</v>
      </c>
    </row>
    <row r="8011" spans="27:27">
      <c r="AA8011" s="158" t="s">
        <v>2491</v>
      </c>
    </row>
    <row r="8012" spans="27:27">
      <c r="AA8012" s="158" t="s">
        <v>9676</v>
      </c>
    </row>
    <row r="8013" spans="27:27">
      <c r="AA8013" s="158" t="s">
        <v>9677</v>
      </c>
    </row>
    <row r="8014" spans="27:27">
      <c r="AA8014" s="158" t="s">
        <v>9678</v>
      </c>
    </row>
    <row r="8015" spans="27:27">
      <c r="AA8015" s="158" t="s">
        <v>9679</v>
      </c>
    </row>
    <row r="8016" spans="27:27">
      <c r="AA8016" s="158" t="s">
        <v>9680</v>
      </c>
    </row>
    <row r="8017" spans="27:27">
      <c r="AA8017" s="158" t="s">
        <v>9681</v>
      </c>
    </row>
    <row r="8018" spans="27:27">
      <c r="AA8018" s="158" t="s">
        <v>9682</v>
      </c>
    </row>
    <row r="8019" spans="27:27">
      <c r="AA8019" s="158" t="s">
        <v>9683</v>
      </c>
    </row>
    <row r="8020" spans="27:27">
      <c r="AA8020" s="158" t="s">
        <v>9684</v>
      </c>
    </row>
    <row r="8021" spans="27:27">
      <c r="AA8021" s="158" t="s">
        <v>9685</v>
      </c>
    </row>
    <row r="8022" spans="27:27">
      <c r="AA8022" s="158" t="s">
        <v>9686</v>
      </c>
    </row>
    <row r="8023" spans="27:27">
      <c r="AA8023" s="158" t="s">
        <v>2492</v>
      </c>
    </row>
    <row r="8024" spans="27:27">
      <c r="AA8024" s="158" t="s">
        <v>9687</v>
      </c>
    </row>
    <row r="8025" spans="27:27">
      <c r="AA8025" s="158" t="s">
        <v>9688</v>
      </c>
    </row>
    <row r="8026" spans="27:27">
      <c r="AA8026" s="158" t="s">
        <v>9689</v>
      </c>
    </row>
    <row r="8027" spans="27:27">
      <c r="AA8027" s="158" t="s">
        <v>9690</v>
      </c>
    </row>
    <row r="8028" spans="27:27">
      <c r="AA8028" s="158" t="s">
        <v>9691</v>
      </c>
    </row>
    <row r="8029" spans="27:27">
      <c r="AA8029" s="158" t="s">
        <v>2493</v>
      </c>
    </row>
    <row r="8030" spans="27:27">
      <c r="AA8030" s="158" t="s">
        <v>2494</v>
      </c>
    </row>
    <row r="8031" spans="27:27">
      <c r="AA8031" s="158" t="s">
        <v>2495</v>
      </c>
    </row>
    <row r="8032" spans="27:27">
      <c r="AA8032" s="158" t="s">
        <v>9692</v>
      </c>
    </row>
    <row r="8033" spans="27:27">
      <c r="AA8033" s="158" t="s">
        <v>9693</v>
      </c>
    </row>
    <row r="8034" spans="27:27">
      <c r="AA8034" s="158" t="s">
        <v>2496</v>
      </c>
    </row>
    <row r="8035" spans="27:27">
      <c r="AA8035" s="158" t="s">
        <v>2497</v>
      </c>
    </row>
    <row r="8036" spans="27:27">
      <c r="AA8036" s="158" t="s">
        <v>9694</v>
      </c>
    </row>
    <row r="8037" spans="27:27">
      <c r="AA8037" s="158" t="s">
        <v>2498</v>
      </c>
    </row>
    <row r="8038" spans="27:27">
      <c r="AA8038" s="158" t="s">
        <v>9695</v>
      </c>
    </row>
    <row r="8039" spans="27:27">
      <c r="AA8039" s="158" t="s">
        <v>9696</v>
      </c>
    </row>
    <row r="8040" spans="27:27">
      <c r="AA8040" s="158" t="s">
        <v>9697</v>
      </c>
    </row>
    <row r="8041" spans="27:27">
      <c r="AA8041" s="158" t="s">
        <v>9698</v>
      </c>
    </row>
    <row r="8042" spans="27:27">
      <c r="AA8042" s="158" t="s">
        <v>9699</v>
      </c>
    </row>
    <row r="8043" spans="27:27">
      <c r="AA8043" s="158" t="s">
        <v>2499</v>
      </c>
    </row>
    <row r="8044" spans="27:27">
      <c r="AA8044" s="158" t="s">
        <v>9700</v>
      </c>
    </row>
    <row r="8045" spans="27:27">
      <c r="AA8045" s="158" t="s">
        <v>9701</v>
      </c>
    </row>
    <row r="8046" spans="27:27">
      <c r="AA8046" s="158" t="s">
        <v>9702</v>
      </c>
    </row>
    <row r="8047" spans="27:27">
      <c r="AA8047" s="158" t="s">
        <v>9703</v>
      </c>
    </row>
    <row r="8048" spans="27:27">
      <c r="AA8048" s="158" t="s">
        <v>9704</v>
      </c>
    </row>
    <row r="8049" spans="27:27">
      <c r="AA8049" s="158" t="s">
        <v>9705</v>
      </c>
    </row>
    <row r="8050" spans="27:27">
      <c r="AA8050" s="158" t="s">
        <v>9706</v>
      </c>
    </row>
    <row r="8051" spans="27:27">
      <c r="AA8051" s="158" t="s">
        <v>828</v>
      </c>
    </row>
    <row r="8052" spans="27:27">
      <c r="AA8052" s="158" t="s">
        <v>2500</v>
      </c>
    </row>
    <row r="8053" spans="27:27">
      <c r="AA8053" s="158" t="s">
        <v>9707</v>
      </c>
    </row>
    <row r="8054" spans="27:27">
      <c r="AA8054" s="158" t="s">
        <v>9708</v>
      </c>
    </row>
    <row r="8055" spans="27:27">
      <c r="AA8055" s="158" t="s">
        <v>9709</v>
      </c>
    </row>
    <row r="8056" spans="27:27">
      <c r="AA8056" s="158" t="s">
        <v>829</v>
      </c>
    </row>
    <row r="8057" spans="27:27">
      <c r="AA8057" s="158" t="s">
        <v>830</v>
      </c>
    </row>
    <row r="8058" spans="27:27">
      <c r="AA8058" s="158" t="s">
        <v>9710</v>
      </c>
    </row>
    <row r="8059" spans="27:27">
      <c r="AA8059" s="158" t="s">
        <v>9711</v>
      </c>
    </row>
    <row r="8060" spans="27:27">
      <c r="AA8060" s="158" t="s">
        <v>831</v>
      </c>
    </row>
    <row r="8061" spans="27:27">
      <c r="AA8061" s="158" t="s">
        <v>832</v>
      </c>
    </row>
    <row r="8062" spans="27:27">
      <c r="AA8062" s="158" t="s">
        <v>9712</v>
      </c>
    </row>
    <row r="8063" spans="27:27">
      <c r="AA8063" s="158" t="s">
        <v>2501</v>
      </c>
    </row>
    <row r="8064" spans="27:27">
      <c r="AA8064" s="158" t="s">
        <v>833</v>
      </c>
    </row>
    <row r="8065" spans="27:27">
      <c r="AA8065" s="158" t="s">
        <v>9713</v>
      </c>
    </row>
    <row r="8066" spans="27:27">
      <c r="AA8066" s="158" t="s">
        <v>9714</v>
      </c>
    </row>
    <row r="8067" spans="27:27">
      <c r="AA8067" s="158" t="s">
        <v>9715</v>
      </c>
    </row>
    <row r="8068" spans="27:27">
      <c r="AA8068" s="158" t="s">
        <v>9716</v>
      </c>
    </row>
    <row r="8069" spans="27:27">
      <c r="AA8069" s="158" t="s">
        <v>9717</v>
      </c>
    </row>
    <row r="8070" spans="27:27">
      <c r="AA8070" s="158" t="s">
        <v>9718</v>
      </c>
    </row>
    <row r="8071" spans="27:27">
      <c r="AA8071" s="158" t="s">
        <v>9719</v>
      </c>
    </row>
    <row r="8072" spans="27:27">
      <c r="AA8072" s="158" t="s">
        <v>2502</v>
      </c>
    </row>
    <row r="8073" spans="27:27">
      <c r="AA8073" s="158" t="s">
        <v>9720</v>
      </c>
    </row>
    <row r="8074" spans="27:27">
      <c r="AA8074" s="158" t="s">
        <v>9721</v>
      </c>
    </row>
    <row r="8075" spans="27:27">
      <c r="AA8075" s="158" t="s">
        <v>9722</v>
      </c>
    </row>
    <row r="8076" spans="27:27">
      <c r="AA8076" s="158" t="s">
        <v>9723</v>
      </c>
    </row>
    <row r="8077" spans="27:27">
      <c r="AA8077" s="158" t="s">
        <v>9724</v>
      </c>
    </row>
    <row r="8078" spans="27:27">
      <c r="AA8078" s="158" t="s">
        <v>9725</v>
      </c>
    </row>
    <row r="8079" spans="27:27">
      <c r="AA8079" s="158" t="s">
        <v>2503</v>
      </c>
    </row>
    <row r="8080" spans="27:27">
      <c r="AA8080" s="158" t="s">
        <v>2504</v>
      </c>
    </row>
    <row r="8081" spans="27:27">
      <c r="AA8081" s="158" t="s">
        <v>2505</v>
      </c>
    </row>
    <row r="8082" spans="27:27">
      <c r="AA8082" s="158" t="s">
        <v>9726</v>
      </c>
    </row>
    <row r="8083" spans="27:27">
      <c r="AA8083" s="158" t="s">
        <v>9727</v>
      </c>
    </row>
    <row r="8084" spans="27:27">
      <c r="AA8084" s="158" t="s">
        <v>9728</v>
      </c>
    </row>
    <row r="8085" spans="27:27">
      <c r="AA8085" s="158" t="s">
        <v>9729</v>
      </c>
    </row>
    <row r="8086" spans="27:27">
      <c r="AA8086" s="158" t="s">
        <v>9730</v>
      </c>
    </row>
    <row r="8087" spans="27:27">
      <c r="AA8087" s="158" t="s">
        <v>9731</v>
      </c>
    </row>
    <row r="8088" spans="27:27">
      <c r="AA8088" s="158" t="s">
        <v>9732</v>
      </c>
    </row>
    <row r="8089" spans="27:27">
      <c r="AA8089" s="158" t="s">
        <v>9733</v>
      </c>
    </row>
    <row r="8090" spans="27:27">
      <c r="AA8090" s="158" t="s">
        <v>9734</v>
      </c>
    </row>
    <row r="8091" spans="27:27">
      <c r="AA8091" s="158" t="s">
        <v>2506</v>
      </c>
    </row>
    <row r="8092" spans="27:27">
      <c r="AA8092" s="158" t="s">
        <v>2507</v>
      </c>
    </row>
    <row r="8093" spans="27:27">
      <c r="AA8093" s="158" t="s">
        <v>9735</v>
      </c>
    </row>
    <row r="8094" spans="27:27">
      <c r="AA8094" s="158" t="s">
        <v>9736</v>
      </c>
    </row>
    <row r="8095" spans="27:27">
      <c r="AA8095" s="158" t="s">
        <v>9737</v>
      </c>
    </row>
    <row r="8096" spans="27:27">
      <c r="AA8096" s="158" t="s">
        <v>9738</v>
      </c>
    </row>
    <row r="8097" spans="27:27">
      <c r="AA8097" s="158" t="s">
        <v>9739</v>
      </c>
    </row>
    <row r="8098" spans="27:27">
      <c r="AA8098" s="158" t="s">
        <v>9740</v>
      </c>
    </row>
    <row r="8099" spans="27:27">
      <c r="AA8099" s="158" t="s">
        <v>9741</v>
      </c>
    </row>
    <row r="8100" spans="27:27">
      <c r="AA8100" s="158" t="s">
        <v>9742</v>
      </c>
    </row>
    <row r="8101" spans="27:27">
      <c r="AA8101" s="158" t="s">
        <v>9743</v>
      </c>
    </row>
    <row r="8102" spans="27:27">
      <c r="AA8102" s="158" t="s">
        <v>9744</v>
      </c>
    </row>
    <row r="8103" spans="27:27">
      <c r="AA8103" s="158" t="s">
        <v>9745</v>
      </c>
    </row>
    <row r="8104" spans="27:27">
      <c r="AA8104" s="158" t="s">
        <v>9746</v>
      </c>
    </row>
    <row r="8105" spans="27:27">
      <c r="AA8105" s="158" t="s">
        <v>9747</v>
      </c>
    </row>
    <row r="8106" spans="27:27">
      <c r="AA8106" s="158" t="s">
        <v>9748</v>
      </c>
    </row>
    <row r="8107" spans="27:27">
      <c r="AA8107" s="158" t="s">
        <v>9749</v>
      </c>
    </row>
    <row r="8108" spans="27:27">
      <c r="AA8108" s="158" t="s">
        <v>9750</v>
      </c>
    </row>
    <row r="8109" spans="27:27">
      <c r="AA8109" s="158" t="s">
        <v>2508</v>
      </c>
    </row>
    <row r="8110" spans="27:27">
      <c r="AA8110" s="158" t="s">
        <v>9751</v>
      </c>
    </row>
    <row r="8111" spans="27:27">
      <c r="AA8111" s="158" t="s">
        <v>9752</v>
      </c>
    </row>
    <row r="8112" spans="27:27">
      <c r="AA8112" s="158" t="s">
        <v>9753</v>
      </c>
    </row>
    <row r="8113" spans="27:27">
      <c r="AA8113" s="158" t="s">
        <v>9754</v>
      </c>
    </row>
    <row r="8114" spans="27:27">
      <c r="AA8114" s="158" t="s">
        <v>9755</v>
      </c>
    </row>
    <row r="8115" spans="27:27">
      <c r="AA8115" s="158" t="s">
        <v>9756</v>
      </c>
    </row>
    <row r="8116" spans="27:27">
      <c r="AA8116" s="158" t="s">
        <v>9757</v>
      </c>
    </row>
    <row r="8117" spans="27:27">
      <c r="AA8117" s="158" t="s">
        <v>9758</v>
      </c>
    </row>
    <row r="8118" spans="27:27">
      <c r="AA8118" s="158" t="s">
        <v>2509</v>
      </c>
    </row>
    <row r="8119" spans="27:27">
      <c r="AA8119" s="158" t="s">
        <v>9759</v>
      </c>
    </row>
    <row r="8120" spans="27:27">
      <c r="AA8120" s="158" t="s">
        <v>9760</v>
      </c>
    </row>
    <row r="8121" spans="27:27">
      <c r="AA8121" s="158" t="s">
        <v>9761</v>
      </c>
    </row>
    <row r="8122" spans="27:27">
      <c r="AA8122" s="158" t="s">
        <v>9762</v>
      </c>
    </row>
    <row r="8123" spans="27:27">
      <c r="AA8123" s="158" t="s">
        <v>9763</v>
      </c>
    </row>
    <row r="8124" spans="27:27">
      <c r="AA8124" s="158" t="s">
        <v>9764</v>
      </c>
    </row>
    <row r="8125" spans="27:27">
      <c r="AA8125" s="158" t="s">
        <v>9765</v>
      </c>
    </row>
    <row r="8126" spans="27:27">
      <c r="AA8126" s="158" t="s">
        <v>2510</v>
      </c>
    </row>
    <row r="8127" spans="27:27">
      <c r="AA8127" s="158" t="s">
        <v>9766</v>
      </c>
    </row>
    <row r="8128" spans="27:27">
      <c r="AA8128" s="158" t="s">
        <v>2511</v>
      </c>
    </row>
    <row r="8129" spans="27:27">
      <c r="AA8129" s="158" t="s">
        <v>9767</v>
      </c>
    </row>
    <row r="8130" spans="27:27">
      <c r="AA8130" s="158" t="s">
        <v>9768</v>
      </c>
    </row>
    <row r="8131" spans="27:27">
      <c r="AA8131" s="158" t="s">
        <v>9769</v>
      </c>
    </row>
    <row r="8132" spans="27:27">
      <c r="AA8132" s="158" t="s">
        <v>9770</v>
      </c>
    </row>
    <row r="8133" spans="27:27">
      <c r="AA8133" s="158" t="s">
        <v>9771</v>
      </c>
    </row>
    <row r="8134" spans="27:27">
      <c r="AA8134" s="158" t="s">
        <v>2512</v>
      </c>
    </row>
    <row r="8135" spans="27:27">
      <c r="AA8135" s="158" t="s">
        <v>9772</v>
      </c>
    </row>
    <row r="8136" spans="27:27">
      <c r="AA8136" s="158" t="s">
        <v>9773</v>
      </c>
    </row>
    <row r="8137" spans="27:27">
      <c r="AA8137" s="158" t="s">
        <v>9774</v>
      </c>
    </row>
    <row r="8138" spans="27:27">
      <c r="AA8138" s="158" t="s">
        <v>9775</v>
      </c>
    </row>
    <row r="8139" spans="27:27">
      <c r="AA8139" s="158" t="s">
        <v>9776</v>
      </c>
    </row>
    <row r="8140" spans="27:27">
      <c r="AA8140" s="158" t="s">
        <v>2513</v>
      </c>
    </row>
    <row r="8141" spans="27:27">
      <c r="AA8141" s="158" t="s">
        <v>9777</v>
      </c>
    </row>
    <row r="8142" spans="27:27">
      <c r="AA8142" s="158" t="s">
        <v>9778</v>
      </c>
    </row>
    <row r="8143" spans="27:27">
      <c r="AA8143" s="158" t="s">
        <v>9779</v>
      </c>
    </row>
    <row r="8144" spans="27:27">
      <c r="AA8144" s="158" t="s">
        <v>9780</v>
      </c>
    </row>
    <row r="8145" spans="27:27">
      <c r="AA8145" s="158" t="s">
        <v>9781</v>
      </c>
    </row>
    <row r="8146" spans="27:27">
      <c r="AA8146" s="158" t="s">
        <v>9782</v>
      </c>
    </row>
    <row r="8147" spans="27:27">
      <c r="AA8147" s="158" t="s">
        <v>9783</v>
      </c>
    </row>
    <row r="8148" spans="27:27">
      <c r="AA8148" s="158" t="s">
        <v>9784</v>
      </c>
    </row>
    <row r="8149" spans="27:27">
      <c r="AA8149" s="158" t="s">
        <v>9785</v>
      </c>
    </row>
    <row r="8150" spans="27:27">
      <c r="AA8150" s="158" t="s">
        <v>9786</v>
      </c>
    </row>
    <row r="8151" spans="27:27">
      <c r="AA8151" s="158" t="s">
        <v>9787</v>
      </c>
    </row>
    <row r="8152" spans="27:27">
      <c r="AA8152" s="158" t="s">
        <v>9788</v>
      </c>
    </row>
    <row r="8153" spans="27:27">
      <c r="AA8153" s="158" t="s">
        <v>9789</v>
      </c>
    </row>
    <row r="8154" spans="27:27">
      <c r="AA8154" s="158" t="s">
        <v>9790</v>
      </c>
    </row>
    <row r="8155" spans="27:27">
      <c r="AA8155" s="158" t="s">
        <v>2514</v>
      </c>
    </row>
    <row r="8156" spans="27:27">
      <c r="AA8156" s="158" t="s">
        <v>9791</v>
      </c>
    </row>
    <row r="8157" spans="27:27">
      <c r="AA8157" s="158" t="s">
        <v>9792</v>
      </c>
    </row>
    <row r="8158" spans="27:27">
      <c r="AA8158" s="158" t="s">
        <v>9793</v>
      </c>
    </row>
    <row r="8159" spans="27:27">
      <c r="AA8159" s="158" t="s">
        <v>9794</v>
      </c>
    </row>
    <row r="8160" spans="27:27">
      <c r="AA8160" s="158" t="s">
        <v>9795</v>
      </c>
    </row>
    <row r="8161" spans="27:27">
      <c r="AA8161" s="158" t="s">
        <v>2515</v>
      </c>
    </row>
    <row r="8162" spans="27:27">
      <c r="AA8162" s="158" t="s">
        <v>9796</v>
      </c>
    </row>
    <row r="8163" spans="27:27">
      <c r="AA8163" s="158" t="s">
        <v>9797</v>
      </c>
    </row>
    <row r="8164" spans="27:27">
      <c r="AA8164" s="158" t="s">
        <v>9798</v>
      </c>
    </row>
    <row r="8165" spans="27:27">
      <c r="AA8165" s="158" t="s">
        <v>9799</v>
      </c>
    </row>
    <row r="8166" spans="27:27">
      <c r="AA8166" s="158" t="s">
        <v>9800</v>
      </c>
    </row>
    <row r="8167" spans="27:27">
      <c r="AA8167" s="158" t="s">
        <v>9801</v>
      </c>
    </row>
    <row r="8168" spans="27:27">
      <c r="AA8168" s="158" t="s">
        <v>9802</v>
      </c>
    </row>
    <row r="8169" spans="27:27">
      <c r="AA8169" s="158" t="s">
        <v>9803</v>
      </c>
    </row>
    <row r="8170" spans="27:27">
      <c r="AA8170" s="158" t="s">
        <v>9804</v>
      </c>
    </row>
    <row r="8171" spans="27:27">
      <c r="AA8171" s="158" t="s">
        <v>9805</v>
      </c>
    </row>
    <row r="8172" spans="27:27">
      <c r="AA8172" s="158" t="s">
        <v>9806</v>
      </c>
    </row>
    <row r="8173" spans="27:27">
      <c r="AA8173" s="158" t="s">
        <v>9807</v>
      </c>
    </row>
    <row r="8174" spans="27:27">
      <c r="AA8174" s="158" t="s">
        <v>9808</v>
      </c>
    </row>
    <row r="8175" spans="27:27">
      <c r="AA8175" s="158" t="s">
        <v>9809</v>
      </c>
    </row>
    <row r="8176" spans="27:27">
      <c r="AA8176" s="158" t="s">
        <v>9810</v>
      </c>
    </row>
    <row r="8177" spans="27:27">
      <c r="AA8177" s="158" t="s">
        <v>9811</v>
      </c>
    </row>
    <row r="8178" spans="27:27">
      <c r="AA8178" s="158" t="s">
        <v>9812</v>
      </c>
    </row>
    <row r="8179" spans="27:27">
      <c r="AA8179" s="158" t="s">
        <v>9813</v>
      </c>
    </row>
    <row r="8180" spans="27:27">
      <c r="AA8180" s="158" t="s">
        <v>9814</v>
      </c>
    </row>
    <row r="8181" spans="27:27">
      <c r="AA8181" s="158" t="s">
        <v>9815</v>
      </c>
    </row>
    <row r="8182" spans="27:27">
      <c r="AA8182" s="158" t="s">
        <v>9816</v>
      </c>
    </row>
    <row r="8183" spans="27:27">
      <c r="AA8183" s="158" t="s">
        <v>9817</v>
      </c>
    </row>
    <row r="8184" spans="27:27">
      <c r="AA8184" s="158" t="s">
        <v>2516</v>
      </c>
    </row>
    <row r="8185" spans="27:27">
      <c r="AA8185" s="158" t="s">
        <v>9818</v>
      </c>
    </row>
    <row r="8186" spans="27:27">
      <c r="AA8186" s="158" t="s">
        <v>9819</v>
      </c>
    </row>
    <row r="8187" spans="27:27">
      <c r="AA8187" s="158" t="s">
        <v>9820</v>
      </c>
    </row>
    <row r="8188" spans="27:27">
      <c r="AA8188" s="158" t="s">
        <v>9821</v>
      </c>
    </row>
    <row r="8189" spans="27:27">
      <c r="AA8189" s="158" t="s">
        <v>9822</v>
      </c>
    </row>
    <row r="8190" spans="27:27">
      <c r="AA8190" s="158" t="s">
        <v>2517</v>
      </c>
    </row>
    <row r="8191" spans="27:27">
      <c r="AA8191" s="158" t="s">
        <v>9823</v>
      </c>
    </row>
    <row r="8192" spans="27:27">
      <c r="AA8192" s="158" t="s">
        <v>9824</v>
      </c>
    </row>
    <row r="8193" spans="27:27">
      <c r="AA8193" s="158" t="s">
        <v>9825</v>
      </c>
    </row>
    <row r="8194" spans="27:27">
      <c r="AA8194" s="158" t="s">
        <v>9826</v>
      </c>
    </row>
    <row r="8195" spans="27:27">
      <c r="AA8195" s="158" t="s">
        <v>9827</v>
      </c>
    </row>
    <row r="8196" spans="27:27">
      <c r="AA8196" s="158" t="s">
        <v>2518</v>
      </c>
    </row>
    <row r="8197" spans="27:27">
      <c r="AA8197" s="158" t="s">
        <v>9828</v>
      </c>
    </row>
    <row r="8198" spans="27:27">
      <c r="AA8198" s="158" t="s">
        <v>9829</v>
      </c>
    </row>
    <row r="8199" spans="27:27">
      <c r="AA8199" s="158" t="s">
        <v>9830</v>
      </c>
    </row>
    <row r="8200" spans="27:27">
      <c r="AA8200" s="158" t="s">
        <v>9831</v>
      </c>
    </row>
    <row r="8201" spans="27:27">
      <c r="AA8201" s="158" t="s">
        <v>9832</v>
      </c>
    </row>
    <row r="8202" spans="27:27">
      <c r="AA8202" s="158" t="s">
        <v>9833</v>
      </c>
    </row>
    <row r="8203" spans="27:27">
      <c r="AA8203" s="158" t="s">
        <v>9834</v>
      </c>
    </row>
    <row r="8204" spans="27:27">
      <c r="AA8204" s="158" t="s">
        <v>2519</v>
      </c>
    </row>
    <row r="8205" spans="27:27">
      <c r="AA8205" s="158" t="s">
        <v>9835</v>
      </c>
    </row>
    <row r="8206" spans="27:27">
      <c r="AA8206" s="158" t="s">
        <v>9836</v>
      </c>
    </row>
    <row r="8207" spans="27:27">
      <c r="AA8207" s="158" t="s">
        <v>9837</v>
      </c>
    </row>
    <row r="8208" spans="27:27">
      <c r="AA8208" s="158" t="s">
        <v>9838</v>
      </c>
    </row>
    <row r="8209" spans="27:27">
      <c r="AA8209" s="158" t="s">
        <v>9839</v>
      </c>
    </row>
    <row r="8210" spans="27:27">
      <c r="AA8210" s="158" t="s">
        <v>2520</v>
      </c>
    </row>
    <row r="8211" spans="27:27">
      <c r="AA8211" s="158" t="s">
        <v>9840</v>
      </c>
    </row>
    <row r="8212" spans="27:27">
      <c r="AA8212" s="158" t="s">
        <v>9841</v>
      </c>
    </row>
    <row r="8213" spans="27:27">
      <c r="AA8213" s="158" t="s">
        <v>9842</v>
      </c>
    </row>
    <row r="8214" spans="27:27">
      <c r="AA8214" s="158" t="s">
        <v>9843</v>
      </c>
    </row>
    <row r="8215" spans="27:27">
      <c r="AA8215" s="158" t="s">
        <v>9844</v>
      </c>
    </row>
    <row r="8216" spans="27:27">
      <c r="AA8216" s="158" t="s">
        <v>9845</v>
      </c>
    </row>
    <row r="8217" spans="27:27">
      <c r="AA8217" s="158" t="s">
        <v>9846</v>
      </c>
    </row>
    <row r="8218" spans="27:27">
      <c r="AA8218" s="158" t="s">
        <v>9847</v>
      </c>
    </row>
    <row r="8219" spans="27:27">
      <c r="AA8219" s="158" t="s">
        <v>9848</v>
      </c>
    </row>
    <row r="8220" spans="27:27">
      <c r="AA8220" s="158" t="s">
        <v>2521</v>
      </c>
    </row>
    <row r="8221" spans="27:27">
      <c r="AA8221" s="158" t="s">
        <v>9849</v>
      </c>
    </row>
    <row r="8222" spans="27:27">
      <c r="AA8222" s="158" t="s">
        <v>9850</v>
      </c>
    </row>
    <row r="8223" spans="27:27">
      <c r="AA8223" s="158" t="s">
        <v>9851</v>
      </c>
    </row>
    <row r="8224" spans="27:27">
      <c r="AA8224" s="158" t="s">
        <v>9852</v>
      </c>
    </row>
    <row r="8225" spans="27:27">
      <c r="AA8225" s="158" t="s">
        <v>9853</v>
      </c>
    </row>
    <row r="8226" spans="27:27">
      <c r="AA8226" s="158" t="s">
        <v>2522</v>
      </c>
    </row>
    <row r="8227" spans="27:27">
      <c r="AA8227" s="158" t="s">
        <v>9854</v>
      </c>
    </row>
    <row r="8228" spans="27:27">
      <c r="AA8228" s="158" t="s">
        <v>9855</v>
      </c>
    </row>
    <row r="8229" spans="27:27">
      <c r="AA8229" s="158" t="s">
        <v>9856</v>
      </c>
    </row>
    <row r="8230" spans="27:27">
      <c r="AA8230" s="158" t="s">
        <v>9857</v>
      </c>
    </row>
    <row r="8231" spans="27:27">
      <c r="AA8231" s="158" t="s">
        <v>9858</v>
      </c>
    </row>
    <row r="8232" spans="27:27">
      <c r="AA8232" s="158" t="s">
        <v>9859</v>
      </c>
    </row>
    <row r="8233" spans="27:27">
      <c r="AA8233" s="158" t="s">
        <v>9860</v>
      </c>
    </row>
    <row r="8234" spans="27:27">
      <c r="AA8234" s="158" t="s">
        <v>9861</v>
      </c>
    </row>
    <row r="8235" spans="27:27">
      <c r="AA8235" s="158" t="s">
        <v>9862</v>
      </c>
    </row>
    <row r="8236" spans="27:27">
      <c r="AA8236" s="158" t="s">
        <v>9863</v>
      </c>
    </row>
    <row r="8237" spans="27:27">
      <c r="AA8237" s="158" t="s">
        <v>2523</v>
      </c>
    </row>
    <row r="8238" spans="27:27">
      <c r="AA8238" s="158" t="s">
        <v>9864</v>
      </c>
    </row>
    <row r="8239" spans="27:27">
      <c r="AA8239" s="158" t="s">
        <v>9865</v>
      </c>
    </row>
    <row r="8240" spans="27:27">
      <c r="AA8240" s="158" t="s">
        <v>9866</v>
      </c>
    </row>
    <row r="8241" spans="27:27">
      <c r="AA8241" s="158" t="s">
        <v>9867</v>
      </c>
    </row>
    <row r="8242" spans="27:27">
      <c r="AA8242" s="158" t="s">
        <v>9868</v>
      </c>
    </row>
    <row r="8243" spans="27:27">
      <c r="AA8243" s="158" t="s">
        <v>2524</v>
      </c>
    </row>
    <row r="8244" spans="27:27">
      <c r="AA8244" s="158" t="s">
        <v>9869</v>
      </c>
    </row>
    <row r="8245" spans="27:27">
      <c r="AA8245" s="158" t="s">
        <v>9870</v>
      </c>
    </row>
    <row r="8246" spans="27:27">
      <c r="AA8246" s="158" t="s">
        <v>9871</v>
      </c>
    </row>
    <row r="8247" spans="27:27">
      <c r="AA8247" s="158" t="s">
        <v>9872</v>
      </c>
    </row>
    <row r="8248" spans="27:27">
      <c r="AA8248" s="158" t="s">
        <v>2525</v>
      </c>
    </row>
    <row r="8249" spans="27:27">
      <c r="AA8249" s="158" t="s">
        <v>9873</v>
      </c>
    </row>
    <row r="8250" spans="27:27">
      <c r="AA8250" s="158" t="s">
        <v>9874</v>
      </c>
    </row>
    <row r="8251" spans="27:27">
      <c r="AA8251" s="158" t="s">
        <v>9875</v>
      </c>
    </row>
    <row r="8252" spans="27:27">
      <c r="AA8252" s="158" t="s">
        <v>9876</v>
      </c>
    </row>
    <row r="8253" spans="27:27">
      <c r="AA8253" s="158" t="s">
        <v>9877</v>
      </c>
    </row>
    <row r="8254" spans="27:27">
      <c r="AA8254" s="158" t="s">
        <v>9878</v>
      </c>
    </row>
    <row r="8255" spans="27:27">
      <c r="AA8255" s="158" t="s">
        <v>2526</v>
      </c>
    </row>
    <row r="8256" spans="27:27">
      <c r="AA8256" s="158" t="s">
        <v>2527</v>
      </c>
    </row>
    <row r="8257" spans="27:27">
      <c r="AA8257" s="158" t="s">
        <v>9879</v>
      </c>
    </row>
    <row r="8258" spans="27:27">
      <c r="AA8258" s="158" t="s">
        <v>2528</v>
      </c>
    </row>
    <row r="8259" spans="27:27">
      <c r="AA8259" s="158" t="s">
        <v>9880</v>
      </c>
    </row>
    <row r="8260" spans="27:27">
      <c r="AA8260" s="158" t="s">
        <v>9881</v>
      </c>
    </row>
    <row r="8261" spans="27:27">
      <c r="AA8261" s="158" t="s">
        <v>9882</v>
      </c>
    </row>
    <row r="8262" spans="27:27">
      <c r="AA8262" s="158" t="s">
        <v>9883</v>
      </c>
    </row>
    <row r="8263" spans="27:27">
      <c r="AA8263" s="158" t="s">
        <v>2529</v>
      </c>
    </row>
    <row r="8264" spans="27:27">
      <c r="AA8264" s="158" t="s">
        <v>2530</v>
      </c>
    </row>
    <row r="8265" spans="27:27">
      <c r="AA8265" s="158" t="s">
        <v>2531</v>
      </c>
    </row>
    <row r="8266" spans="27:27">
      <c r="AA8266" s="158" t="s">
        <v>9884</v>
      </c>
    </row>
    <row r="8267" spans="27:27">
      <c r="AA8267" s="158" t="s">
        <v>9885</v>
      </c>
    </row>
    <row r="8268" spans="27:27">
      <c r="AA8268" s="158" t="s">
        <v>2532</v>
      </c>
    </row>
    <row r="8269" spans="27:27">
      <c r="AA8269" s="158" t="s">
        <v>9886</v>
      </c>
    </row>
    <row r="8270" spans="27:27">
      <c r="AA8270" s="158" t="s">
        <v>9887</v>
      </c>
    </row>
    <row r="8271" spans="27:27">
      <c r="AA8271" s="158" t="s">
        <v>9888</v>
      </c>
    </row>
    <row r="8272" spans="27:27">
      <c r="AA8272" s="158" t="s">
        <v>9889</v>
      </c>
    </row>
    <row r="8273" spans="27:27">
      <c r="AA8273" s="158" t="s">
        <v>9890</v>
      </c>
    </row>
    <row r="8274" spans="27:27">
      <c r="AA8274" s="158" t="s">
        <v>9891</v>
      </c>
    </row>
    <row r="8275" spans="27:27">
      <c r="AA8275" s="158" t="s">
        <v>2533</v>
      </c>
    </row>
    <row r="8276" spans="27:27">
      <c r="AA8276" s="158" t="s">
        <v>9892</v>
      </c>
    </row>
    <row r="8277" spans="27:27">
      <c r="AA8277" s="158" t="s">
        <v>9893</v>
      </c>
    </row>
    <row r="8278" spans="27:27">
      <c r="AA8278" s="158" t="s">
        <v>9894</v>
      </c>
    </row>
    <row r="8279" spans="27:27">
      <c r="AA8279" s="158" t="s">
        <v>9895</v>
      </c>
    </row>
    <row r="8280" spans="27:27">
      <c r="AA8280" s="158" t="s">
        <v>9896</v>
      </c>
    </row>
    <row r="8281" spans="27:27">
      <c r="AA8281" s="158" t="s">
        <v>9897</v>
      </c>
    </row>
    <row r="8282" spans="27:27">
      <c r="AA8282" s="158" t="s">
        <v>9898</v>
      </c>
    </row>
    <row r="8283" spans="27:27">
      <c r="AA8283" s="158" t="s">
        <v>2534</v>
      </c>
    </row>
    <row r="8284" spans="27:27">
      <c r="AA8284" s="158" t="s">
        <v>2535</v>
      </c>
    </row>
    <row r="8285" spans="27:27">
      <c r="AA8285" s="158" t="s">
        <v>2536</v>
      </c>
    </row>
    <row r="8286" spans="27:27">
      <c r="AA8286" s="158" t="s">
        <v>9899</v>
      </c>
    </row>
    <row r="8287" spans="27:27">
      <c r="AA8287" s="158" t="s">
        <v>9900</v>
      </c>
    </row>
    <row r="8288" spans="27:27">
      <c r="AA8288" s="158" t="s">
        <v>9901</v>
      </c>
    </row>
    <row r="8289" spans="27:27">
      <c r="AA8289" s="158" t="s">
        <v>9902</v>
      </c>
    </row>
    <row r="8290" spans="27:27">
      <c r="AA8290" s="158" t="s">
        <v>9903</v>
      </c>
    </row>
    <row r="8291" spans="27:27">
      <c r="AA8291" s="158" t="s">
        <v>9904</v>
      </c>
    </row>
    <row r="8292" spans="27:27">
      <c r="AA8292" s="158" t="s">
        <v>2537</v>
      </c>
    </row>
    <row r="8293" spans="27:27">
      <c r="AA8293" s="158" t="s">
        <v>9905</v>
      </c>
    </row>
    <row r="8294" spans="27:27">
      <c r="AA8294" s="158" t="s">
        <v>9906</v>
      </c>
    </row>
    <row r="8295" spans="27:27">
      <c r="AA8295" s="158" t="s">
        <v>9907</v>
      </c>
    </row>
    <row r="8296" spans="27:27">
      <c r="AA8296" s="158" t="s">
        <v>9908</v>
      </c>
    </row>
    <row r="8297" spans="27:27">
      <c r="AA8297" s="158" t="s">
        <v>9909</v>
      </c>
    </row>
    <row r="8298" spans="27:27">
      <c r="AA8298" s="158" t="s">
        <v>9910</v>
      </c>
    </row>
    <row r="8299" spans="27:27">
      <c r="AA8299" s="158" t="s">
        <v>2538</v>
      </c>
    </row>
    <row r="8300" spans="27:27">
      <c r="AA8300" s="158" t="s">
        <v>9911</v>
      </c>
    </row>
    <row r="8301" spans="27:27">
      <c r="AA8301" s="158" t="s">
        <v>9912</v>
      </c>
    </row>
    <row r="8302" spans="27:27">
      <c r="AA8302" s="158" t="s">
        <v>9913</v>
      </c>
    </row>
    <row r="8303" spans="27:27">
      <c r="AA8303" s="158" t="s">
        <v>9914</v>
      </c>
    </row>
    <row r="8304" spans="27:27">
      <c r="AA8304" s="158" t="s">
        <v>9915</v>
      </c>
    </row>
    <row r="8305" spans="27:27">
      <c r="AA8305" s="158" t="s">
        <v>9916</v>
      </c>
    </row>
    <row r="8306" spans="27:27">
      <c r="AA8306" s="158" t="s">
        <v>9917</v>
      </c>
    </row>
    <row r="8307" spans="27:27">
      <c r="AA8307" s="158" t="s">
        <v>9918</v>
      </c>
    </row>
    <row r="8308" spans="27:27">
      <c r="AA8308" s="158" t="s">
        <v>9919</v>
      </c>
    </row>
    <row r="8309" spans="27:27">
      <c r="AA8309" s="158" t="s">
        <v>9920</v>
      </c>
    </row>
    <row r="8310" spans="27:27">
      <c r="AA8310" s="158" t="s">
        <v>2539</v>
      </c>
    </row>
    <row r="8311" spans="27:27">
      <c r="AA8311" s="158" t="s">
        <v>2540</v>
      </c>
    </row>
    <row r="8312" spans="27:27">
      <c r="AA8312" s="158" t="s">
        <v>9921</v>
      </c>
    </row>
    <row r="8313" spans="27:27">
      <c r="AA8313" s="158" t="s">
        <v>9922</v>
      </c>
    </row>
    <row r="8314" spans="27:27">
      <c r="AA8314" s="158" t="s">
        <v>9923</v>
      </c>
    </row>
    <row r="8315" spans="27:27">
      <c r="AA8315" s="158" t="s">
        <v>9924</v>
      </c>
    </row>
    <row r="8316" spans="27:27">
      <c r="AA8316" s="158" t="s">
        <v>9925</v>
      </c>
    </row>
    <row r="8317" spans="27:27">
      <c r="AA8317" s="158" t="s">
        <v>9926</v>
      </c>
    </row>
    <row r="8318" spans="27:27">
      <c r="AA8318" s="158" t="s">
        <v>9927</v>
      </c>
    </row>
    <row r="8319" spans="27:27">
      <c r="AA8319" s="158" t="s">
        <v>9928</v>
      </c>
    </row>
    <row r="8320" spans="27:27">
      <c r="AA8320" s="158" t="s">
        <v>9929</v>
      </c>
    </row>
    <row r="8321" spans="27:27">
      <c r="AA8321" s="158" t="s">
        <v>9930</v>
      </c>
    </row>
    <row r="8322" spans="27:27">
      <c r="AA8322" s="158" t="s">
        <v>9931</v>
      </c>
    </row>
    <row r="8323" spans="27:27">
      <c r="AA8323" s="158" t="s">
        <v>9932</v>
      </c>
    </row>
    <row r="8324" spans="27:27">
      <c r="AA8324" s="158" t="s">
        <v>9933</v>
      </c>
    </row>
    <row r="8325" spans="27:27">
      <c r="AA8325" s="158" t="s">
        <v>9934</v>
      </c>
    </row>
    <row r="8326" spans="27:27">
      <c r="AA8326" s="158" t="s">
        <v>9935</v>
      </c>
    </row>
    <row r="8327" spans="27:27">
      <c r="AA8327" s="158" t="s">
        <v>9936</v>
      </c>
    </row>
    <row r="8328" spans="27:27">
      <c r="AA8328" s="158" t="s">
        <v>2541</v>
      </c>
    </row>
    <row r="8329" spans="27:27">
      <c r="AA8329" s="158" t="s">
        <v>9937</v>
      </c>
    </row>
    <row r="8330" spans="27:27">
      <c r="AA8330" s="158" t="s">
        <v>9938</v>
      </c>
    </row>
    <row r="8331" spans="27:27">
      <c r="AA8331" s="158" t="s">
        <v>9939</v>
      </c>
    </row>
    <row r="8332" spans="27:27">
      <c r="AA8332" s="158" t="s">
        <v>9940</v>
      </c>
    </row>
    <row r="8333" spans="27:27">
      <c r="AA8333" s="158" t="s">
        <v>9941</v>
      </c>
    </row>
    <row r="8334" spans="27:27">
      <c r="AA8334" s="158" t="s">
        <v>9942</v>
      </c>
    </row>
    <row r="8335" spans="27:27">
      <c r="AA8335" s="158" t="s">
        <v>9943</v>
      </c>
    </row>
    <row r="8336" spans="27:27">
      <c r="AA8336" s="158" t="s">
        <v>9944</v>
      </c>
    </row>
    <row r="8337" spans="27:27">
      <c r="AA8337" s="158" t="s">
        <v>2542</v>
      </c>
    </row>
    <row r="8338" spans="27:27">
      <c r="AA8338" s="158" t="s">
        <v>9945</v>
      </c>
    </row>
    <row r="8339" spans="27:27">
      <c r="AA8339" s="158" t="s">
        <v>9946</v>
      </c>
    </row>
    <row r="8340" spans="27:27">
      <c r="AA8340" s="158" t="s">
        <v>9947</v>
      </c>
    </row>
    <row r="8341" spans="27:27">
      <c r="AA8341" s="158" t="s">
        <v>9948</v>
      </c>
    </row>
    <row r="8342" spans="27:27">
      <c r="AA8342" s="158" t="s">
        <v>9949</v>
      </c>
    </row>
    <row r="8343" spans="27:27">
      <c r="AA8343" s="158" t="s">
        <v>9950</v>
      </c>
    </row>
    <row r="8344" spans="27:27">
      <c r="AA8344" s="158" t="s">
        <v>9951</v>
      </c>
    </row>
    <row r="8345" spans="27:27">
      <c r="AA8345" s="158" t="s">
        <v>9952</v>
      </c>
    </row>
    <row r="8346" spans="27:27">
      <c r="AA8346" s="158" t="s">
        <v>2543</v>
      </c>
    </row>
    <row r="8347" spans="27:27">
      <c r="AA8347" s="158" t="s">
        <v>9953</v>
      </c>
    </row>
    <row r="8348" spans="27:27">
      <c r="AA8348" s="158" t="s">
        <v>9954</v>
      </c>
    </row>
    <row r="8349" spans="27:27">
      <c r="AA8349" s="158" t="s">
        <v>9955</v>
      </c>
    </row>
    <row r="8350" spans="27:27">
      <c r="AA8350" s="158" t="s">
        <v>9956</v>
      </c>
    </row>
    <row r="8351" spans="27:27">
      <c r="AA8351" s="158" t="s">
        <v>9957</v>
      </c>
    </row>
    <row r="8352" spans="27:27">
      <c r="AA8352" s="158" t="s">
        <v>2544</v>
      </c>
    </row>
    <row r="8353" spans="27:27">
      <c r="AA8353" s="158" t="s">
        <v>9958</v>
      </c>
    </row>
    <row r="8354" spans="27:27">
      <c r="AA8354" s="158" t="s">
        <v>9959</v>
      </c>
    </row>
    <row r="8355" spans="27:27">
      <c r="AA8355" s="158" t="s">
        <v>9960</v>
      </c>
    </row>
    <row r="8356" spans="27:27">
      <c r="AA8356" s="158" t="s">
        <v>9961</v>
      </c>
    </row>
    <row r="8357" spans="27:27">
      <c r="AA8357" s="158" t="s">
        <v>9962</v>
      </c>
    </row>
    <row r="8358" spans="27:27">
      <c r="AA8358" s="158" t="s">
        <v>2545</v>
      </c>
    </row>
    <row r="8359" spans="27:27">
      <c r="AA8359" s="158" t="s">
        <v>9963</v>
      </c>
    </row>
    <row r="8360" spans="27:27">
      <c r="AA8360" s="158" t="s">
        <v>9964</v>
      </c>
    </row>
    <row r="8361" spans="27:27">
      <c r="AA8361" s="158" t="s">
        <v>9965</v>
      </c>
    </row>
    <row r="8362" spans="27:27">
      <c r="AA8362" s="158" t="s">
        <v>9966</v>
      </c>
    </row>
    <row r="8363" spans="27:27">
      <c r="AA8363" s="158" t="s">
        <v>9967</v>
      </c>
    </row>
    <row r="8364" spans="27:27">
      <c r="AA8364" s="158" t="s">
        <v>9968</v>
      </c>
    </row>
    <row r="8365" spans="27:27">
      <c r="AA8365" s="158" t="s">
        <v>9969</v>
      </c>
    </row>
    <row r="8366" spans="27:27">
      <c r="AA8366" s="158" t="s">
        <v>9970</v>
      </c>
    </row>
    <row r="8367" spans="27:27">
      <c r="AA8367" s="158" t="s">
        <v>9971</v>
      </c>
    </row>
    <row r="8368" spans="27:27">
      <c r="AA8368" s="158" t="s">
        <v>9972</v>
      </c>
    </row>
    <row r="8369" spans="27:27">
      <c r="AA8369" s="158" t="s">
        <v>9973</v>
      </c>
    </row>
    <row r="8370" spans="27:27">
      <c r="AA8370" s="158" t="s">
        <v>9974</v>
      </c>
    </row>
    <row r="8371" spans="27:27">
      <c r="AA8371" s="158" t="s">
        <v>9975</v>
      </c>
    </row>
    <row r="8372" spans="27:27">
      <c r="AA8372" s="158" t="s">
        <v>9976</v>
      </c>
    </row>
    <row r="8373" spans="27:27">
      <c r="AA8373" s="158" t="s">
        <v>2546</v>
      </c>
    </row>
    <row r="8374" spans="27:27">
      <c r="AA8374" s="158" t="s">
        <v>9977</v>
      </c>
    </row>
    <row r="8375" spans="27:27">
      <c r="AA8375" s="158" t="s">
        <v>9978</v>
      </c>
    </row>
    <row r="8376" spans="27:27">
      <c r="AA8376" s="158" t="s">
        <v>9979</v>
      </c>
    </row>
    <row r="8377" spans="27:27">
      <c r="AA8377" s="158" t="s">
        <v>9980</v>
      </c>
    </row>
    <row r="8378" spans="27:27">
      <c r="AA8378" s="158" t="s">
        <v>9981</v>
      </c>
    </row>
    <row r="8379" spans="27:27">
      <c r="AA8379" s="158" t="s">
        <v>2547</v>
      </c>
    </row>
    <row r="8380" spans="27:27">
      <c r="AA8380" s="158" t="s">
        <v>9982</v>
      </c>
    </row>
    <row r="8381" spans="27:27">
      <c r="AA8381" s="158" t="s">
        <v>9983</v>
      </c>
    </row>
    <row r="8382" spans="27:27">
      <c r="AA8382" s="158" t="s">
        <v>9984</v>
      </c>
    </row>
    <row r="8383" spans="27:27">
      <c r="AA8383" s="158" t="s">
        <v>9985</v>
      </c>
    </row>
    <row r="8384" spans="27:27">
      <c r="AA8384" s="158" t="s">
        <v>9986</v>
      </c>
    </row>
    <row r="8385" spans="27:27">
      <c r="AA8385" s="158" t="s">
        <v>9987</v>
      </c>
    </row>
    <row r="8386" spans="27:27">
      <c r="AA8386" s="158" t="s">
        <v>9988</v>
      </c>
    </row>
    <row r="8387" spans="27:27">
      <c r="AA8387" s="158" t="s">
        <v>9989</v>
      </c>
    </row>
    <row r="8388" spans="27:27">
      <c r="AA8388" s="158" t="s">
        <v>9990</v>
      </c>
    </row>
    <row r="8389" spans="27:27">
      <c r="AA8389" s="158" t="s">
        <v>9991</v>
      </c>
    </row>
    <row r="8390" spans="27:27">
      <c r="AA8390" s="158" t="s">
        <v>9992</v>
      </c>
    </row>
    <row r="8391" spans="27:27">
      <c r="AA8391" s="158" t="s">
        <v>9993</v>
      </c>
    </row>
    <row r="8392" spans="27:27">
      <c r="AA8392" s="158" t="s">
        <v>9994</v>
      </c>
    </row>
    <row r="8393" spans="27:27">
      <c r="AA8393" s="158" t="s">
        <v>9995</v>
      </c>
    </row>
    <row r="8394" spans="27:27">
      <c r="AA8394" s="158" t="s">
        <v>9996</v>
      </c>
    </row>
    <row r="8395" spans="27:27">
      <c r="AA8395" s="158" t="s">
        <v>9997</v>
      </c>
    </row>
    <row r="8396" spans="27:27">
      <c r="AA8396" s="158" t="s">
        <v>9998</v>
      </c>
    </row>
    <row r="8397" spans="27:27">
      <c r="AA8397" s="158" t="s">
        <v>9999</v>
      </c>
    </row>
    <row r="8398" spans="27:27">
      <c r="AA8398" s="158" t="s">
        <v>10000</v>
      </c>
    </row>
    <row r="8399" spans="27:27">
      <c r="AA8399" s="158" t="s">
        <v>10001</v>
      </c>
    </row>
    <row r="8400" spans="27:27">
      <c r="AA8400" s="158" t="s">
        <v>10002</v>
      </c>
    </row>
    <row r="8401" spans="27:27">
      <c r="AA8401" s="158" t="s">
        <v>10003</v>
      </c>
    </row>
    <row r="8402" spans="27:27">
      <c r="AA8402" s="158" t="s">
        <v>2548</v>
      </c>
    </row>
    <row r="8403" spans="27:27">
      <c r="AA8403" s="158" t="s">
        <v>10004</v>
      </c>
    </row>
    <row r="8404" spans="27:27">
      <c r="AA8404" s="158" t="s">
        <v>10005</v>
      </c>
    </row>
    <row r="8405" spans="27:27">
      <c r="AA8405" s="158" t="s">
        <v>10006</v>
      </c>
    </row>
    <row r="8406" spans="27:27">
      <c r="AA8406" s="158" t="s">
        <v>10007</v>
      </c>
    </row>
    <row r="8407" spans="27:27">
      <c r="AA8407" s="158" t="s">
        <v>10008</v>
      </c>
    </row>
    <row r="8408" spans="27:27">
      <c r="AA8408" s="158" t="s">
        <v>2549</v>
      </c>
    </row>
    <row r="8409" spans="27:27">
      <c r="AA8409" s="158" t="s">
        <v>10009</v>
      </c>
    </row>
    <row r="8410" spans="27:27">
      <c r="AA8410" s="158" t="s">
        <v>10010</v>
      </c>
    </row>
    <row r="8411" spans="27:27">
      <c r="AA8411" s="158" t="s">
        <v>10011</v>
      </c>
    </row>
    <row r="8412" spans="27:27">
      <c r="AA8412" s="158" t="s">
        <v>10012</v>
      </c>
    </row>
    <row r="8413" spans="27:27">
      <c r="AA8413" s="158" t="s">
        <v>10013</v>
      </c>
    </row>
    <row r="8414" spans="27:27">
      <c r="AA8414" s="158" t="s">
        <v>2550</v>
      </c>
    </row>
    <row r="8415" spans="27:27">
      <c r="AA8415" s="158" t="s">
        <v>10014</v>
      </c>
    </row>
    <row r="8416" spans="27:27">
      <c r="AA8416" s="158" t="s">
        <v>10015</v>
      </c>
    </row>
    <row r="8417" spans="27:27">
      <c r="AA8417" s="158" t="s">
        <v>10016</v>
      </c>
    </row>
    <row r="8418" spans="27:27">
      <c r="AA8418" s="158" t="s">
        <v>10017</v>
      </c>
    </row>
    <row r="8419" spans="27:27">
      <c r="AA8419" s="158" t="s">
        <v>10018</v>
      </c>
    </row>
    <row r="8420" spans="27:27">
      <c r="AA8420" s="158" t="s">
        <v>10019</v>
      </c>
    </row>
    <row r="8421" spans="27:27">
      <c r="AA8421" s="158" t="s">
        <v>10020</v>
      </c>
    </row>
    <row r="8422" spans="27:27">
      <c r="AA8422" s="158" t="s">
        <v>2551</v>
      </c>
    </row>
    <row r="8423" spans="27:27">
      <c r="AA8423" s="158" t="s">
        <v>10021</v>
      </c>
    </row>
    <row r="8424" spans="27:27">
      <c r="AA8424" s="158" t="s">
        <v>10022</v>
      </c>
    </row>
    <row r="8425" spans="27:27">
      <c r="AA8425" s="158" t="s">
        <v>10023</v>
      </c>
    </row>
    <row r="8426" spans="27:27">
      <c r="AA8426" s="158" t="s">
        <v>10024</v>
      </c>
    </row>
    <row r="8427" spans="27:27">
      <c r="AA8427" s="158" t="s">
        <v>10025</v>
      </c>
    </row>
    <row r="8428" spans="27:27">
      <c r="AA8428" s="158" t="s">
        <v>2552</v>
      </c>
    </row>
    <row r="8429" spans="27:27">
      <c r="AA8429" s="158" t="s">
        <v>10026</v>
      </c>
    </row>
    <row r="8430" spans="27:27">
      <c r="AA8430" s="158" t="s">
        <v>10027</v>
      </c>
    </row>
    <row r="8431" spans="27:27">
      <c r="AA8431" s="158" t="s">
        <v>10028</v>
      </c>
    </row>
    <row r="8432" spans="27:27">
      <c r="AA8432" s="158" t="s">
        <v>10029</v>
      </c>
    </row>
    <row r="8433" spans="27:27">
      <c r="AA8433" s="158" t="s">
        <v>10030</v>
      </c>
    </row>
    <row r="8434" spans="27:27">
      <c r="AA8434" s="158" t="s">
        <v>10031</v>
      </c>
    </row>
    <row r="8435" spans="27:27">
      <c r="AA8435" s="158" t="s">
        <v>10032</v>
      </c>
    </row>
    <row r="8436" spans="27:27">
      <c r="AA8436" s="158" t="s">
        <v>10033</v>
      </c>
    </row>
    <row r="8437" spans="27:27">
      <c r="AA8437" s="158" t="s">
        <v>10034</v>
      </c>
    </row>
    <row r="8438" spans="27:27">
      <c r="AA8438" s="158" t="s">
        <v>2553</v>
      </c>
    </row>
    <row r="8439" spans="27:27">
      <c r="AA8439" s="158" t="s">
        <v>10035</v>
      </c>
    </row>
    <row r="8440" spans="27:27">
      <c r="AA8440" s="158" t="s">
        <v>10036</v>
      </c>
    </row>
    <row r="8441" spans="27:27">
      <c r="AA8441" s="158" t="s">
        <v>10037</v>
      </c>
    </row>
    <row r="8442" spans="27:27">
      <c r="AA8442" s="158" t="s">
        <v>10038</v>
      </c>
    </row>
    <row r="8443" spans="27:27">
      <c r="AA8443" s="158" t="s">
        <v>10039</v>
      </c>
    </row>
    <row r="8444" spans="27:27">
      <c r="AA8444" s="158" t="s">
        <v>2554</v>
      </c>
    </row>
    <row r="8445" spans="27:27">
      <c r="AA8445" s="158" t="s">
        <v>10040</v>
      </c>
    </row>
    <row r="8446" spans="27:27">
      <c r="AA8446" s="158" t="s">
        <v>10041</v>
      </c>
    </row>
    <row r="8447" spans="27:27">
      <c r="AA8447" s="158" t="s">
        <v>10042</v>
      </c>
    </row>
    <row r="8448" spans="27:27">
      <c r="AA8448" s="158" t="s">
        <v>10043</v>
      </c>
    </row>
    <row r="8449" spans="27:27">
      <c r="AA8449" s="158" t="s">
        <v>10044</v>
      </c>
    </row>
    <row r="8450" spans="27:27">
      <c r="AA8450" s="158" t="s">
        <v>10045</v>
      </c>
    </row>
    <row r="8451" spans="27:27">
      <c r="AA8451" s="158" t="s">
        <v>10046</v>
      </c>
    </row>
    <row r="8452" spans="27:27">
      <c r="AA8452" s="158" t="s">
        <v>10047</v>
      </c>
    </row>
    <row r="8453" spans="27:27">
      <c r="AA8453" s="158" t="s">
        <v>10048</v>
      </c>
    </row>
    <row r="8454" spans="27:27">
      <c r="AA8454" s="158" t="s">
        <v>10049</v>
      </c>
    </row>
    <row r="8455" spans="27:27">
      <c r="AA8455" s="158" t="s">
        <v>2555</v>
      </c>
    </row>
    <row r="8456" spans="27:27">
      <c r="AA8456" s="158" t="s">
        <v>10050</v>
      </c>
    </row>
    <row r="8457" spans="27:27">
      <c r="AA8457" s="158" t="s">
        <v>10051</v>
      </c>
    </row>
    <row r="8458" spans="27:27">
      <c r="AA8458" s="158" t="s">
        <v>10052</v>
      </c>
    </row>
    <row r="8459" spans="27:27">
      <c r="AA8459" s="158" t="s">
        <v>10053</v>
      </c>
    </row>
    <row r="8460" spans="27:27">
      <c r="AA8460" s="158" t="s">
        <v>10054</v>
      </c>
    </row>
    <row r="8461" spans="27:27">
      <c r="AA8461" s="158" t="s">
        <v>2556</v>
      </c>
    </row>
    <row r="8462" spans="27:27">
      <c r="AA8462" s="158" t="s">
        <v>10055</v>
      </c>
    </row>
    <row r="8463" spans="27:27">
      <c r="AA8463" s="158" t="s">
        <v>10056</v>
      </c>
    </row>
    <row r="8464" spans="27:27">
      <c r="AA8464" s="158" t="s">
        <v>10057</v>
      </c>
    </row>
    <row r="8465" spans="27:27">
      <c r="AA8465" s="158" t="s">
        <v>10058</v>
      </c>
    </row>
    <row r="8466" spans="27:27">
      <c r="AA8466" s="158" t="s">
        <v>10059</v>
      </c>
    </row>
    <row r="8467" spans="27:27">
      <c r="AA8467" s="158" t="s">
        <v>2557</v>
      </c>
    </row>
    <row r="8468" spans="27:27">
      <c r="AA8468" s="158" t="s">
        <v>10060</v>
      </c>
    </row>
    <row r="8469" spans="27:27">
      <c r="AA8469" s="158" t="s">
        <v>10061</v>
      </c>
    </row>
    <row r="8470" spans="27:27">
      <c r="AA8470" s="158" t="s">
        <v>10062</v>
      </c>
    </row>
    <row r="8471" spans="27:27">
      <c r="AA8471" s="158" t="s">
        <v>10063</v>
      </c>
    </row>
    <row r="8472" spans="27:27">
      <c r="AA8472" s="158" t="s">
        <v>10064</v>
      </c>
    </row>
    <row r="8473" spans="27:27">
      <c r="AA8473" s="158" t="s">
        <v>2558</v>
      </c>
    </row>
    <row r="8474" spans="27:27">
      <c r="AA8474" s="158" t="s">
        <v>10065</v>
      </c>
    </row>
    <row r="8475" spans="27:27">
      <c r="AA8475" s="158" t="s">
        <v>2559</v>
      </c>
    </row>
    <row r="8476" spans="27:27">
      <c r="AA8476" s="158" t="s">
        <v>2560</v>
      </c>
    </row>
    <row r="8477" spans="27:27">
      <c r="AA8477" s="158" t="s">
        <v>2561</v>
      </c>
    </row>
    <row r="8478" spans="27:27">
      <c r="AA8478" s="158" t="s">
        <v>10066</v>
      </c>
    </row>
    <row r="8479" spans="27:27">
      <c r="AA8479" s="158" t="s">
        <v>2562</v>
      </c>
    </row>
    <row r="8480" spans="27:27">
      <c r="AA8480" s="158" t="s">
        <v>2563</v>
      </c>
    </row>
    <row r="8481" spans="27:27">
      <c r="AA8481" s="158" t="s">
        <v>10067</v>
      </c>
    </row>
    <row r="8482" spans="27:27">
      <c r="AA8482" s="158" t="s">
        <v>2564</v>
      </c>
    </row>
    <row r="8483" spans="27:27">
      <c r="AA8483" s="158" t="s">
        <v>10068</v>
      </c>
    </row>
    <row r="8484" spans="27:27">
      <c r="AA8484" s="158" t="s">
        <v>10069</v>
      </c>
    </row>
    <row r="8485" spans="27:27">
      <c r="AA8485" s="158" t="s">
        <v>10070</v>
      </c>
    </row>
    <row r="8486" spans="27:27">
      <c r="AA8486" s="158" t="s">
        <v>10071</v>
      </c>
    </row>
    <row r="8487" spans="27:27">
      <c r="AA8487" s="158" t="s">
        <v>2565</v>
      </c>
    </row>
    <row r="8488" spans="27:27">
      <c r="AA8488" s="158" t="s">
        <v>2566</v>
      </c>
    </row>
    <row r="8489" spans="27:27">
      <c r="AA8489" s="158" t="s">
        <v>2567</v>
      </c>
    </row>
    <row r="8490" spans="27:27">
      <c r="AA8490" s="158" t="s">
        <v>10072</v>
      </c>
    </row>
    <row r="8491" spans="27:27">
      <c r="AA8491" s="158" t="s">
        <v>10073</v>
      </c>
    </row>
    <row r="8492" spans="27:27">
      <c r="AA8492" s="158" t="s">
        <v>2568</v>
      </c>
    </row>
    <row r="8493" spans="27:27">
      <c r="AA8493" s="158" t="s">
        <v>10074</v>
      </c>
    </row>
    <row r="8494" spans="27:27">
      <c r="AA8494" s="158" t="s">
        <v>10075</v>
      </c>
    </row>
    <row r="8495" spans="27:27">
      <c r="AA8495" s="158" t="s">
        <v>10076</v>
      </c>
    </row>
    <row r="8496" spans="27:27">
      <c r="AA8496" s="158" t="s">
        <v>10077</v>
      </c>
    </row>
    <row r="8497" spans="27:27">
      <c r="AA8497" s="158" t="s">
        <v>10078</v>
      </c>
    </row>
    <row r="8498" spans="27:27">
      <c r="AA8498" s="158" t="s">
        <v>10079</v>
      </c>
    </row>
    <row r="8499" spans="27:27">
      <c r="AA8499" s="158" t="s">
        <v>2569</v>
      </c>
    </row>
    <row r="8500" spans="27:27">
      <c r="AA8500" s="158" t="s">
        <v>10080</v>
      </c>
    </row>
    <row r="8501" spans="27:27">
      <c r="AA8501" s="158" t="s">
        <v>10081</v>
      </c>
    </row>
    <row r="8502" spans="27:27">
      <c r="AA8502" s="158" t="s">
        <v>10082</v>
      </c>
    </row>
    <row r="8503" spans="27:27">
      <c r="AA8503" s="158" t="s">
        <v>10083</v>
      </c>
    </row>
    <row r="8504" spans="27:27">
      <c r="AA8504" s="158" t="s">
        <v>10084</v>
      </c>
    </row>
    <row r="8505" spans="27:27">
      <c r="AA8505" s="158" t="s">
        <v>10085</v>
      </c>
    </row>
    <row r="8506" spans="27:27">
      <c r="AA8506" s="158" t="s">
        <v>10086</v>
      </c>
    </row>
    <row r="8507" spans="27:27">
      <c r="AA8507" s="158" t="s">
        <v>2570</v>
      </c>
    </row>
    <row r="8508" spans="27:27">
      <c r="AA8508" s="158" t="s">
        <v>2571</v>
      </c>
    </row>
    <row r="8509" spans="27:27">
      <c r="AA8509" s="158" t="s">
        <v>2572</v>
      </c>
    </row>
    <row r="8510" spans="27:27">
      <c r="AA8510" s="158" t="s">
        <v>10087</v>
      </c>
    </row>
    <row r="8511" spans="27:27">
      <c r="AA8511" s="158" t="s">
        <v>10088</v>
      </c>
    </row>
    <row r="8512" spans="27:27">
      <c r="AA8512" s="158" t="s">
        <v>10089</v>
      </c>
    </row>
    <row r="8513" spans="27:27">
      <c r="AA8513" s="158" t="s">
        <v>10090</v>
      </c>
    </row>
    <row r="8514" spans="27:27">
      <c r="AA8514" s="158" t="s">
        <v>10091</v>
      </c>
    </row>
    <row r="8515" spans="27:27">
      <c r="AA8515" s="158" t="s">
        <v>10092</v>
      </c>
    </row>
    <row r="8516" spans="27:27">
      <c r="AA8516" s="158" t="s">
        <v>2573</v>
      </c>
    </row>
    <row r="8517" spans="27:27">
      <c r="AA8517" s="158" t="s">
        <v>10093</v>
      </c>
    </row>
    <row r="8518" spans="27:27">
      <c r="AA8518" s="158" t="s">
        <v>10094</v>
      </c>
    </row>
    <row r="8519" spans="27:27">
      <c r="AA8519" s="158" t="s">
        <v>10095</v>
      </c>
    </row>
    <row r="8520" spans="27:27">
      <c r="AA8520" s="158" t="s">
        <v>10096</v>
      </c>
    </row>
    <row r="8521" spans="27:27">
      <c r="AA8521" s="158" t="s">
        <v>10097</v>
      </c>
    </row>
    <row r="8522" spans="27:27">
      <c r="AA8522" s="158" t="s">
        <v>10098</v>
      </c>
    </row>
    <row r="8523" spans="27:27">
      <c r="AA8523" s="158" t="s">
        <v>2574</v>
      </c>
    </row>
    <row r="8524" spans="27:27">
      <c r="AA8524" s="158" t="s">
        <v>10099</v>
      </c>
    </row>
    <row r="8525" spans="27:27">
      <c r="AA8525" s="158" t="s">
        <v>10100</v>
      </c>
    </row>
    <row r="8526" spans="27:27">
      <c r="AA8526" s="158" t="s">
        <v>10101</v>
      </c>
    </row>
    <row r="8527" spans="27:27">
      <c r="AA8527" s="158" t="s">
        <v>10102</v>
      </c>
    </row>
    <row r="8528" spans="27:27">
      <c r="AA8528" s="158" t="s">
        <v>10103</v>
      </c>
    </row>
    <row r="8529" spans="27:27">
      <c r="AA8529" s="158" t="s">
        <v>10104</v>
      </c>
    </row>
    <row r="8530" spans="27:27">
      <c r="AA8530" s="158" t="s">
        <v>10105</v>
      </c>
    </row>
    <row r="8531" spans="27:27">
      <c r="AA8531" s="158" t="s">
        <v>10106</v>
      </c>
    </row>
    <row r="8532" spans="27:27">
      <c r="AA8532" s="158" t="s">
        <v>10107</v>
      </c>
    </row>
    <row r="8533" spans="27:27">
      <c r="AA8533" s="158" t="s">
        <v>10108</v>
      </c>
    </row>
    <row r="8534" spans="27:27">
      <c r="AA8534" s="158" t="s">
        <v>2575</v>
      </c>
    </row>
    <row r="8535" spans="27:27">
      <c r="AA8535" s="158" t="s">
        <v>2576</v>
      </c>
    </row>
    <row r="8536" spans="27:27">
      <c r="AA8536" s="158" t="s">
        <v>10109</v>
      </c>
    </row>
    <row r="8537" spans="27:27">
      <c r="AA8537" s="158" t="s">
        <v>10110</v>
      </c>
    </row>
    <row r="8538" spans="27:27">
      <c r="AA8538" s="158" t="s">
        <v>10111</v>
      </c>
    </row>
    <row r="8539" spans="27:27">
      <c r="AA8539" s="158" t="s">
        <v>10112</v>
      </c>
    </row>
    <row r="8540" spans="27:27">
      <c r="AA8540" s="158" t="s">
        <v>10113</v>
      </c>
    </row>
    <row r="8541" spans="27:27">
      <c r="AA8541" s="158" t="s">
        <v>10114</v>
      </c>
    </row>
    <row r="8542" spans="27:27">
      <c r="AA8542" s="158" t="s">
        <v>10115</v>
      </c>
    </row>
    <row r="8543" spans="27:27">
      <c r="AA8543" s="158" t="s">
        <v>10116</v>
      </c>
    </row>
    <row r="8544" spans="27:27">
      <c r="AA8544" s="158" t="s">
        <v>10117</v>
      </c>
    </row>
    <row r="8545" spans="27:27">
      <c r="AA8545" s="158" t="s">
        <v>10118</v>
      </c>
    </row>
    <row r="8546" spans="27:27">
      <c r="AA8546" s="158" t="s">
        <v>10119</v>
      </c>
    </row>
    <row r="8547" spans="27:27">
      <c r="AA8547" s="158" t="s">
        <v>10120</v>
      </c>
    </row>
    <row r="8548" spans="27:27">
      <c r="AA8548" s="158" t="s">
        <v>10121</v>
      </c>
    </row>
    <row r="8549" spans="27:27">
      <c r="AA8549" s="158" t="s">
        <v>10122</v>
      </c>
    </row>
    <row r="8550" spans="27:27">
      <c r="AA8550" s="158" t="s">
        <v>10123</v>
      </c>
    </row>
    <row r="8551" spans="27:27">
      <c r="AA8551" s="158" t="s">
        <v>10124</v>
      </c>
    </row>
    <row r="8552" spans="27:27">
      <c r="AA8552" s="158" t="s">
        <v>2577</v>
      </c>
    </row>
    <row r="8553" spans="27:27">
      <c r="AA8553" s="158" t="s">
        <v>10125</v>
      </c>
    </row>
    <row r="8554" spans="27:27">
      <c r="AA8554" s="158" t="s">
        <v>10126</v>
      </c>
    </row>
    <row r="8555" spans="27:27">
      <c r="AA8555" s="158" t="s">
        <v>10127</v>
      </c>
    </row>
    <row r="8556" spans="27:27">
      <c r="AA8556" s="158" t="s">
        <v>10128</v>
      </c>
    </row>
    <row r="8557" spans="27:27">
      <c r="AA8557" s="158" t="s">
        <v>10129</v>
      </c>
    </row>
    <row r="8558" spans="27:27">
      <c r="AA8558" s="158" t="s">
        <v>10130</v>
      </c>
    </row>
    <row r="8559" spans="27:27">
      <c r="AA8559" s="158" t="s">
        <v>10131</v>
      </c>
    </row>
    <row r="8560" spans="27:27">
      <c r="AA8560" s="158" t="s">
        <v>10132</v>
      </c>
    </row>
    <row r="8561" spans="27:27">
      <c r="AA8561" s="158" t="s">
        <v>2578</v>
      </c>
    </row>
    <row r="8562" spans="27:27">
      <c r="AA8562" s="158" t="s">
        <v>10133</v>
      </c>
    </row>
    <row r="8563" spans="27:27">
      <c r="AA8563" s="158" t="s">
        <v>10134</v>
      </c>
    </row>
    <row r="8564" spans="27:27">
      <c r="AA8564" s="158" t="s">
        <v>10135</v>
      </c>
    </row>
    <row r="8565" spans="27:27">
      <c r="AA8565" s="158" t="s">
        <v>10136</v>
      </c>
    </row>
    <row r="8566" spans="27:27">
      <c r="AA8566" s="158" t="s">
        <v>10137</v>
      </c>
    </row>
    <row r="8567" spans="27:27">
      <c r="AA8567" s="158" t="s">
        <v>10138</v>
      </c>
    </row>
    <row r="8568" spans="27:27">
      <c r="AA8568" s="158" t="s">
        <v>10139</v>
      </c>
    </row>
    <row r="8569" spans="27:27">
      <c r="AA8569" s="158" t="s">
        <v>10140</v>
      </c>
    </row>
    <row r="8570" spans="27:27">
      <c r="AA8570" s="158" t="s">
        <v>2579</v>
      </c>
    </row>
    <row r="8571" spans="27:27">
      <c r="AA8571" s="158" t="s">
        <v>10141</v>
      </c>
    </row>
    <row r="8572" spans="27:27">
      <c r="AA8572" s="158" t="s">
        <v>10142</v>
      </c>
    </row>
    <row r="8573" spans="27:27">
      <c r="AA8573" s="158" t="s">
        <v>10143</v>
      </c>
    </row>
    <row r="8574" spans="27:27">
      <c r="AA8574" s="158" t="s">
        <v>10144</v>
      </c>
    </row>
    <row r="8575" spans="27:27">
      <c r="AA8575" s="158" t="s">
        <v>10145</v>
      </c>
    </row>
    <row r="8576" spans="27:27">
      <c r="AA8576" s="158" t="s">
        <v>2580</v>
      </c>
    </row>
    <row r="8577" spans="27:27">
      <c r="AA8577" s="158" t="s">
        <v>10146</v>
      </c>
    </row>
    <row r="8578" spans="27:27">
      <c r="AA8578" s="158" t="s">
        <v>10147</v>
      </c>
    </row>
    <row r="8579" spans="27:27">
      <c r="AA8579" s="158" t="s">
        <v>10148</v>
      </c>
    </row>
    <row r="8580" spans="27:27">
      <c r="AA8580" s="158" t="s">
        <v>10149</v>
      </c>
    </row>
    <row r="8581" spans="27:27">
      <c r="AA8581" s="158" t="s">
        <v>10150</v>
      </c>
    </row>
    <row r="8582" spans="27:27">
      <c r="AA8582" s="158" t="s">
        <v>2581</v>
      </c>
    </row>
    <row r="8583" spans="27:27">
      <c r="AA8583" s="158" t="s">
        <v>10151</v>
      </c>
    </row>
    <row r="8584" spans="27:27">
      <c r="AA8584" s="158" t="s">
        <v>10152</v>
      </c>
    </row>
    <row r="8585" spans="27:27">
      <c r="AA8585" s="158" t="s">
        <v>10153</v>
      </c>
    </row>
    <row r="8586" spans="27:27">
      <c r="AA8586" s="158" t="s">
        <v>10154</v>
      </c>
    </row>
    <row r="8587" spans="27:27">
      <c r="AA8587" s="158" t="s">
        <v>10155</v>
      </c>
    </row>
    <row r="8588" spans="27:27">
      <c r="AA8588" s="158" t="s">
        <v>10156</v>
      </c>
    </row>
    <row r="8589" spans="27:27">
      <c r="AA8589" s="158" t="s">
        <v>10157</v>
      </c>
    </row>
    <row r="8590" spans="27:27">
      <c r="AA8590" s="158" t="s">
        <v>10158</v>
      </c>
    </row>
    <row r="8591" spans="27:27">
      <c r="AA8591" s="158" t="s">
        <v>10159</v>
      </c>
    </row>
    <row r="8592" spans="27:27">
      <c r="AA8592" s="158" t="s">
        <v>10160</v>
      </c>
    </row>
    <row r="8593" spans="27:27">
      <c r="AA8593" s="158" t="s">
        <v>10161</v>
      </c>
    </row>
    <row r="8594" spans="27:27">
      <c r="AA8594" s="158" t="s">
        <v>10162</v>
      </c>
    </row>
    <row r="8595" spans="27:27">
      <c r="AA8595" s="158" t="s">
        <v>10163</v>
      </c>
    </row>
    <row r="8596" spans="27:27">
      <c r="AA8596" s="158" t="s">
        <v>10164</v>
      </c>
    </row>
    <row r="8597" spans="27:27">
      <c r="AA8597" s="158" t="s">
        <v>2582</v>
      </c>
    </row>
    <row r="8598" spans="27:27">
      <c r="AA8598" s="158" t="s">
        <v>10165</v>
      </c>
    </row>
    <row r="8599" spans="27:27">
      <c r="AA8599" s="158" t="s">
        <v>10166</v>
      </c>
    </row>
    <row r="8600" spans="27:27">
      <c r="AA8600" s="158" t="s">
        <v>10167</v>
      </c>
    </row>
    <row r="8601" spans="27:27">
      <c r="AA8601" s="158" t="s">
        <v>10168</v>
      </c>
    </row>
    <row r="8602" spans="27:27">
      <c r="AA8602" s="158" t="s">
        <v>10169</v>
      </c>
    </row>
    <row r="8603" spans="27:27">
      <c r="AA8603" s="158" t="s">
        <v>2583</v>
      </c>
    </row>
    <row r="8604" spans="27:27">
      <c r="AA8604" s="158" t="s">
        <v>10170</v>
      </c>
    </row>
    <row r="8605" spans="27:27">
      <c r="AA8605" s="158" t="s">
        <v>10171</v>
      </c>
    </row>
    <row r="8606" spans="27:27">
      <c r="AA8606" s="158" t="s">
        <v>10172</v>
      </c>
    </row>
    <row r="8607" spans="27:27">
      <c r="AA8607" s="158" t="s">
        <v>10173</v>
      </c>
    </row>
    <row r="8608" spans="27:27">
      <c r="AA8608" s="158" t="s">
        <v>10174</v>
      </c>
    </row>
    <row r="8609" spans="27:27">
      <c r="AA8609" s="158" t="s">
        <v>10175</v>
      </c>
    </row>
    <row r="8610" spans="27:27">
      <c r="AA8610" s="158" t="s">
        <v>10176</v>
      </c>
    </row>
    <row r="8611" spans="27:27">
      <c r="AA8611" s="158" t="s">
        <v>10177</v>
      </c>
    </row>
    <row r="8612" spans="27:27">
      <c r="AA8612" s="158" t="s">
        <v>10178</v>
      </c>
    </row>
    <row r="8613" spans="27:27">
      <c r="AA8613" s="158" t="s">
        <v>10179</v>
      </c>
    </row>
    <row r="8614" spans="27:27">
      <c r="AA8614" s="158" t="s">
        <v>10180</v>
      </c>
    </row>
    <row r="8615" spans="27:27">
      <c r="AA8615" s="158" t="s">
        <v>10181</v>
      </c>
    </row>
    <row r="8616" spans="27:27">
      <c r="AA8616" s="158" t="s">
        <v>10182</v>
      </c>
    </row>
    <row r="8617" spans="27:27">
      <c r="AA8617" s="158" t="s">
        <v>10183</v>
      </c>
    </row>
    <row r="8618" spans="27:27">
      <c r="AA8618" s="158" t="s">
        <v>10184</v>
      </c>
    </row>
    <row r="8619" spans="27:27">
      <c r="AA8619" s="158" t="s">
        <v>10185</v>
      </c>
    </row>
    <row r="8620" spans="27:27">
      <c r="AA8620" s="158" t="s">
        <v>10186</v>
      </c>
    </row>
    <row r="8621" spans="27:27">
      <c r="AA8621" s="158" t="s">
        <v>10187</v>
      </c>
    </row>
    <row r="8622" spans="27:27">
      <c r="AA8622" s="158" t="s">
        <v>10188</v>
      </c>
    </row>
    <row r="8623" spans="27:27">
      <c r="AA8623" s="158" t="s">
        <v>10189</v>
      </c>
    </row>
    <row r="8624" spans="27:27">
      <c r="AA8624" s="158" t="s">
        <v>10190</v>
      </c>
    </row>
    <row r="8625" spans="27:27">
      <c r="AA8625" s="158" t="s">
        <v>10191</v>
      </c>
    </row>
    <row r="8626" spans="27:27">
      <c r="AA8626" s="158" t="s">
        <v>2584</v>
      </c>
    </row>
    <row r="8627" spans="27:27">
      <c r="AA8627" s="158" t="s">
        <v>10192</v>
      </c>
    </row>
    <row r="8628" spans="27:27">
      <c r="AA8628" s="158" t="s">
        <v>10193</v>
      </c>
    </row>
    <row r="8629" spans="27:27">
      <c r="AA8629" s="158" t="s">
        <v>10194</v>
      </c>
    </row>
    <row r="8630" spans="27:27">
      <c r="AA8630" s="158" t="s">
        <v>10195</v>
      </c>
    </row>
    <row r="8631" spans="27:27">
      <c r="AA8631" s="158" t="s">
        <v>10196</v>
      </c>
    </row>
    <row r="8632" spans="27:27">
      <c r="AA8632" s="158" t="s">
        <v>2585</v>
      </c>
    </row>
    <row r="8633" spans="27:27">
      <c r="AA8633" s="158" t="s">
        <v>10197</v>
      </c>
    </row>
    <row r="8634" spans="27:27">
      <c r="AA8634" s="158" t="s">
        <v>10198</v>
      </c>
    </row>
    <row r="8635" spans="27:27">
      <c r="AA8635" s="158" t="s">
        <v>10199</v>
      </c>
    </row>
    <row r="8636" spans="27:27">
      <c r="AA8636" s="158" t="s">
        <v>10200</v>
      </c>
    </row>
    <row r="8637" spans="27:27">
      <c r="AA8637" s="158" t="s">
        <v>10201</v>
      </c>
    </row>
    <row r="8638" spans="27:27">
      <c r="AA8638" s="158" t="s">
        <v>2586</v>
      </c>
    </row>
    <row r="8639" spans="27:27">
      <c r="AA8639" s="158" t="s">
        <v>10202</v>
      </c>
    </row>
    <row r="8640" spans="27:27">
      <c r="AA8640" s="158" t="s">
        <v>10203</v>
      </c>
    </row>
    <row r="8641" spans="27:27">
      <c r="AA8641" s="158" t="s">
        <v>10204</v>
      </c>
    </row>
    <row r="8642" spans="27:27">
      <c r="AA8642" s="158" t="s">
        <v>10205</v>
      </c>
    </row>
    <row r="8643" spans="27:27">
      <c r="AA8643" s="158" t="s">
        <v>10206</v>
      </c>
    </row>
    <row r="8644" spans="27:27">
      <c r="AA8644" s="158" t="s">
        <v>10207</v>
      </c>
    </row>
    <row r="8645" spans="27:27">
      <c r="AA8645" s="158" t="s">
        <v>10208</v>
      </c>
    </row>
    <row r="8646" spans="27:27">
      <c r="AA8646" s="158" t="s">
        <v>2587</v>
      </c>
    </row>
    <row r="8647" spans="27:27">
      <c r="AA8647" s="158" t="s">
        <v>10209</v>
      </c>
    </row>
    <row r="8648" spans="27:27">
      <c r="AA8648" s="158" t="s">
        <v>10210</v>
      </c>
    </row>
    <row r="8649" spans="27:27">
      <c r="AA8649" s="158" t="s">
        <v>10211</v>
      </c>
    </row>
    <row r="8650" spans="27:27">
      <c r="AA8650" s="158" t="s">
        <v>10212</v>
      </c>
    </row>
    <row r="8651" spans="27:27">
      <c r="AA8651" s="158" t="s">
        <v>10213</v>
      </c>
    </row>
    <row r="8652" spans="27:27">
      <c r="AA8652" s="158" t="s">
        <v>2588</v>
      </c>
    </row>
    <row r="8653" spans="27:27">
      <c r="AA8653" s="158" t="s">
        <v>10214</v>
      </c>
    </row>
    <row r="8654" spans="27:27">
      <c r="AA8654" s="158" t="s">
        <v>10215</v>
      </c>
    </row>
    <row r="8655" spans="27:27">
      <c r="AA8655" s="158" t="s">
        <v>10216</v>
      </c>
    </row>
    <row r="8656" spans="27:27">
      <c r="AA8656" s="158" t="s">
        <v>10217</v>
      </c>
    </row>
    <row r="8657" spans="27:27">
      <c r="AA8657" s="158" t="s">
        <v>10218</v>
      </c>
    </row>
    <row r="8658" spans="27:27">
      <c r="AA8658" s="158" t="s">
        <v>10219</v>
      </c>
    </row>
    <row r="8659" spans="27:27">
      <c r="AA8659" s="158" t="s">
        <v>10220</v>
      </c>
    </row>
    <row r="8660" spans="27:27">
      <c r="AA8660" s="158" t="s">
        <v>10221</v>
      </c>
    </row>
    <row r="8661" spans="27:27">
      <c r="AA8661" s="158" t="s">
        <v>10222</v>
      </c>
    </row>
    <row r="8662" spans="27:27">
      <c r="AA8662" s="158" t="s">
        <v>2589</v>
      </c>
    </row>
    <row r="8663" spans="27:27">
      <c r="AA8663" s="158" t="s">
        <v>10223</v>
      </c>
    </row>
    <row r="8664" spans="27:27">
      <c r="AA8664" s="158" t="s">
        <v>10224</v>
      </c>
    </row>
    <row r="8665" spans="27:27">
      <c r="AA8665" s="158" t="s">
        <v>10225</v>
      </c>
    </row>
    <row r="8666" spans="27:27">
      <c r="AA8666" s="158" t="s">
        <v>10226</v>
      </c>
    </row>
    <row r="8667" spans="27:27">
      <c r="AA8667" s="158" t="s">
        <v>10227</v>
      </c>
    </row>
    <row r="8668" spans="27:27">
      <c r="AA8668" s="158" t="s">
        <v>2590</v>
      </c>
    </row>
    <row r="8669" spans="27:27">
      <c r="AA8669" s="158" t="s">
        <v>10228</v>
      </c>
    </row>
    <row r="8670" spans="27:27">
      <c r="AA8670" s="158" t="s">
        <v>10229</v>
      </c>
    </row>
    <row r="8671" spans="27:27">
      <c r="AA8671" s="158" t="s">
        <v>10230</v>
      </c>
    </row>
    <row r="8672" spans="27:27">
      <c r="AA8672" s="158" t="s">
        <v>10231</v>
      </c>
    </row>
    <row r="8673" spans="27:27">
      <c r="AA8673" s="158" t="s">
        <v>10232</v>
      </c>
    </row>
    <row r="8674" spans="27:27">
      <c r="AA8674" s="158" t="s">
        <v>10233</v>
      </c>
    </row>
    <row r="8675" spans="27:27">
      <c r="AA8675" s="158" t="s">
        <v>10234</v>
      </c>
    </row>
    <row r="8676" spans="27:27">
      <c r="AA8676" s="158" t="s">
        <v>10235</v>
      </c>
    </row>
    <row r="8677" spans="27:27">
      <c r="AA8677" s="158" t="s">
        <v>10236</v>
      </c>
    </row>
    <row r="8678" spans="27:27">
      <c r="AA8678" s="158" t="s">
        <v>10237</v>
      </c>
    </row>
    <row r="8679" spans="27:27">
      <c r="AA8679" s="158" t="s">
        <v>2591</v>
      </c>
    </row>
    <row r="8680" spans="27:27">
      <c r="AA8680" s="158" t="s">
        <v>10238</v>
      </c>
    </row>
    <row r="8681" spans="27:27">
      <c r="AA8681" s="158" t="s">
        <v>10239</v>
      </c>
    </row>
    <row r="8682" spans="27:27">
      <c r="AA8682" s="158" t="s">
        <v>10240</v>
      </c>
    </row>
    <row r="8683" spans="27:27">
      <c r="AA8683" s="158" t="s">
        <v>10241</v>
      </c>
    </row>
    <row r="8684" spans="27:27">
      <c r="AA8684" s="158" t="s">
        <v>10242</v>
      </c>
    </row>
    <row r="8685" spans="27:27">
      <c r="AA8685" s="158" t="s">
        <v>2592</v>
      </c>
    </row>
    <row r="8686" spans="27:27">
      <c r="AA8686" s="158" t="s">
        <v>10243</v>
      </c>
    </row>
    <row r="8687" spans="27:27">
      <c r="AA8687" s="158" t="s">
        <v>10244</v>
      </c>
    </row>
    <row r="8688" spans="27:27">
      <c r="AA8688" s="158" t="s">
        <v>10245</v>
      </c>
    </row>
    <row r="8689" spans="27:27">
      <c r="AA8689" s="158" t="s">
        <v>10246</v>
      </c>
    </row>
    <row r="8690" spans="27:27">
      <c r="AA8690" s="158" t="s">
        <v>10247</v>
      </c>
    </row>
    <row r="8691" spans="27:27">
      <c r="AA8691" s="158" t="s">
        <v>2593</v>
      </c>
    </row>
    <row r="8692" spans="27:27">
      <c r="AA8692" s="158" t="s">
        <v>10248</v>
      </c>
    </row>
    <row r="8693" spans="27:27">
      <c r="AA8693" s="158" t="s">
        <v>10249</v>
      </c>
    </row>
    <row r="8694" spans="27:27">
      <c r="AA8694" s="158" t="s">
        <v>10250</v>
      </c>
    </row>
    <row r="8695" spans="27:27">
      <c r="AA8695" s="158" t="s">
        <v>10251</v>
      </c>
    </row>
    <row r="8696" spans="27:27">
      <c r="AA8696" s="158" t="s">
        <v>10252</v>
      </c>
    </row>
    <row r="8697" spans="27:27">
      <c r="AA8697" s="158" t="s">
        <v>10253</v>
      </c>
    </row>
    <row r="8698" spans="27:27">
      <c r="AA8698" s="158" t="s">
        <v>2594</v>
      </c>
    </row>
    <row r="8699" spans="27:27">
      <c r="AA8699" s="158" t="s">
        <v>10254</v>
      </c>
    </row>
    <row r="8700" spans="27:27">
      <c r="AA8700" s="158" t="s">
        <v>10255</v>
      </c>
    </row>
    <row r="8701" spans="27:27">
      <c r="AA8701" s="158" t="s">
        <v>10256</v>
      </c>
    </row>
    <row r="8702" spans="27:27">
      <c r="AA8702" s="158" t="s">
        <v>10257</v>
      </c>
    </row>
    <row r="8703" spans="27:27">
      <c r="AA8703" s="158" t="s">
        <v>10258</v>
      </c>
    </row>
    <row r="8704" spans="27:27">
      <c r="AA8704" s="158" t="s">
        <v>2595</v>
      </c>
    </row>
    <row r="8705" spans="27:27">
      <c r="AA8705" s="158" t="s">
        <v>2596</v>
      </c>
    </row>
    <row r="8706" spans="27:27">
      <c r="AA8706" s="158" t="s">
        <v>2597</v>
      </c>
    </row>
    <row r="8707" spans="27:27">
      <c r="AA8707" s="158" t="s">
        <v>10259</v>
      </c>
    </row>
    <row r="8708" spans="27:27">
      <c r="AA8708" s="158" t="s">
        <v>10260</v>
      </c>
    </row>
    <row r="8709" spans="27:27">
      <c r="AA8709" s="158" t="s">
        <v>2598</v>
      </c>
    </row>
    <row r="8710" spans="27:27">
      <c r="AA8710" s="158" t="s">
        <v>2599</v>
      </c>
    </row>
    <row r="8711" spans="27:27">
      <c r="AA8711" s="158" t="s">
        <v>10261</v>
      </c>
    </row>
    <row r="8712" spans="27:27">
      <c r="AA8712" s="158" t="s">
        <v>2600</v>
      </c>
    </row>
    <row r="8713" spans="27:27">
      <c r="AA8713" s="158" t="s">
        <v>10262</v>
      </c>
    </row>
    <row r="8714" spans="27:27">
      <c r="AA8714" s="158" t="s">
        <v>10263</v>
      </c>
    </row>
    <row r="8715" spans="27:27">
      <c r="AA8715" s="158" t="s">
        <v>10264</v>
      </c>
    </row>
    <row r="8716" spans="27:27">
      <c r="AA8716" s="158" t="s">
        <v>10265</v>
      </c>
    </row>
    <row r="8717" spans="27:27">
      <c r="AA8717" s="158" t="s">
        <v>10266</v>
      </c>
    </row>
    <row r="8718" spans="27:27">
      <c r="AA8718" s="158" t="s">
        <v>2601</v>
      </c>
    </row>
    <row r="8719" spans="27:27">
      <c r="AA8719" s="158" t="s">
        <v>10267</v>
      </c>
    </row>
    <row r="8720" spans="27:27">
      <c r="AA8720" s="158" t="s">
        <v>10268</v>
      </c>
    </row>
    <row r="8721" spans="27:27">
      <c r="AA8721" s="158" t="s">
        <v>10269</v>
      </c>
    </row>
    <row r="8722" spans="27:27">
      <c r="AA8722" s="158" t="s">
        <v>10270</v>
      </c>
    </row>
    <row r="8723" spans="27:27">
      <c r="AA8723" s="158" t="s">
        <v>10271</v>
      </c>
    </row>
    <row r="8724" spans="27:27">
      <c r="AA8724" s="158" t="s">
        <v>10272</v>
      </c>
    </row>
    <row r="8725" spans="27:27">
      <c r="AA8725" s="158" t="s">
        <v>10273</v>
      </c>
    </row>
    <row r="8726" spans="27:27">
      <c r="AA8726" s="158" t="s">
        <v>2602</v>
      </c>
    </row>
    <row r="8727" spans="27:27">
      <c r="AA8727" s="158" t="s">
        <v>10274</v>
      </c>
    </row>
    <row r="8728" spans="27:27">
      <c r="AA8728" s="158" t="s">
        <v>10275</v>
      </c>
    </row>
    <row r="8729" spans="27:27">
      <c r="AA8729" s="158" t="s">
        <v>10276</v>
      </c>
    </row>
    <row r="8730" spans="27:27">
      <c r="AA8730" s="158" t="s">
        <v>10277</v>
      </c>
    </row>
    <row r="8731" spans="27:27">
      <c r="AA8731" s="158" t="s">
        <v>10278</v>
      </c>
    </row>
    <row r="8732" spans="27:27">
      <c r="AA8732" s="158" t="s">
        <v>10279</v>
      </c>
    </row>
    <row r="8733" spans="27:27">
      <c r="AA8733" s="158" t="s">
        <v>10280</v>
      </c>
    </row>
    <row r="8734" spans="27:27">
      <c r="AA8734" s="158" t="s">
        <v>10281</v>
      </c>
    </row>
    <row r="8735" spans="27:27">
      <c r="AA8735" s="158" t="s">
        <v>2603</v>
      </c>
    </row>
    <row r="8736" spans="27:27">
      <c r="AA8736" s="158" t="s">
        <v>10282</v>
      </c>
    </row>
    <row r="8737" spans="27:27">
      <c r="AA8737" s="158" t="s">
        <v>10283</v>
      </c>
    </row>
    <row r="8738" spans="27:27">
      <c r="AA8738" s="158" t="s">
        <v>10284</v>
      </c>
    </row>
    <row r="8739" spans="27:27">
      <c r="AA8739" s="158" t="s">
        <v>10285</v>
      </c>
    </row>
    <row r="8740" spans="27:27">
      <c r="AA8740" s="158" t="s">
        <v>10286</v>
      </c>
    </row>
    <row r="8741" spans="27:27">
      <c r="AA8741" s="158" t="s">
        <v>10287</v>
      </c>
    </row>
    <row r="8742" spans="27:27">
      <c r="AA8742" s="158" t="s">
        <v>2604</v>
      </c>
    </row>
    <row r="8743" spans="27:27">
      <c r="AA8743" s="158" t="s">
        <v>2605</v>
      </c>
    </row>
    <row r="8744" spans="27:27">
      <c r="AA8744" s="158" t="s">
        <v>2606</v>
      </c>
    </row>
    <row r="8745" spans="27:27">
      <c r="AA8745" s="158" t="s">
        <v>10288</v>
      </c>
    </row>
    <row r="8746" spans="27:27">
      <c r="AA8746" s="158" t="s">
        <v>10289</v>
      </c>
    </row>
    <row r="8747" spans="27:27">
      <c r="AA8747" s="158" t="s">
        <v>10290</v>
      </c>
    </row>
    <row r="8748" spans="27:27">
      <c r="AA8748" s="158" t="s">
        <v>10291</v>
      </c>
    </row>
    <row r="8749" spans="27:27">
      <c r="AA8749" s="158" t="s">
        <v>10292</v>
      </c>
    </row>
    <row r="8750" spans="27:27">
      <c r="AA8750" s="158" t="s">
        <v>10293</v>
      </c>
    </row>
    <row r="8751" spans="27:27">
      <c r="AA8751" s="158" t="s">
        <v>10294</v>
      </c>
    </row>
    <row r="8752" spans="27:27">
      <c r="AA8752" s="158" t="s">
        <v>10295</v>
      </c>
    </row>
    <row r="8753" spans="27:27">
      <c r="AA8753" s="158" t="s">
        <v>10296</v>
      </c>
    </row>
    <row r="8754" spans="27:27">
      <c r="AA8754" s="158" t="s">
        <v>2607</v>
      </c>
    </row>
    <row r="8755" spans="27:27">
      <c r="AA8755" s="158" t="s">
        <v>2608</v>
      </c>
    </row>
    <row r="8756" spans="27:27">
      <c r="AA8756" s="158" t="s">
        <v>10297</v>
      </c>
    </row>
    <row r="8757" spans="27:27">
      <c r="AA8757" s="158" t="s">
        <v>10298</v>
      </c>
    </row>
    <row r="8758" spans="27:27">
      <c r="AA8758" s="158" t="s">
        <v>10299</v>
      </c>
    </row>
    <row r="8759" spans="27:27">
      <c r="AA8759" s="158" t="s">
        <v>10300</v>
      </c>
    </row>
    <row r="8760" spans="27:27">
      <c r="AA8760" s="158" t="s">
        <v>10301</v>
      </c>
    </row>
    <row r="8761" spans="27:27">
      <c r="AA8761" s="158" t="s">
        <v>10302</v>
      </c>
    </row>
    <row r="8762" spans="27:27">
      <c r="AA8762" s="158" t="s">
        <v>10303</v>
      </c>
    </row>
    <row r="8763" spans="27:27">
      <c r="AA8763" s="158" t="s">
        <v>10304</v>
      </c>
    </row>
    <row r="8764" spans="27:27">
      <c r="AA8764" s="158" t="s">
        <v>10305</v>
      </c>
    </row>
    <row r="8765" spans="27:27">
      <c r="AA8765" s="158" t="s">
        <v>10306</v>
      </c>
    </row>
    <row r="8766" spans="27:27">
      <c r="AA8766" s="158" t="s">
        <v>10307</v>
      </c>
    </row>
    <row r="8767" spans="27:27">
      <c r="AA8767" s="158" t="s">
        <v>10308</v>
      </c>
    </row>
    <row r="8768" spans="27:27">
      <c r="AA8768" s="158" t="s">
        <v>10309</v>
      </c>
    </row>
    <row r="8769" spans="27:27">
      <c r="AA8769" s="158" t="s">
        <v>10310</v>
      </c>
    </row>
    <row r="8770" spans="27:27">
      <c r="AA8770" s="158" t="s">
        <v>10311</v>
      </c>
    </row>
    <row r="8771" spans="27:27">
      <c r="AA8771" s="158" t="s">
        <v>10312</v>
      </c>
    </row>
    <row r="8772" spans="27:27">
      <c r="AA8772" s="158" t="s">
        <v>2609</v>
      </c>
    </row>
    <row r="8773" spans="27:27">
      <c r="AA8773" s="158" t="s">
        <v>10313</v>
      </c>
    </row>
    <row r="8774" spans="27:27">
      <c r="AA8774" s="158" t="s">
        <v>10314</v>
      </c>
    </row>
    <row r="8775" spans="27:27">
      <c r="AA8775" s="158" t="s">
        <v>10315</v>
      </c>
    </row>
    <row r="8776" spans="27:27">
      <c r="AA8776" s="158" t="s">
        <v>10316</v>
      </c>
    </row>
    <row r="8777" spans="27:27">
      <c r="AA8777" s="158" t="s">
        <v>10317</v>
      </c>
    </row>
    <row r="8778" spans="27:27">
      <c r="AA8778" s="158" t="s">
        <v>10318</v>
      </c>
    </row>
    <row r="8779" spans="27:27">
      <c r="AA8779" s="158" t="s">
        <v>10319</v>
      </c>
    </row>
    <row r="8780" spans="27:27">
      <c r="AA8780" s="158" t="s">
        <v>10320</v>
      </c>
    </row>
    <row r="8781" spans="27:27">
      <c r="AA8781" s="158" t="s">
        <v>2610</v>
      </c>
    </row>
    <row r="8782" spans="27:27">
      <c r="AA8782" s="158" t="s">
        <v>10321</v>
      </c>
    </row>
    <row r="8783" spans="27:27">
      <c r="AA8783" s="158" t="s">
        <v>10322</v>
      </c>
    </row>
    <row r="8784" spans="27:27">
      <c r="AA8784" s="158" t="s">
        <v>10323</v>
      </c>
    </row>
    <row r="8785" spans="27:27">
      <c r="AA8785" s="158" t="s">
        <v>10324</v>
      </c>
    </row>
    <row r="8786" spans="27:27">
      <c r="AA8786" s="158" t="s">
        <v>10325</v>
      </c>
    </row>
    <row r="8787" spans="27:27">
      <c r="AA8787" s="158" t="s">
        <v>10326</v>
      </c>
    </row>
    <row r="8788" spans="27:27">
      <c r="AA8788" s="158" t="s">
        <v>10327</v>
      </c>
    </row>
    <row r="8789" spans="27:27">
      <c r="AA8789" s="158" t="s">
        <v>2611</v>
      </c>
    </row>
    <row r="8790" spans="27:27">
      <c r="AA8790" s="158" t="s">
        <v>10328</v>
      </c>
    </row>
    <row r="8791" spans="27:27">
      <c r="AA8791" s="158" t="s">
        <v>2612</v>
      </c>
    </row>
    <row r="8792" spans="27:27">
      <c r="AA8792" s="158" t="s">
        <v>10329</v>
      </c>
    </row>
    <row r="8793" spans="27:27">
      <c r="AA8793" s="158" t="s">
        <v>10330</v>
      </c>
    </row>
    <row r="8794" spans="27:27">
      <c r="AA8794" s="158" t="s">
        <v>10331</v>
      </c>
    </row>
    <row r="8795" spans="27:27">
      <c r="AA8795" s="158" t="s">
        <v>10332</v>
      </c>
    </row>
    <row r="8796" spans="27:27">
      <c r="AA8796" s="158" t="s">
        <v>10333</v>
      </c>
    </row>
    <row r="8797" spans="27:27">
      <c r="AA8797" s="158" t="s">
        <v>2613</v>
      </c>
    </row>
    <row r="8798" spans="27:27">
      <c r="AA8798" s="158" t="s">
        <v>10334</v>
      </c>
    </row>
    <row r="8799" spans="27:27">
      <c r="AA8799" s="158" t="s">
        <v>10335</v>
      </c>
    </row>
    <row r="8800" spans="27:27">
      <c r="AA8800" s="158" t="s">
        <v>10336</v>
      </c>
    </row>
    <row r="8801" spans="27:27">
      <c r="AA8801" s="158" t="s">
        <v>10337</v>
      </c>
    </row>
    <row r="8802" spans="27:27">
      <c r="AA8802" s="158" t="s">
        <v>10338</v>
      </c>
    </row>
    <row r="8803" spans="27:27">
      <c r="AA8803" s="158" t="s">
        <v>2614</v>
      </c>
    </row>
    <row r="8804" spans="27:27">
      <c r="AA8804" s="158" t="s">
        <v>10339</v>
      </c>
    </row>
    <row r="8805" spans="27:27">
      <c r="AA8805" s="158" t="s">
        <v>10340</v>
      </c>
    </row>
    <row r="8806" spans="27:27">
      <c r="AA8806" s="158" t="s">
        <v>10341</v>
      </c>
    </row>
    <row r="8807" spans="27:27">
      <c r="AA8807" s="158" t="s">
        <v>10342</v>
      </c>
    </row>
    <row r="8808" spans="27:27">
      <c r="AA8808" s="158" t="s">
        <v>10343</v>
      </c>
    </row>
    <row r="8809" spans="27:27">
      <c r="AA8809" s="158" t="s">
        <v>10344</v>
      </c>
    </row>
    <row r="8810" spans="27:27">
      <c r="AA8810" s="158" t="s">
        <v>10345</v>
      </c>
    </row>
    <row r="8811" spans="27:27">
      <c r="AA8811" s="158" t="s">
        <v>10346</v>
      </c>
    </row>
    <row r="8812" spans="27:27">
      <c r="AA8812" s="158" t="s">
        <v>10347</v>
      </c>
    </row>
    <row r="8813" spans="27:27">
      <c r="AA8813" s="158" t="s">
        <v>10348</v>
      </c>
    </row>
    <row r="8814" spans="27:27">
      <c r="AA8814" s="158" t="s">
        <v>10349</v>
      </c>
    </row>
    <row r="8815" spans="27:27">
      <c r="AA8815" s="158" t="s">
        <v>10350</v>
      </c>
    </row>
    <row r="8816" spans="27:27">
      <c r="AA8816" s="158" t="s">
        <v>10351</v>
      </c>
    </row>
    <row r="8817" spans="27:27">
      <c r="AA8817" s="158" t="s">
        <v>10352</v>
      </c>
    </row>
    <row r="8818" spans="27:27">
      <c r="AA8818" s="158" t="s">
        <v>2615</v>
      </c>
    </row>
    <row r="8819" spans="27:27">
      <c r="AA8819" s="158" t="s">
        <v>10353</v>
      </c>
    </row>
    <row r="8820" spans="27:27">
      <c r="AA8820" s="158" t="s">
        <v>10354</v>
      </c>
    </row>
    <row r="8821" spans="27:27">
      <c r="AA8821" s="158" t="s">
        <v>10355</v>
      </c>
    </row>
    <row r="8822" spans="27:27">
      <c r="AA8822" s="158" t="s">
        <v>10356</v>
      </c>
    </row>
    <row r="8823" spans="27:27">
      <c r="AA8823" s="158" t="s">
        <v>10357</v>
      </c>
    </row>
    <row r="8824" spans="27:27">
      <c r="AA8824" s="158" t="s">
        <v>2616</v>
      </c>
    </row>
    <row r="8825" spans="27:27">
      <c r="AA8825" s="158" t="s">
        <v>10358</v>
      </c>
    </row>
    <row r="8826" spans="27:27">
      <c r="AA8826" s="158" t="s">
        <v>10359</v>
      </c>
    </row>
    <row r="8827" spans="27:27">
      <c r="AA8827" s="158" t="s">
        <v>10360</v>
      </c>
    </row>
    <row r="8828" spans="27:27">
      <c r="AA8828" s="158" t="s">
        <v>10361</v>
      </c>
    </row>
    <row r="8829" spans="27:27">
      <c r="AA8829" s="158" t="s">
        <v>10362</v>
      </c>
    </row>
    <row r="8830" spans="27:27">
      <c r="AA8830" s="158" t="s">
        <v>10363</v>
      </c>
    </row>
    <row r="8831" spans="27:27">
      <c r="AA8831" s="158" t="s">
        <v>10364</v>
      </c>
    </row>
    <row r="8832" spans="27:27">
      <c r="AA8832" s="158" t="s">
        <v>10365</v>
      </c>
    </row>
    <row r="8833" spans="27:27">
      <c r="AA8833" s="158" t="s">
        <v>10366</v>
      </c>
    </row>
    <row r="8834" spans="27:27">
      <c r="AA8834" s="158" t="s">
        <v>10367</v>
      </c>
    </row>
    <row r="8835" spans="27:27">
      <c r="AA8835" s="158" t="s">
        <v>10368</v>
      </c>
    </row>
    <row r="8836" spans="27:27">
      <c r="AA8836" s="158" t="s">
        <v>10369</v>
      </c>
    </row>
    <row r="8837" spans="27:27">
      <c r="AA8837" s="158" t="s">
        <v>10370</v>
      </c>
    </row>
    <row r="8838" spans="27:27">
      <c r="AA8838" s="158" t="s">
        <v>10371</v>
      </c>
    </row>
    <row r="8839" spans="27:27">
      <c r="AA8839" s="158" t="s">
        <v>10372</v>
      </c>
    </row>
    <row r="8840" spans="27:27">
      <c r="AA8840" s="158" t="s">
        <v>10373</v>
      </c>
    </row>
    <row r="8841" spans="27:27">
      <c r="AA8841" s="158" t="s">
        <v>10374</v>
      </c>
    </row>
    <row r="8842" spans="27:27">
      <c r="AA8842" s="158" t="s">
        <v>10375</v>
      </c>
    </row>
    <row r="8843" spans="27:27">
      <c r="AA8843" s="158" t="s">
        <v>10376</v>
      </c>
    </row>
    <row r="8844" spans="27:27">
      <c r="AA8844" s="158" t="s">
        <v>10377</v>
      </c>
    </row>
    <row r="8845" spans="27:27">
      <c r="AA8845" s="158" t="s">
        <v>10378</v>
      </c>
    </row>
    <row r="8846" spans="27:27">
      <c r="AA8846" s="158" t="s">
        <v>10379</v>
      </c>
    </row>
    <row r="8847" spans="27:27">
      <c r="AA8847" s="158" t="s">
        <v>2617</v>
      </c>
    </row>
    <row r="8848" spans="27:27">
      <c r="AA8848" s="158" t="s">
        <v>10380</v>
      </c>
    </row>
    <row r="8849" spans="27:27">
      <c r="AA8849" s="158" t="s">
        <v>10381</v>
      </c>
    </row>
    <row r="8850" spans="27:27">
      <c r="AA8850" s="158" t="s">
        <v>10382</v>
      </c>
    </row>
    <row r="8851" spans="27:27">
      <c r="AA8851" s="158" t="s">
        <v>10383</v>
      </c>
    </row>
    <row r="8852" spans="27:27">
      <c r="AA8852" s="158" t="s">
        <v>10384</v>
      </c>
    </row>
    <row r="8853" spans="27:27">
      <c r="AA8853" s="158" t="s">
        <v>2618</v>
      </c>
    </row>
    <row r="8854" spans="27:27">
      <c r="AA8854" s="158" t="s">
        <v>10385</v>
      </c>
    </row>
    <row r="8855" spans="27:27">
      <c r="AA8855" s="158" t="s">
        <v>10386</v>
      </c>
    </row>
    <row r="8856" spans="27:27">
      <c r="AA8856" s="158" t="s">
        <v>10387</v>
      </c>
    </row>
    <row r="8857" spans="27:27">
      <c r="AA8857" s="158" t="s">
        <v>10388</v>
      </c>
    </row>
    <row r="8858" spans="27:27">
      <c r="AA8858" s="158" t="s">
        <v>10389</v>
      </c>
    </row>
    <row r="8859" spans="27:27">
      <c r="AA8859" s="158" t="s">
        <v>2619</v>
      </c>
    </row>
    <row r="8860" spans="27:27">
      <c r="AA8860" s="158" t="s">
        <v>10390</v>
      </c>
    </row>
    <row r="8861" spans="27:27">
      <c r="AA8861" s="158" t="s">
        <v>10391</v>
      </c>
    </row>
    <row r="8862" spans="27:27">
      <c r="AA8862" s="158" t="s">
        <v>10392</v>
      </c>
    </row>
    <row r="8863" spans="27:27">
      <c r="AA8863" s="158" t="s">
        <v>10393</v>
      </c>
    </row>
    <row r="8864" spans="27:27">
      <c r="AA8864" s="158" t="s">
        <v>10394</v>
      </c>
    </row>
    <row r="8865" spans="27:27">
      <c r="AA8865" s="158" t="s">
        <v>10395</v>
      </c>
    </row>
    <row r="8866" spans="27:27">
      <c r="AA8866" s="158" t="s">
        <v>10396</v>
      </c>
    </row>
    <row r="8867" spans="27:27">
      <c r="AA8867" s="158" t="s">
        <v>2620</v>
      </c>
    </row>
    <row r="8868" spans="27:27">
      <c r="AA8868" s="158" t="s">
        <v>10397</v>
      </c>
    </row>
    <row r="8869" spans="27:27">
      <c r="AA8869" s="158" t="s">
        <v>10398</v>
      </c>
    </row>
    <row r="8870" spans="27:27">
      <c r="AA8870" s="158" t="s">
        <v>10399</v>
      </c>
    </row>
    <row r="8871" spans="27:27">
      <c r="AA8871" s="158" t="s">
        <v>10400</v>
      </c>
    </row>
    <row r="8872" spans="27:27">
      <c r="AA8872" s="158" t="s">
        <v>10401</v>
      </c>
    </row>
    <row r="8873" spans="27:27">
      <c r="AA8873" s="158" t="s">
        <v>2621</v>
      </c>
    </row>
    <row r="8874" spans="27:27">
      <c r="AA8874" s="158" t="s">
        <v>10402</v>
      </c>
    </row>
    <row r="8875" spans="27:27">
      <c r="AA8875" s="158" t="s">
        <v>10403</v>
      </c>
    </row>
    <row r="8876" spans="27:27">
      <c r="AA8876" s="158" t="s">
        <v>10404</v>
      </c>
    </row>
    <row r="8877" spans="27:27">
      <c r="AA8877" s="158" t="s">
        <v>10405</v>
      </c>
    </row>
    <row r="8878" spans="27:27">
      <c r="AA8878" s="158" t="s">
        <v>10406</v>
      </c>
    </row>
    <row r="8879" spans="27:27">
      <c r="AA8879" s="158" t="s">
        <v>10407</v>
      </c>
    </row>
    <row r="8880" spans="27:27">
      <c r="AA8880" s="158" t="s">
        <v>10408</v>
      </c>
    </row>
    <row r="8881" spans="27:27">
      <c r="AA8881" s="158" t="s">
        <v>10409</v>
      </c>
    </row>
    <row r="8882" spans="27:27">
      <c r="AA8882" s="158" t="s">
        <v>10410</v>
      </c>
    </row>
    <row r="8883" spans="27:27">
      <c r="AA8883" s="158" t="s">
        <v>2622</v>
      </c>
    </row>
    <row r="8884" spans="27:27">
      <c r="AA8884" s="158" t="s">
        <v>10411</v>
      </c>
    </row>
    <row r="8885" spans="27:27">
      <c r="AA8885" s="158" t="s">
        <v>10412</v>
      </c>
    </row>
    <row r="8886" spans="27:27">
      <c r="AA8886" s="158" t="s">
        <v>10413</v>
      </c>
    </row>
    <row r="8887" spans="27:27">
      <c r="AA8887" s="158" t="s">
        <v>10414</v>
      </c>
    </row>
    <row r="8888" spans="27:27">
      <c r="AA8888" s="158" t="s">
        <v>10415</v>
      </c>
    </row>
    <row r="8889" spans="27:27">
      <c r="AA8889" s="158" t="s">
        <v>2623</v>
      </c>
    </row>
    <row r="8890" spans="27:27">
      <c r="AA8890" s="158" t="s">
        <v>10416</v>
      </c>
    </row>
    <row r="8891" spans="27:27">
      <c r="AA8891" s="158" t="s">
        <v>10417</v>
      </c>
    </row>
    <row r="8892" spans="27:27">
      <c r="AA8892" s="158" t="s">
        <v>10418</v>
      </c>
    </row>
    <row r="8893" spans="27:27">
      <c r="AA8893" s="158" t="s">
        <v>10419</v>
      </c>
    </row>
    <row r="8894" spans="27:27">
      <c r="AA8894" s="158" t="s">
        <v>10420</v>
      </c>
    </row>
    <row r="8895" spans="27:27">
      <c r="AA8895" s="158" t="s">
        <v>10421</v>
      </c>
    </row>
    <row r="8896" spans="27:27">
      <c r="AA8896" s="158" t="s">
        <v>10422</v>
      </c>
    </row>
    <row r="8897" spans="27:27">
      <c r="AA8897" s="158" t="s">
        <v>10423</v>
      </c>
    </row>
    <row r="8898" spans="27:27">
      <c r="AA8898" s="158" t="s">
        <v>10424</v>
      </c>
    </row>
    <row r="8899" spans="27:27">
      <c r="AA8899" s="158" t="s">
        <v>10425</v>
      </c>
    </row>
    <row r="8900" spans="27:27">
      <c r="AA8900" s="158" t="s">
        <v>2624</v>
      </c>
    </row>
    <row r="8901" spans="27:27">
      <c r="AA8901" s="158" t="s">
        <v>10426</v>
      </c>
    </row>
    <row r="8902" spans="27:27">
      <c r="AA8902" s="158" t="s">
        <v>10427</v>
      </c>
    </row>
    <row r="8903" spans="27:27">
      <c r="AA8903" s="158" t="s">
        <v>10428</v>
      </c>
    </row>
    <row r="8904" spans="27:27">
      <c r="AA8904" s="158" t="s">
        <v>10429</v>
      </c>
    </row>
    <row r="8905" spans="27:27">
      <c r="AA8905" s="158" t="s">
        <v>10430</v>
      </c>
    </row>
    <row r="8906" spans="27:27">
      <c r="AA8906" s="158" t="s">
        <v>2625</v>
      </c>
    </row>
    <row r="8907" spans="27:27">
      <c r="AA8907" s="158" t="s">
        <v>10431</v>
      </c>
    </row>
    <row r="8908" spans="27:27">
      <c r="AA8908" s="158" t="s">
        <v>10432</v>
      </c>
    </row>
    <row r="8909" spans="27:27">
      <c r="AA8909" s="158" t="s">
        <v>10433</v>
      </c>
    </row>
    <row r="8910" spans="27:27">
      <c r="AA8910" s="158" t="s">
        <v>10434</v>
      </c>
    </row>
    <row r="8911" spans="27:27">
      <c r="AA8911" s="158" t="s">
        <v>2626</v>
      </c>
    </row>
    <row r="8912" spans="27:27">
      <c r="AA8912" s="158" t="s">
        <v>10435</v>
      </c>
    </row>
    <row r="8913" spans="27:27">
      <c r="AA8913" s="158" t="s">
        <v>10436</v>
      </c>
    </row>
    <row r="8914" spans="27:27">
      <c r="AA8914" s="158" t="s">
        <v>10437</v>
      </c>
    </row>
    <row r="8915" spans="27:27">
      <c r="AA8915" s="158" t="s">
        <v>10438</v>
      </c>
    </row>
    <row r="8916" spans="27:27">
      <c r="AA8916" s="158" t="s">
        <v>10439</v>
      </c>
    </row>
    <row r="8917" spans="27:27">
      <c r="AA8917" s="158" t="s">
        <v>2627</v>
      </c>
    </row>
    <row r="8918" spans="27:27">
      <c r="AA8918" s="158" t="s">
        <v>2628</v>
      </c>
    </row>
    <row r="8919" spans="27:27">
      <c r="AA8919" s="158" t="s">
        <v>10440</v>
      </c>
    </row>
    <row r="8920" spans="27:27">
      <c r="AA8920" s="158" t="s">
        <v>2629</v>
      </c>
    </row>
    <row r="8921" spans="27:27">
      <c r="AA8921" s="158" t="s">
        <v>2630</v>
      </c>
    </row>
    <row r="8922" spans="27:27">
      <c r="AA8922" s="158" t="s">
        <v>10441</v>
      </c>
    </row>
    <row r="8923" spans="27:27">
      <c r="AA8923" s="158" t="s">
        <v>3798</v>
      </c>
    </row>
    <row r="8924" spans="27:27">
      <c r="AA8924" s="158" t="s">
        <v>10442</v>
      </c>
    </row>
    <row r="8925" spans="27:27">
      <c r="AA8925" s="158" t="s">
        <v>10443</v>
      </c>
    </row>
    <row r="8926" spans="27:27">
      <c r="AA8926" s="158" t="s">
        <v>10444</v>
      </c>
    </row>
    <row r="8927" spans="27:27">
      <c r="AA8927" s="158" t="s">
        <v>10445</v>
      </c>
    </row>
    <row r="8928" spans="27:27">
      <c r="AA8928" s="158" t="s">
        <v>10446</v>
      </c>
    </row>
    <row r="8929" spans="27:27">
      <c r="AA8929" s="158" t="s">
        <v>3799</v>
      </c>
    </row>
    <row r="8930" spans="27:27">
      <c r="AA8930" s="158" t="s">
        <v>10447</v>
      </c>
    </row>
    <row r="8931" spans="27:27">
      <c r="AA8931" s="158" t="s">
        <v>10448</v>
      </c>
    </row>
    <row r="8932" spans="27:27">
      <c r="AA8932" s="158" t="s">
        <v>2631</v>
      </c>
    </row>
    <row r="8933" spans="27:27">
      <c r="AA8933" s="158" t="s">
        <v>2632</v>
      </c>
    </row>
    <row r="8934" spans="27:27">
      <c r="AA8934" s="158" t="s">
        <v>3800</v>
      </c>
    </row>
    <row r="8935" spans="27:27">
      <c r="AA8935" s="158" t="s">
        <v>10449</v>
      </c>
    </row>
    <row r="8936" spans="27:27">
      <c r="AA8936" s="158" t="s">
        <v>834</v>
      </c>
    </row>
    <row r="8937" spans="27:27">
      <c r="AA8937" s="158" t="s">
        <v>10450</v>
      </c>
    </row>
    <row r="8938" spans="27:27">
      <c r="AA8938" s="158" t="s">
        <v>2633</v>
      </c>
    </row>
    <row r="8939" spans="27:27">
      <c r="AA8939" s="158" t="s">
        <v>10451</v>
      </c>
    </row>
    <row r="8940" spans="27:27">
      <c r="AA8940" s="158" t="s">
        <v>2634</v>
      </c>
    </row>
    <row r="8941" spans="27:27">
      <c r="AA8941" s="158" t="s">
        <v>10452</v>
      </c>
    </row>
    <row r="8942" spans="27:27">
      <c r="AA8942" s="158" t="s">
        <v>835</v>
      </c>
    </row>
    <row r="8943" spans="27:27">
      <c r="AA8943" s="158" t="s">
        <v>10453</v>
      </c>
    </row>
    <row r="8944" spans="27:27">
      <c r="AA8944" s="158" t="s">
        <v>10454</v>
      </c>
    </row>
    <row r="8945" spans="27:27">
      <c r="AA8945" s="158" t="s">
        <v>10455</v>
      </c>
    </row>
    <row r="8946" spans="27:27">
      <c r="AA8946" s="158" t="s">
        <v>10456</v>
      </c>
    </row>
    <row r="8947" spans="27:27">
      <c r="AA8947" s="158" t="s">
        <v>10457</v>
      </c>
    </row>
    <row r="8948" spans="27:27">
      <c r="AA8948" s="158" t="s">
        <v>10458</v>
      </c>
    </row>
    <row r="8949" spans="27:27">
      <c r="AA8949" s="158" t="s">
        <v>10459</v>
      </c>
    </row>
    <row r="8950" spans="27:27">
      <c r="AA8950" s="158" t="s">
        <v>10460</v>
      </c>
    </row>
    <row r="8951" spans="27:27">
      <c r="AA8951" s="158" t="s">
        <v>10461</v>
      </c>
    </row>
    <row r="8952" spans="27:27">
      <c r="AA8952" s="158" t="s">
        <v>10462</v>
      </c>
    </row>
    <row r="8953" spans="27:27">
      <c r="AA8953" s="158" t="s">
        <v>10463</v>
      </c>
    </row>
    <row r="8954" spans="27:27">
      <c r="AA8954" s="158" t="s">
        <v>10464</v>
      </c>
    </row>
    <row r="8955" spans="27:27">
      <c r="AA8955" s="158" t="s">
        <v>10465</v>
      </c>
    </row>
    <row r="8956" spans="27:27">
      <c r="AA8956" s="158" t="s">
        <v>10466</v>
      </c>
    </row>
    <row r="8957" spans="27:27">
      <c r="AA8957" s="158" t="s">
        <v>10467</v>
      </c>
    </row>
    <row r="8958" spans="27:27">
      <c r="AA8958" s="158" t="s">
        <v>836</v>
      </c>
    </row>
    <row r="8959" spans="27:27">
      <c r="AA8959" s="158" t="s">
        <v>10468</v>
      </c>
    </row>
    <row r="8960" spans="27:27">
      <c r="AA8960" s="158" t="s">
        <v>10469</v>
      </c>
    </row>
    <row r="8961" spans="27:27">
      <c r="AA8961" s="158" t="s">
        <v>10470</v>
      </c>
    </row>
    <row r="8962" spans="27:27">
      <c r="AA8962" s="158" t="s">
        <v>10471</v>
      </c>
    </row>
    <row r="8963" spans="27:27">
      <c r="AA8963" s="158" t="s">
        <v>10472</v>
      </c>
    </row>
    <row r="8964" spans="27:27">
      <c r="AA8964" s="158" t="s">
        <v>3801</v>
      </c>
    </row>
    <row r="8965" spans="27:27">
      <c r="AA8965" s="158" t="s">
        <v>10473</v>
      </c>
    </row>
    <row r="8966" spans="27:27">
      <c r="AA8966" s="158" t="s">
        <v>837</v>
      </c>
    </row>
    <row r="8967" spans="27:27">
      <c r="AA8967" s="158" t="s">
        <v>10474</v>
      </c>
    </row>
    <row r="8968" spans="27:27">
      <c r="AA8968" s="158" t="s">
        <v>10475</v>
      </c>
    </row>
    <row r="8969" spans="27:27">
      <c r="AA8969" s="158" t="s">
        <v>3802</v>
      </c>
    </row>
    <row r="8970" spans="27:27">
      <c r="AA8970" s="158" t="s">
        <v>2635</v>
      </c>
    </row>
    <row r="8971" spans="27:27">
      <c r="AA8971" s="158" t="s">
        <v>838</v>
      </c>
    </row>
    <row r="8972" spans="27:27">
      <c r="AA8972" s="158" t="s">
        <v>2636</v>
      </c>
    </row>
    <row r="8973" spans="27:27">
      <c r="AA8973" s="158" t="s">
        <v>839</v>
      </c>
    </row>
    <row r="8974" spans="27:27">
      <c r="AA8974" s="158" t="s">
        <v>840</v>
      </c>
    </row>
    <row r="8975" spans="27:27">
      <c r="AA8975" s="158" t="s">
        <v>841</v>
      </c>
    </row>
    <row r="8976" spans="27:27">
      <c r="AA8976" s="158" t="s">
        <v>842</v>
      </c>
    </row>
    <row r="8977" spans="27:27">
      <c r="AA8977" s="158" t="s">
        <v>2637</v>
      </c>
    </row>
    <row r="8978" spans="27:27">
      <c r="AA8978" s="158" t="s">
        <v>843</v>
      </c>
    </row>
    <row r="8979" spans="27:27">
      <c r="AA8979" s="158" t="s">
        <v>2638</v>
      </c>
    </row>
    <row r="8980" spans="27:27">
      <c r="AA8980" s="158" t="s">
        <v>844</v>
      </c>
    </row>
    <row r="8981" spans="27:27">
      <c r="AA8981" s="158" t="s">
        <v>845</v>
      </c>
    </row>
    <row r="8982" spans="27:27">
      <c r="AA8982" s="158" t="s">
        <v>2639</v>
      </c>
    </row>
    <row r="8983" spans="27:27">
      <c r="AA8983" s="158" t="s">
        <v>846</v>
      </c>
    </row>
    <row r="8984" spans="27:27">
      <c r="AA8984" s="158" t="s">
        <v>847</v>
      </c>
    </row>
    <row r="8985" spans="27:27">
      <c r="AA8985" s="158" t="s">
        <v>848</v>
      </c>
    </row>
    <row r="8986" spans="27:27">
      <c r="AA8986" s="158" t="s">
        <v>849</v>
      </c>
    </row>
    <row r="8987" spans="27:27">
      <c r="AA8987" s="158" t="s">
        <v>2640</v>
      </c>
    </row>
    <row r="8988" spans="27:27">
      <c r="AA8988" s="158" t="s">
        <v>3803</v>
      </c>
    </row>
    <row r="8989" spans="27:27">
      <c r="AA8989" s="158" t="s">
        <v>2641</v>
      </c>
    </row>
    <row r="8990" spans="27:27">
      <c r="AA8990" s="158" t="s">
        <v>3804</v>
      </c>
    </row>
    <row r="8991" spans="27:27">
      <c r="AA8991" s="158" t="s">
        <v>2642</v>
      </c>
    </row>
    <row r="8992" spans="27:27">
      <c r="AA8992" s="158" t="s">
        <v>3805</v>
      </c>
    </row>
    <row r="8993" spans="27:27">
      <c r="AA8993" s="158" t="s">
        <v>10476</v>
      </c>
    </row>
    <row r="8994" spans="27:27">
      <c r="AA8994" s="158" t="s">
        <v>2643</v>
      </c>
    </row>
    <row r="8995" spans="27:27">
      <c r="AA8995" s="158" t="s">
        <v>10477</v>
      </c>
    </row>
    <row r="8996" spans="27:27">
      <c r="AA8996" s="158" t="s">
        <v>10478</v>
      </c>
    </row>
    <row r="8997" spans="27:27">
      <c r="AA8997" s="158" t="s">
        <v>10479</v>
      </c>
    </row>
    <row r="8998" spans="27:27">
      <c r="AA8998" s="158" t="s">
        <v>10480</v>
      </c>
    </row>
    <row r="8999" spans="27:27">
      <c r="AA8999" s="158" t="s">
        <v>10481</v>
      </c>
    </row>
    <row r="9000" spans="27:27">
      <c r="AA9000" s="158" t="s">
        <v>10482</v>
      </c>
    </row>
    <row r="9001" spans="27:27">
      <c r="AA9001" s="158" t="s">
        <v>10483</v>
      </c>
    </row>
    <row r="9002" spans="27:27">
      <c r="AA9002" s="158" t="s">
        <v>10484</v>
      </c>
    </row>
    <row r="9003" spans="27:27">
      <c r="AA9003" s="158" t="s">
        <v>10485</v>
      </c>
    </row>
    <row r="9004" spans="27:27">
      <c r="AA9004" s="158" t="s">
        <v>850</v>
      </c>
    </row>
    <row r="9005" spans="27:27">
      <c r="AA9005" s="158" t="s">
        <v>10486</v>
      </c>
    </row>
    <row r="9006" spans="27:27">
      <c r="AA9006" s="158" t="s">
        <v>2644</v>
      </c>
    </row>
    <row r="9007" spans="27:27">
      <c r="AA9007" s="158" t="s">
        <v>3806</v>
      </c>
    </row>
    <row r="9008" spans="27:27">
      <c r="AA9008" s="158" t="s">
        <v>2645</v>
      </c>
    </row>
    <row r="9009" spans="27:27">
      <c r="AA9009" s="158" t="s">
        <v>3807</v>
      </c>
    </row>
    <row r="9010" spans="27:27">
      <c r="AA9010" s="158" t="s">
        <v>10487</v>
      </c>
    </row>
    <row r="9011" spans="27:27">
      <c r="AA9011" s="158" t="s">
        <v>10488</v>
      </c>
    </row>
    <row r="9012" spans="27:27">
      <c r="AA9012" s="158" t="s">
        <v>10489</v>
      </c>
    </row>
    <row r="9013" spans="27:27">
      <c r="AA9013" s="158" t="s">
        <v>10490</v>
      </c>
    </row>
    <row r="9014" spans="27:27">
      <c r="AA9014" s="158" t="s">
        <v>10491</v>
      </c>
    </row>
    <row r="9015" spans="27:27">
      <c r="AA9015" s="158" t="s">
        <v>10492</v>
      </c>
    </row>
    <row r="9016" spans="27:27">
      <c r="AA9016" s="158" t="s">
        <v>10493</v>
      </c>
    </row>
    <row r="9017" spans="27:27">
      <c r="AA9017" s="158" t="s">
        <v>10494</v>
      </c>
    </row>
    <row r="9018" spans="27:27">
      <c r="AA9018" s="158" t="s">
        <v>10495</v>
      </c>
    </row>
    <row r="9019" spans="27:27">
      <c r="AA9019" s="158" t="s">
        <v>3808</v>
      </c>
    </row>
    <row r="9020" spans="27:27">
      <c r="AA9020" s="158" t="s">
        <v>10496</v>
      </c>
    </row>
    <row r="9021" spans="27:27">
      <c r="AA9021" s="158" t="s">
        <v>10497</v>
      </c>
    </row>
    <row r="9022" spans="27:27">
      <c r="AA9022" s="158" t="s">
        <v>10498</v>
      </c>
    </row>
    <row r="9023" spans="27:27">
      <c r="AA9023" s="158" t="s">
        <v>10499</v>
      </c>
    </row>
    <row r="9024" spans="27:27">
      <c r="AA9024" s="158" t="s">
        <v>10500</v>
      </c>
    </row>
    <row r="9025" spans="27:27">
      <c r="AA9025" s="158" t="s">
        <v>10501</v>
      </c>
    </row>
    <row r="9026" spans="27:27">
      <c r="AA9026" s="158" t="s">
        <v>10502</v>
      </c>
    </row>
    <row r="9027" spans="27:27">
      <c r="AA9027" s="158" t="s">
        <v>10503</v>
      </c>
    </row>
    <row r="9028" spans="27:27">
      <c r="AA9028" s="158" t="s">
        <v>10504</v>
      </c>
    </row>
    <row r="9029" spans="27:27">
      <c r="AA9029" s="158" t="s">
        <v>3809</v>
      </c>
    </row>
    <row r="9030" spans="27:27">
      <c r="AA9030" s="158" t="s">
        <v>10505</v>
      </c>
    </row>
    <row r="9031" spans="27:27">
      <c r="AA9031" s="158" t="s">
        <v>10506</v>
      </c>
    </row>
    <row r="9032" spans="27:27">
      <c r="AA9032" s="158" t="s">
        <v>10507</v>
      </c>
    </row>
    <row r="9033" spans="27:27">
      <c r="AA9033" s="158" t="s">
        <v>10508</v>
      </c>
    </row>
    <row r="9034" spans="27:27">
      <c r="AA9034" s="158" t="s">
        <v>10509</v>
      </c>
    </row>
    <row r="9035" spans="27:27">
      <c r="AA9035" s="158" t="s">
        <v>10510</v>
      </c>
    </row>
    <row r="9036" spans="27:27">
      <c r="AA9036" s="158" t="s">
        <v>10511</v>
      </c>
    </row>
    <row r="9037" spans="27:27">
      <c r="AA9037" s="158" t="s">
        <v>10512</v>
      </c>
    </row>
    <row r="9038" spans="27:27">
      <c r="AA9038" s="158" t="s">
        <v>10513</v>
      </c>
    </row>
    <row r="9039" spans="27:27">
      <c r="AA9039" s="158" t="s">
        <v>3810</v>
      </c>
    </row>
    <row r="9040" spans="27:27">
      <c r="AA9040" s="158" t="s">
        <v>10514</v>
      </c>
    </row>
    <row r="9041" spans="27:27">
      <c r="AA9041" s="158" t="s">
        <v>10515</v>
      </c>
    </row>
    <row r="9042" spans="27:27">
      <c r="AA9042" s="158" t="s">
        <v>10516</v>
      </c>
    </row>
    <row r="9043" spans="27:27">
      <c r="AA9043" s="158" t="s">
        <v>10517</v>
      </c>
    </row>
    <row r="9044" spans="27:27">
      <c r="AA9044" s="158" t="s">
        <v>10518</v>
      </c>
    </row>
    <row r="9045" spans="27:27">
      <c r="AA9045" s="158" t="s">
        <v>10519</v>
      </c>
    </row>
    <row r="9046" spans="27:27">
      <c r="AA9046" s="158" t="s">
        <v>10520</v>
      </c>
    </row>
    <row r="9047" spans="27:27">
      <c r="AA9047" s="158" t="s">
        <v>10521</v>
      </c>
    </row>
    <row r="9048" spans="27:27">
      <c r="AA9048" s="158" t="s">
        <v>10522</v>
      </c>
    </row>
    <row r="9049" spans="27:27">
      <c r="AA9049" s="158" t="s">
        <v>3811</v>
      </c>
    </row>
    <row r="9050" spans="27:27">
      <c r="AA9050" s="158" t="s">
        <v>10523</v>
      </c>
    </row>
    <row r="9051" spans="27:27">
      <c r="AA9051" s="158" t="s">
        <v>10524</v>
      </c>
    </row>
    <row r="9052" spans="27:27">
      <c r="AA9052" s="158" t="s">
        <v>10525</v>
      </c>
    </row>
    <row r="9053" spans="27:27">
      <c r="AA9053" s="158" t="s">
        <v>10526</v>
      </c>
    </row>
    <row r="9054" spans="27:27">
      <c r="AA9054" s="158" t="s">
        <v>10527</v>
      </c>
    </row>
    <row r="9055" spans="27:27">
      <c r="AA9055" s="158" t="s">
        <v>10528</v>
      </c>
    </row>
    <row r="9056" spans="27:27">
      <c r="AA9056" s="158" t="s">
        <v>10529</v>
      </c>
    </row>
    <row r="9057" spans="27:27">
      <c r="AA9057" s="158" t="s">
        <v>10530</v>
      </c>
    </row>
    <row r="9058" spans="27:27">
      <c r="AA9058" s="158" t="s">
        <v>10531</v>
      </c>
    </row>
    <row r="9059" spans="27:27">
      <c r="AA9059" s="158" t="s">
        <v>3812</v>
      </c>
    </row>
    <row r="9060" spans="27:27">
      <c r="AA9060" s="158" t="s">
        <v>10532</v>
      </c>
    </row>
    <row r="9061" spans="27:27">
      <c r="AA9061" s="158" t="s">
        <v>10533</v>
      </c>
    </row>
    <row r="9062" spans="27:27">
      <c r="AA9062" s="158" t="s">
        <v>10534</v>
      </c>
    </row>
    <row r="9063" spans="27:27">
      <c r="AA9063" s="158" t="s">
        <v>10535</v>
      </c>
    </row>
    <row r="9064" spans="27:27">
      <c r="AA9064" s="158" t="s">
        <v>10536</v>
      </c>
    </row>
    <row r="9065" spans="27:27">
      <c r="AA9065" s="158" t="s">
        <v>10537</v>
      </c>
    </row>
    <row r="9066" spans="27:27">
      <c r="AA9066" s="158" t="s">
        <v>10538</v>
      </c>
    </row>
    <row r="9067" spans="27:27">
      <c r="AA9067" s="158" t="s">
        <v>10539</v>
      </c>
    </row>
    <row r="9068" spans="27:27">
      <c r="AA9068" s="158" t="s">
        <v>10540</v>
      </c>
    </row>
    <row r="9069" spans="27:27">
      <c r="AA9069" s="158" t="s">
        <v>3813</v>
      </c>
    </row>
    <row r="9070" spans="27:27">
      <c r="AA9070" s="158" t="s">
        <v>10541</v>
      </c>
    </row>
    <row r="9071" spans="27:27">
      <c r="AA9071" s="158" t="s">
        <v>10542</v>
      </c>
    </row>
    <row r="9072" spans="27:27">
      <c r="AA9072" s="158" t="s">
        <v>10543</v>
      </c>
    </row>
    <row r="9073" spans="27:27">
      <c r="AA9073" s="158" t="s">
        <v>10544</v>
      </c>
    </row>
    <row r="9074" spans="27:27">
      <c r="AA9074" s="158" t="s">
        <v>10545</v>
      </c>
    </row>
    <row r="9075" spans="27:27">
      <c r="AA9075" s="158" t="s">
        <v>10546</v>
      </c>
    </row>
    <row r="9076" spans="27:27">
      <c r="AA9076" s="158" t="s">
        <v>10547</v>
      </c>
    </row>
    <row r="9077" spans="27:27">
      <c r="AA9077" s="158" t="s">
        <v>10548</v>
      </c>
    </row>
    <row r="9078" spans="27:27">
      <c r="AA9078" s="158" t="s">
        <v>10549</v>
      </c>
    </row>
    <row r="9079" spans="27:27">
      <c r="AA9079" s="158" t="s">
        <v>10550</v>
      </c>
    </row>
    <row r="9080" spans="27:27">
      <c r="AA9080" s="158" t="s">
        <v>2646</v>
      </c>
    </row>
    <row r="9081" spans="27:27">
      <c r="AA9081" s="158" t="s">
        <v>3814</v>
      </c>
    </row>
    <row r="9082" spans="27:27">
      <c r="AA9082" s="158" t="s">
        <v>10551</v>
      </c>
    </row>
    <row r="9083" spans="27:27">
      <c r="AA9083" s="158" t="s">
        <v>10552</v>
      </c>
    </row>
    <row r="9084" spans="27:27">
      <c r="AA9084" s="158" t="s">
        <v>10553</v>
      </c>
    </row>
    <row r="9085" spans="27:27">
      <c r="AA9085" s="158" t="s">
        <v>10554</v>
      </c>
    </row>
    <row r="9086" spans="27:27">
      <c r="AA9086" s="158" t="s">
        <v>10555</v>
      </c>
    </row>
    <row r="9087" spans="27:27">
      <c r="AA9087" s="158" t="s">
        <v>10556</v>
      </c>
    </row>
    <row r="9088" spans="27:27">
      <c r="AA9088" s="158" t="s">
        <v>10557</v>
      </c>
    </row>
    <row r="9089" spans="27:27">
      <c r="AA9089" s="158" t="s">
        <v>10558</v>
      </c>
    </row>
    <row r="9090" spans="27:27">
      <c r="AA9090" s="158" t="s">
        <v>10559</v>
      </c>
    </row>
    <row r="9091" spans="27:27">
      <c r="AA9091" s="158" t="s">
        <v>2647</v>
      </c>
    </row>
    <row r="9092" spans="27:27">
      <c r="AA9092" s="158" t="s">
        <v>3815</v>
      </c>
    </row>
    <row r="9093" spans="27:27">
      <c r="AA9093" s="158" t="s">
        <v>10560</v>
      </c>
    </row>
    <row r="9094" spans="27:27">
      <c r="AA9094" s="158" t="s">
        <v>10561</v>
      </c>
    </row>
    <row r="9095" spans="27:27">
      <c r="AA9095" s="158" t="s">
        <v>10562</v>
      </c>
    </row>
    <row r="9096" spans="27:27">
      <c r="AA9096" s="158" t="s">
        <v>2648</v>
      </c>
    </row>
    <row r="9097" spans="27:27">
      <c r="AA9097" s="158" t="s">
        <v>3816</v>
      </c>
    </row>
    <row r="9098" spans="27:27">
      <c r="AA9098" s="158" t="s">
        <v>10563</v>
      </c>
    </row>
    <row r="9099" spans="27:27">
      <c r="AA9099" s="158" t="s">
        <v>10564</v>
      </c>
    </row>
    <row r="9100" spans="27:27">
      <c r="AA9100" s="158" t="s">
        <v>10565</v>
      </c>
    </row>
    <row r="9101" spans="27:27">
      <c r="AA9101" s="158" t="s">
        <v>3817</v>
      </c>
    </row>
    <row r="9102" spans="27:27">
      <c r="AA9102" s="158" t="s">
        <v>851</v>
      </c>
    </row>
    <row r="9103" spans="27:27">
      <c r="AA9103" s="158" t="s">
        <v>3818</v>
      </c>
    </row>
    <row r="9104" spans="27:27">
      <c r="AA9104" s="158" t="s">
        <v>852</v>
      </c>
    </row>
    <row r="9105" spans="27:27">
      <c r="AA9105" s="158" t="s">
        <v>10566</v>
      </c>
    </row>
    <row r="9106" spans="27:27">
      <c r="AA9106" s="158" t="s">
        <v>2649</v>
      </c>
    </row>
    <row r="9107" spans="27:27">
      <c r="AA9107" s="158" t="s">
        <v>2650</v>
      </c>
    </row>
    <row r="9108" spans="27:27">
      <c r="AA9108" s="158" t="s">
        <v>10567</v>
      </c>
    </row>
    <row r="9109" spans="27:27">
      <c r="AA9109" s="158" t="s">
        <v>2651</v>
      </c>
    </row>
    <row r="9110" spans="27:27">
      <c r="AA9110" s="158" t="s">
        <v>10568</v>
      </c>
    </row>
    <row r="9111" spans="27:27">
      <c r="AA9111" s="158" t="s">
        <v>10569</v>
      </c>
    </row>
    <row r="9112" spans="27:27">
      <c r="AA9112" s="158" t="s">
        <v>10570</v>
      </c>
    </row>
    <row r="9113" spans="27:27">
      <c r="AA9113" s="158" t="s">
        <v>10571</v>
      </c>
    </row>
    <row r="9114" spans="27:27">
      <c r="AA9114" s="158" t="s">
        <v>10572</v>
      </c>
    </row>
    <row r="9115" spans="27:27">
      <c r="AA9115" s="158" t="s">
        <v>10573</v>
      </c>
    </row>
    <row r="9116" spans="27:27">
      <c r="AA9116" s="158" t="s">
        <v>10574</v>
      </c>
    </row>
    <row r="9117" spans="27:27">
      <c r="AA9117" s="158" t="s">
        <v>2652</v>
      </c>
    </row>
    <row r="9118" spans="27:27">
      <c r="AA9118" s="158" t="s">
        <v>3819</v>
      </c>
    </row>
    <row r="9119" spans="27:27">
      <c r="AA9119" s="158" t="s">
        <v>2653</v>
      </c>
    </row>
    <row r="9120" spans="27:27">
      <c r="AA9120" s="158" t="s">
        <v>3820</v>
      </c>
    </row>
    <row r="9121" spans="27:27">
      <c r="AA9121" s="158" t="s">
        <v>10575</v>
      </c>
    </row>
    <row r="9122" spans="27:27">
      <c r="AA9122" s="158" t="s">
        <v>3821</v>
      </c>
    </row>
    <row r="9123" spans="27:27">
      <c r="AA9123" s="158" t="s">
        <v>10576</v>
      </c>
    </row>
    <row r="9124" spans="27:27">
      <c r="AA9124" s="158" t="s">
        <v>10577</v>
      </c>
    </row>
    <row r="9125" spans="27:27">
      <c r="AA9125" s="158" t="s">
        <v>3822</v>
      </c>
    </row>
    <row r="9126" spans="27:27">
      <c r="AA9126" s="158" t="s">
        <v>10578</v>
      </c>
    </row>
    <row r="9127" spans="27:27">
      <c r="AA9127" s="158" t="s">
        <v>10579</v>
      </c>
    </row>
    <row r="9128" spans="27:27">
      <c r="AA9128" s="158" t="s">
        <v>10580</v>
      </c>
    </row>
    <row r="9129" spans="27:27">
      <c r="AA9129" s="158" t="s">
        <v>10581</v>
      </c>
    </row>
    <row r="9130" spans="27:27">
      <c r="AA9130" s="158" t="s">
        <v>10582</v>
      </c>
    </row>
    <row r="9131" spans="27:27">
      <c r="AA9131" s="158" t="s">
        <v>10583</v>
      </c>
    </row>
    <row r="9132" spans="27:27">
      <c r="AA9132" s="158" t="s">
        <v>10584</v>
      </c>
    </row>
    <row r="9133" spans="27:27">
      <c r="AA9133" s="158" t="s">
        <v>10585</v>
      </c>
    </row>
    <row r="9134" spans="27:27">
      <c r="AA9134" s="158" t="s">
        <v>10586</v>
      </c>
    </row>
    <row r="9135" spans="27:27">
      <c r="AA9135" s="158" t="s">
        <v>2654</v>
      </c>
    </row>
    <row r="9136" spans="27:27">
      <c r="AA9136" s="158" t="s">
        <v>2655</v>
      </c>
    </row>
    <row r="9137" spans="27:27">
      <c r="AA9137" s="158" t="s">
        <v>10587</v>
      </c>
    </row>
    <row r="9138" spans="27:27">
      <c r="AA9138" s="158" t="s">
        <v>10588</v>
      </c>
    </row>
    <row r="9139" spans="27:27">
      <c r="AA9139" s="158" t="s">
        <v>10589</v>
      </c>
    </row>
    <row r="9140" spans="27:27">
      <c r="AA9140" s="158" t="s">
        <v>10590</v>
      </c>
    </row>
    <row r="9141" spans="27:27">
      <c r="AA9141" s="158" t="s">
        <v>10591</v>
      </c>
    </row>
    <row r="9142" spans="27:27">
      <c r="AA9142" s="158" t="s">
        <v>10592</v>
      </c>
    </row>
    <row r="9143" spans="27:27">
      <c r="AA9143" s="158" t="s">
        <v>10593</v>
      </c>
    </row>
    <row r="9144" spans="27:27">
      <c r="AA9144" s="158" t="s">
        <v>10594</v>
      </c>
    </row>
    <row r="9145" spans="27:27">
      <c r="AA9145" s="158" t="s">
        <v>10595</v>
      </c>
    </row>
    <row r="9146" spans="27:27">
      <c r="AA9146" s="158" t="s">
        <v>10596</v>
      </c>
    </row>
    <row r="9147" spans="27:27">
      <c r="AA9147" s="158" t="s">
        <v>10597</v>
      </c>
    </row>
    <row r="9148" spans="27:27">
      <c r="AA9148" s="158" t="s">
        <v>10598</v>
      </c>
    </row>
    <row r="9149" spans="27:27">
      <c r="AA9149" s="158" t="s">
        <v>10599</v>
      </c>
    </row>
    <row r="9150" spans="27:27">
      <c r="AA9150" s="158" t="s">
        <v>10600</v>
      </c>
    </row>
    <row r="9151" spans="27:27">
      <c r="AA9151" s="158" t="s">
        <v>10601</v>
      </c>
    </row>
    <row r="9152" spans="27:27">
      <c r="AA9152" s="158" t="s">
        <v>10602</v>
      </c>
    </row>
    <row r="9153" spans="27:27">
      <c r="AA9153" s="158" t="s">
        <v>2656</v>
      </c>
    </row>
    <row r="9154" spans="27:27">
      <c r="AA9154" s="158" t="s">
        <v>10603</v>
      </c>
    </row>
    <row r="9155" spans="27:27">
      <c r="AA9155" s="158" t="s">
        <v>3823</v>
      </c>
    </row>
    <row r="9156" spans="27:27">
      <c r="AA9156" s="158" t="s">
        <v>10604</v>
      </c>
    </row>
    <row r="9157" spans="27:27">
      <c r="AA9157" s="158" t="s">
        <v>10605</v>
      </c>
    </row>
    <row r="9158" spans="27:27">
      <c r="AA9158" s="158" t="s">
        <v>10606</v>
      </c>
    </row>
    <row r="9159" spans="27:27">
      <c r="AA9159" s="158" t="s">
        <v>10607</v>
      </c>
    </row>
    <row r="9160" spans="27:27">
      <c r="AA9160" s="158" t="s">
        <v>10608</v>
      </c>
    </row>
    <row r="9161" spans="27:27">
      <c r="AA9161" s="158" t="s">
        <v>10609</v>
      </c>
    </row>
    <row r="9162" spans="27:27">
      <c r="AA9162" s="158" t="s">
        <v>10610</v>
      </c>
    </row>
    <row r="9163" spans="27:27">
      <c r="AA9163" s="158" t="s">
        <v>10611</v>
      </c>
    </row>
    <row r="9164" spans="27:27">
      <c r="AA9164" s="158" t="s">
        <v>10612</v>
      </c>
    </row>
    <row r="9165" spans="27:27">
      <c r="AA9165" s="158" t="s">
        <v>2657</v>
      </c>
    </row>
    <row r="9166" spans="27:27">
      <c r="AA9166" s="158" t="s">
        <v>2658</v>
      </c>
    </row>
    <row r="9167" spans="27:27">
      <c r="AA9167" s="158" t="s">
        <v>2659</v>
      </c>
    </row>
    <row r="9168" spans="27:27">
      <c r="AA9168" s="158" t="s">
        <v>10613</v>
      </c>
    </row>
    <row r="9169" spans="27:27">
      <c r="AA9169" s="158" t="s">
        <v>10614</v>
      </c>
    </row>
    <row r="9170" spans="27:27">
      <c r="AA9170" s="158" t="s">
        <v>10615</v>
      </c>
    </row>
    <row r="9171" spans="27:27">
      <c r="AA9171" s="158" t="s">
        <v>10616</v>
      </c>
    </row>
    <row r="9172" spans="27:27">
      <c r="AA9172" s="158" t="s">
        <v>10617</v>
      </c>
    </row>
    <row r="9173" spans="27:27">
      <c r="AA9173" s="158" t="s">
        <v>10618</v>
      </c>
    </row>
    <row r="9174" spans="27:27">
      <c r="AA9174" s="158" t="s">
        <v>10619</v>
      </c>
    </row>
    <row r="9175" spans="27:27">
      <c r="AA9175" s="158" t="s">
        <v>10620</v>
      </c>
    </row>
    <row r="9176" spans="27:27">
      <c r="AA9176" s="158" t="s">
        <v>10621</v>
      </c>
    </row>
    <row r="9177" spans="27:27">
      <c r="AA9177" s="158" t="s">
        <v>10622</v>
      </c>
    </row>
    <row r="9178" spans="27:27">
      <c r="AA9178" s="158" t="s">
        <v>10623</v>
      </c>
    </row>
    <row r="9179" spans="27:27">
      <c r="AA9179" s="158" t="s">
        <v>10624</v>
      </c>
    </row>
    <row r="9180" spans="27:27">
      <c r="AA9180" s="158" t="s">
        <v>10625</v>
      </c>
    </row>
    <row r="9181" spans="27:27">
      <c r="AA9181" s="158" t="s">
        <v>10626</v>
      </c>
    </row>
    <row r="9182" spans="27:27">
      <c r="AA9182" s="158" t="s">
        <v>10627</v>
      </c>
    </row>
    <row r="9183" spans="27:27">
      <c r="AA9183" s="158" t="s">
        <v>10628</v>
      </c>
    </row>
    <row r="9184" spans="27:27">
      <c r="AA9184" s="158" t="s">
        <v>2660</v>
      </c>
    </row>
    <row r="9185" spans="27:27">
      <c r="AA9185" s="158" t="s">
        <v>10629</v>
      </c>
    </row>
    <row r="9186" spans="27:27">
      <c r="AA9186" s="158" t="s">
        <v>3824</v>
      </c>
    </row>
    <row r="9187" spans="27:27">
      <c r="AA9187" s="158" t="s">
        <v>10630</v>
      </c>
    </row>
    <row r="9188" spans="27:27">
      <c r="AA9188" s="158" t="s">
        <v>10631</v>
      </c>
    </row>
    <row r="9189" spans="27:27">
      <c r="AA9189" s="158" t="s">
        <v>10632</v>
      </c>
    </row>
    <row r="9190" spans="27:27">
      <c r="AA9190" s="158" t="s">
        <v>10633</v>
      </c>
    </row>
    <row r="9191" spans="27:27">
      <c r="AA9191" s="158" t="s">
        <v>10634</v>
      </c>
    </row>
    <row r="9192" spans="27:27">
      <c r="AA9192" s="158" t="s">
        <v>10635</v>
      </c>
    </row>
    <row r="9193" spans="27:27">
      <c r="AA9193" s="158" t="s">
        <v>10636</v>
      </c>
    </row>
    <row r="9194" spans="27:27">
      <c r="AA9194" s="158" t="s">
        <v>10637</v>
      </c>
    </row>
    <row r="9195" spans="27:27">
      <c r="AA9195" s="158" t="s">
        <v>10638</v>
      </c>
    </row>
    <row r="9196" spans="27:27">
      <c r="AA9196" s="158" t="s">
        <v>2661</v>
      </c>
    </row>
    <row r="9197" spans="27:27">
      <c r="AA9197" s="158" t="s">
        <v>2662</v>
      </c>
    </row>
    <row r="9198" spans="27:27">
      <c r="AA9198" s="158" t="s">
        <v>2663</v>
      </c>
    </row>
    <row r="9199" spans="27:27">
      <c r="AA9199" s="158" t="s">
        <v>10639</v>
      </c>
    </row>
    <row r="9200" spans="27:27">
      <c r="AA9200" s="158" t="s">
        <v>10640</v>
      </c>
    </row>
    <row r="9201" spans="27:27">
      <c r="AA9201" s="158" t="s">
        <v>10641</v>
      </c>
    </row>
    <row r="9202" spans="27:27">
      <c r="AA9202" s="158" t="s">
        <v>10642</v>
      </c>
    </row>
    <row r="9203" spans="27:27">
      <c r="AA9203" s="158" t="s">
        <v>10643</v>
      </c>
    </row>
    <row r="9204" spans="27:27">
      <c r="AA9204" s="158" t="s">
        <v>10644</v>
      </c>
    </row>
    <row r="9205" spans="27:27">
      <c r="AA9205" s="158" t="s">
        <v>10645</v>
      </c>
    </row>
    <row r="9206" spans="27:27">
      <c r="AA9206" s="158" t="s">
        <v>10646</v>
      </c>
    </row>
    <row r="9207" spans="27:27">
      <c r="AA9207" s="158" t="s">
        <v>10647</v>
      </c>
    </row>
    <row r="9208" spans="27:27">
      <c r="AA9208" s="158" t="s">
        <v>10648</v>
      </c>
    </row>
    <row r="9209" spans="27:27">
      <c r="AA9209" s="158" t="s">
        <v>10649</v>
      </c>
    </row>
    <row r="9210" spans="27:27">
      <c r="AA9210" s="158" t="s">
        <v>10650</v>
      </c>
    </row>
    <row r="9211" spans="27:27">
      <c r="AA9211" s="158" t="s">
        <v>10651</v>
      </c>
    </row>
    <row r="9212" spans="27:27">
      <c r="AA9212" s="158" t="s">
        <v>10652</v>
      </c>
    </row>
    <row r="9213" spans="27:27">
      <c r="AA9213" s="158" t="s">
        <v>10653</v>
      </c>
    </row>
    <row r="9214" spans="27:27">
      <c r="AA9214" s="158" t="s">
        <v>10654</v>
      </c>
    </row>
    <row r="9215" spans="27:27">
      <c r="AA9215" s="158" t="s">
        <v>2664</v>
      </c>
    </row>
    <row r="9216" spans="27:27">
      <c r="AA9216" s="158" t="s">
        <v>10655</v>
      </c>
    </row>
    <row r="9217" spans="27:27">
      <c r="AA9217" s="158" t="s">
        <v>3825</v>
      </c>
    </row>
    <row r="9218" spans="27:27">
      <c r="AA9218" s="158" t="s">
        <v>853</v>
      </c>
    </row>
    <row r="9219" spans="27:27">
      <c r="AA9219" s="158" t="s">
        <v>10656</v>
      </c>
    </row>
    <row r="9220" spans="27:27">
      <c r="AA9220" s="158" t="s">
        <v>10657</v>
      </c>
    </row>
    <row r="9221" spans="27:27">
      <c r="AA9221" s="158" t="s">
        <v>10658</v>
      </c>
    </row>
    <row r="9222" spans="27:27">
      <c r="AA9222" s="158" t="s">
        <v>10659</v>
      </c>
    </row>
    <row r="9223" spans="27:27">
      <c r="AA9223" s="158" t="s">
        <v>10660</v>
      </c>
    </row>
    <row r="9224" spans="27:27">
      <c r="AA9224" s="158" t="s">
        <v>10661</v>
      </c>
    </row>
    <row r="9225" spans="27:27">
      <c r="AA9225" s="158" t="s">
        <v>10662</v>
      </c>
    </row>
    <row r="9226" spans="27:27">
      <c r="AA9226" s="158" t="s">
        <v>10663</v>
      </c>
    </row>
    <row r="9227" spans="27:27">
      <c r="AA9227" s="158" t="s">
        <v>10664</v>
      </c>
    </row>
    <row r="9228" spans="27:27">
      <c r="AA9228" s="158" t="s">
        <v>2665</v>
      </c>
    </row>
    <row r="9229" spans="27:27">
      <c r="AA9229" s="158" t="s">
        <v>10665</v>
      </c>
    </row>
    <row r="9230" spans="27:27">
      <c r="AA9230" s="158" t="s">
        <v>10666</v>
      </c>
    </row>
    <row r="9231" spans="27:27">
      <c r="AA9231" s="158" t="s">
        <v>10667</v>
      </c>
    </row>
    <row r="9232" spans="27:27">
      <c r="AA9232" s="158" t="s">
        <v>3826</v>
      </c>
    </row>
    <row r="9233" spans="27:27">
      <c r="AA9233" s="158" t="s">
        <v>10668</v>
      </c>
    </row>
    <row r="9234" spans="27:27">
      <c r="AA9234" s="158" t="s">
        <v>10669</v>
      </c>
    </row>
    <row r="9235" spans="27:27">
      <c r="AA9235" s="158" t="s">
        <v>10670</v>
      </c>
    </row>
    <row r="9236" spans="27:27">
      <c r="AA9236" s="158" t="s">
        <v>10671</v>
      </c>
    </row>
    <row r="9237" spans="27:27">
      <c r="AA9237" s="158" t="s">
        <v>10672</v>
      </c>
    </row>
    <row r="9238" spans="27:27">
      <c r="AA9238" s="158" t="s">
        <v>10673</v>
      </c>
    </row>
    <row r="9239" spans="27:27">
      <c r="AA9239" s="158" t="s">
        <v>10674</v>
      </c>
    </row>
    <row r="9240" spans="27:27">
      <c r="AA9240" s="158" t="s">
        <v>10675</v>
      </c>
    </row>
    <row r="9241" spans="27:27">
      <c r="AA9241" s="158" t="s">
        <v>2666</v>
      </c>
    </row>
    <row r="9242" spans="27:27">
      <c r="AA9242" s="158" t="s">
        <v>10676</v>
      </c>
    </row>
    <row r="9243" spans="27:27">
      <c r="AA9243" s="158" t="s">
        <v>3827</v>
      </c>
    </row>
    <row r="9244" spans="27:27">
      <c r="AA9244" s="158" t="s">
        <v>10677</v>
      </c>
    </row>
    <row r="9245" spans="27:27">
      <c r="AA9245" s="158" t="s">
        <v>10678</v>
      </c>
    </row>
    <row r="9246" spans="27:27">
      <c r="AA9246" s="158" t="s">
        <v>10679</v>
      </c>
    </row>
    <row r="9247" spans="27:27">
      <c r="AA9247" s="158" t="s">
        <v>2667</v>
      </c>
    </row>
    <row r="9248" spans="27:27">
      <c r="AA9248" s="158" t="s">
        <v>10680</v>
      </c>
    </row>
    <row r="9249" spans="27:27">
      <c r="AA9249" s="158" t="s">
        <v>2668</v>
      </c>
    </row>
    <row r="9250" spans="27:27">
      <c r="AA9250" s="158" t="s">
        <v>854</v>
      </c>
    </row>
    <row r="9251" spans="27:27">
      <c r="AA9251" s="158" t="s">
        <v>10681</v>
      </c>
    </row>
    <row r="9252" spans="27:27">
      <c r="AA9252" s="158" t="s">
        <v>10682</v>
      </c>
    </row>
    <row r="9253" spans="27:27">
      <c r="AA9253" s="158" t="s">
        <v>10683</v>
      </c>
    </row>
    <row r="9254" spans="27:27">
      <c r="AA9254" s="158" t="s">
        <v>10684</v>
      </c>
    </row>
    <row r="9255" spans="27:27">
      <c r="AA9255" s="158" t="s">
        <v>10685</v>
      </c>
    </row>
    <row r="9256" spans="27:27">
      <c r="AA9256" s="158" t="s">
        <v>10686</v>
      </c>
    </row>
    <row r="9257" spans="27:27">
      <c r="AA9257" s="158" t="s">
        <v>10687</v>
      </c>
    </row>
    <row r="9258" spans="27:27">
      <c r="AA9258" s="158" t="s">
        <v>10688</v>
      </c>
    </row>
    <row r="9259" spans="27:27">
      <c r="AA9259" s="158" t="s">
        <v>10689</v>
      </c>
    </row>
    <row r="9260" spans="27:27">
      <c r="AA9260" s="158" t="s">
        <v>855</v>
      </c>
    </row>
    <row r="9261" spans="27:27">
      <c r="AA9261" s="158" t="s">
        <v>3828</v>
      </c>
    </row>
    <row r="9262" spans="27:27">
      <c r="AA9262" s="158" t="s">
        <v>856</v>
      </c>
    </row>
    <row r="9263" spans="27:27">
      <c r="AA9263" s="158" t="s">
        <v>10690</v>
      </c>
    </row>
    <row r="9264" spans="27:27">
      <c r="AA9264" s="158" t="s">
        <v>10691</v>
      </c>
    </row>
    <row r="9265" spans="27:27">
      <c r="AA9265" s="158" t="s">
        <v>857</v>
      </c>
    </row>
    <row r="9266" spans="27:27">
      <c r="AA9266" s="158" t="s">
        <v>858</v>
      </c>
    </row>
    <row r="9267" spans="27:27">
      <c r="AA9267" s="158" t="s">
        <v>10692</v>
      </c>
    </row>
    <row r="9268" spans="27:27">
      <c r="AA9268" s="158" t="s">
        <v>10693</v>
      </c>
    </row>
    <row r="9269" spans="27:27">
      <c r="AA9269" s="158" t="s">
        <v>10694</v>
      </c>
    </row>
    <row r="9270" spans="27:27">
      <c r="AA9270" s="158" t="s">
        <v>10695</v>
      </c>
    </row>
    <row r="9271" spans="27:27">
      <c r="AA9271" s="158" t="s">
        <v>10696</v>
      </c>
    </row>
    <row r="9272" spans="27:27">
      <c r="AA9272" s="158" t="s">
        <v>10697</v>
      </c>
    </row>
    <row r="9273" spans="27:27">
      <c r="AA9273" s="158" t="s">
        <v>2669</v>
      </c>
    </row>
    <row r="9274" spans="27:27">
      <c r="AA9274" s="158" t="s">
        <v>3829</v>
      </c>
    </row>
    <row r="9275" spans="27:27">
      <c r="AA9275" s="158" t="s">
        <v>2670</v>
      </c>
    </row>
    <row r="9276" spans="27:27">
      <c r="AA9276" s="158" t="s">
        <v>3830</v>
      </c>
    </row>
    <row r="9277" spans="27:27">
      <c r="AA9277" s="158" t="s">
        <v>10698</v>
      </c>
    </row>
    <row r="9278" spans="27:27">
      <c r="AA9278" s="158" t="s">
        <v>2671</v>
      </c>
    </row>
    <row r="9279" spans="27:27">
      <c r="AA9279" s="158" t="s">
        <v>3831</v>
      </c>
    </row>
    <row r="9280" spans="27:27">
      <c r="AA9280" s="158" t="s">
        <v>10699</v>
      </c>
    </row>
    <row r="9281" spans="27:27">
      <c r="AA9281" s="158" t="s">
        <v>2672</v>
      </c>
    </row>
    <row r="9282" spans="27:27">
      <c r="AA9282" s="158" t="s">
        <v>3832</v>
      </c>
    </row>
    <row r="9283" spans="27:27">
      <c r="AA9283" s="158" t="s">
        <v>10700</v>
      </c>
    </row>
    <row r="9284" spans="27:27">
      <c r="AA9284" s="158" t="s">
        <v>10701</v>
      </c>
    </row>
    <row r="9285" spans="27:27">
      <c r="AA9285" s="158" t="s">
        <v>10702</v>
      </c>
    </row>
    <row r="9286" spans="27:27">
      <c r="AA9286" s="158" t="s">
        <v>10703</v>
      </c>
    </row>
    <row r="9287" spans="27:27">
      <c r="AA9287" s="158" t="s">
        <v>10704</v>
      </c>
    </row>
    <row r="9288" spans="27:27">
      <c r="AA9288" s="158" t="s">
        <v>2673</v>
      </c>
    </row>
    <row r="9289" spans="27:27">
      <c r="AA9289" s="158" t="s">
        <v>3833</v>
      </c>
    </row>
    <row r="9290" spans="27:27">
      <c r="AA9290" s="158" t="s">
        <v>10705</v>
      </c>
    </row>
    <row r="9291" spans="27:27">
      <c r="AA9291" s="158" t="s">
        <v>10706</v>
      </c>
    </row>
    <row r="9292" spans="27:27">
      <c r="AA9292" s="158" t="s">
        <v>10707</v>
      </c>
    </row>
    <row r="9293" spans="27:27">
      <c r="AA9293" s="158" t="s">
        <v>10708</v>
      </c>
    </row>
    <row r="9294" spans="27:27">
      <c r="AA9294" s="158" t="s">
        <v>10709</v>
      </c>
    </row>
    <row r="9295" spans="27:27">
      <c r="AA9295" s="158" t="s">
        <v>2674</v>
      </c>
    </row>
    <row r="9296" spans="27:27">
      <c r="AA9296" s="158" t="s">
        <v>3834</v>
      </c>
    </row>
    <row r="9297" spans="27:27">
      <c r="AA9297" s="158" t="s">
        <v>10710</v>
      </c>
    </row>
    <row r="9298" spans="27:27">
      <c r="AA9298" s="158" t="s">
        <v>10711</v>
      </c>
    </row>
    <row r="9299" spans="27:27">
      <c r="AA9299" s="158" t="s">
        <v>10712</v>
      </c>
    </row>
    <row r="9300" spans="27:27">
      <c r="AA9300" s="158" t="s">
        <v>10713</v>
      </c>
    </row>
    <row r="9301" spans="27:27">
      <c r="AA9301" s="158" t="s">
        <v>10714</v>
      </c>
    </row>
    <row r="9302" spans="27:27">
      <c r="AA9302" s="158" t="s">
        <v>859</v>
      </c>
    </row>
    <row r="9303" spans="27:27">
      <c r="AA9303" s="158" t="s">
        <v>860</v>
      </c>
    </row>
    <row r="9304" spans="27:27">
      <c r="AA9304" s="158" t="s">
        <v>3835</v>
      </c>
    </row>
    <row r="9305" spans="27:27">
      <c r="AA9305" s="158" t="s">
        <v>10715</v>
      </c>
    </row>
    <row r="9306" spans="27:27">
      <c r="AA9306" s="158" t="s">
        <v>861</v>
      </c>
    </row>
    <row r="9307" spans="27:27">
      <c r="AA9307" s="158" t="s">
        <v>10716</v>
      </c>
    </row>
    <row r="9308" spans="27:27">
      <c r="AA9308" s="158" t="s">
        <v>10717</v>
      </c>
    </row>
    <row r="9309" spans="27:27">
      <c r="AA9309" s="158" t="s">
        <v>10718</v>
      </c>
    </row>
    <row r="9310" spans="27:27">
      <c r="AA9310" s="158" t="s">
        <v>10719</v>
      </c>
    </row>
    <row r="9311" spans="27:27">
      <c r="AA9311" s="158" t="s">
        <v>10720</v>
      </c>
    </row>
    <row r="9312" spans="27:27">
      <c r="AA9312" s="158" t="s">
        <v>10721</v>
      </c>
    </row>
    <row r="9313" spans="27:27">
      <c r="AA9313" s="158" t="s">
        <v>10722</v>
      </c>
    </row>
    <row r="9314" spans="27:27">
      <c r="AA9314" s="158" t="s">
        <v>10723</v>
      </c>
    </row>
    <row r="9315" spans="27:27">
      <c r="AA9315" s="158" t="s">
        <v>862</v>
      </c>
    </row>
    <row r="9316" spans="27:27">
      <c r="AA9316" s="158" t="s">
        <v>2675</v>
      </c>
    </row>
    <row r="9317" spans="27:27">
      <c r="AA9317" s="158" t="s">
        <v>3836</v>
      </c>
    </row>
    <row r="9318" spans="27:27">
      <c r="AA9318" s="158" t="s">
        <v>10724</v>
      </c>
    </row>
    <row r="9319" spans="27:27">
      <c r="AA9319" s="158" t="s">
        <v>10725</v>
      </c>
    </row>
    <row r="9320" spans="27:27">
      <c r="AA9320" s="158" t="s">
        <v>2676</v>
      </c>
    </row>
    <row r="9321" spans="27:27">
      <c r="AA9321" s="158" t="s">
        <v>10726</v>
      </c>
    </row>
    <row r="9322" spans="27:27">
      <c r="AA9322" s="158" t="s">
        <v>10727</v>
      </c>
    </row>
    <row r="9323" spans="27:27">
      <c r="AA9323" s="158" t="s">
        <v>10728</v>
      </c>
    </row>
    <row r="9324" spans="27:27">
      <c r="AA9324" s="158" t="s">
        <v>2677</v>
      </c>
    </row>
    <row r="9325" spans="27:27">
      <c r="AA9325" s="158" t="s">
        <v>3837</v>
      </c>
    </row>
    <row r="9326" spans="27:27">
      <c r="AA9326" s="158" t="s">
        <v>863</v>
      </c>
    </row>
    <row r="9327" spans="27:27">
      <c r="AA9327" s="158" t="s">
        <v>2678</v>
      </c>
    </row>
    <row r="9328" spans="27:27">
      <c r="AA9328" s="158" t="s">
        <v>3838</v>
      </c>
    </row>
    <row r="9329" spans="27:27">
      <c r="AA9329" s="158" t="s">
        <v>10729</v>
      </c>
    </row>
    <row r="9330" spans="27:27">
      <c r="AA9330" s="158" t="s">
        <v>10730</v>
      </c>
    </row>
    <row r="9331" spans="27:27">
      <c r="AA9331" s="158" t="s">
        <v>10731</v>
      </c>
    </row>
    <row r="9332" spans="27:27">
      <c r="AA9332" s="158" t="s">
        <v>10732</v>
      </c>
    </row>
    <row r="9333" spans="27:27">
      <c r="AA9333" s="158" t="s">
        <v>10733</v>
      </c>
    </row>
    <row r="9334" spans="27:27">
      <c r="AA9334" s="158" t="s">
        <v>2679</v>
      </c>
    </row>
    <row r="9335" spans="27:27">
      <c r="AA9335" s="158" t="s">
        <v>3839</v>
      </c>
    </row>
    <row r="9336" spans="27:27">
      <c r="AA9336" s="158" t="s">
        <v>10734</v>
      </c>
    </row>
    <row r="9337" spans="27:27">
      <c r="AA9337" s="158" t="s">
        <v>10735</v>
      </c>
    </row>
    <row r="9338" spans="27:27">
      <c r="AA9338" s="158" t="s">
        <v>10736</v>
      </c>
    </row>
    <row r="9339" spans="27:27">
      <c r="AA9339" s="158" t="s">
        <v>10737</v>
      </c>
    </row>
    <row r="9340" spans="27:27">
      <c r="AA9340" s="158" t="s">
        <v>10738</v>
      </c>
    </row>
    <row r="9341" spans="27:27">
      <c r="AA9341" s="158" t="s">
        <v>2680</v>
      </c>
    </row>
    <row r="9342" spans="27:27">
      <c r="AA9342" s="158" t="s">
        <v>3840</v>
      </c>
    </row>
    <row r="9343" spans="27:27">
      <c r="AA9343" s="158" t="s">
        <v>10739</v>
      </c>
    </row>
    <row r="9344" spans="27:27">
      <c r="AA9344" s="158" t="s">
        <v>10740</v>
      </c>
    </row>
    <row r="9345" spans="27:27">
      <c r="AA9345" s="158" t="s">
        <v>10741</v>
      </c>
    </row>
    <row r="9346" spans="27:27">
      <c r="AA9346" s="158" t="s">
        <v>10742</v>
      </c>
    </row>
    <row r="9347" spans="27:27">
      <c r="AA9347" s="158" t="s">
        <v>10743</v>
      </c>
    </row>
    <row r="9348" spans="27:27">
      <c r="AA9348" s="158" t="s">
        <v>10744</v>
      </c>
    </row>
    <row r="9349" spans="27:27">
      <c r="AA9349" s="158" t="s">
        <v>2681</v>
      </c>
    </row>
    <row r="9350" spans="27:27">
      <c r="AA9350" s="158" t="s">
        <v>3841</v>
      </c>
    </row>
    <row r="9351" spans="27:27">
      <c r="AA9351" s="158" t="s">
        <v>10745</v>
      </c>
    </row>
    <row r="9352" spans="27:27">
      <c r="AA9352" s="158" t="s">
        <v>10746</v>
      </c>
    </row>
    <row r="9353" spans="27:27">
      <c r="AA9353" s="158" t="s">
        <v>10747</v>
      </c>
    </row>
    <row r="9354" spans="27:27">
      <c r="AA9354" s="158" t="s">
        <v>2682</v>
      </c>
    </row>
    <row r="9355" spans="27:27">
      <c r="AA9355" s="158" t="s">
        <v>10748</v>
      </c>
    </row>
    <row r="9356" spans="27:27">
      <c r="AA9356" s="158" t="s">
        <v>10749</v>
      </c>
    </row>
    <row r="9357" spans="27:27">
      <c r="AA9357" s="158" t="s">
        <v>2683</v>
      </c>
    </row>
    <row r="9358" spans="27:27">
      <c r="AA9358" s="158" t="s">
        <v>3842</v>
      </c>
    </row>
    <row r="9359" spans="27:27">
      <c r="AA9359" s="158" t="s">
        <v>2684</v>
      </c>
    </row>
    <row r="9360" spans="27:27">
      <c r="AA9360" s="158" t="s">
        <v>3843</v>
      </c>
    </row>
    <row r="9361" spans="27:27">
      <c r="AA9361" s="158" t="s">
        <v>10750</v>
      </c>
    </row>
    <row r="9362" spans="27:27">
      <c r="AA9362" s="158" t="s">
        <v>10751</v>
      </c>
    </row>
    <row r="9363" spans="27:27">
      <c r="AA9363" s="158" t="s">
        <v>10752</v>
      </c>
    </row>
    <row r="9364" spans="27:27">
      <c r="AA9364" s="158" t="s">
        <v>10753</v>
      </c>
    </row>
    <row r="9365" spans="27:27">
      <c r="AA9365" s="158" t="s">
        <v>2685</v>
      </c>
    </row>
    <row r="9366" spans="27:27">
      <c r="AA9366" s="158" t="s">
        <v>3844</v>
      </c>
    </row>
    <row r="9367" spans="27:27">
      <c r="AA9367" s="158" t="s">
        <v>10754</v>
      </c>
    </row>
    <row r="9368" spans="27:27">
      <c r="AA9368" s="158" t="s">
        <v>10755</v>
      </c>
    </row>
    <row r="9369" spans="27:27">
      <c r="AA9369" s="158" t="s">
        <v>10756</v>
      </c>
    </row>
    <row r="9370" spans="27:27">
      <c r="AA9370" s="158" t="s">
        <v>10757</v>
      </c>
    </row>
    <row r="9371" spans="27:27">
      <c r="AA9371" s="158" t="s">
        <v>2686</v>
      </c>
    </row>
    <row r="9372" spans="27:27">
      <c r="AA9372" s="158" t="s">
        <v>3845</v>
      </c>
    </row>
    <row r="9373" spans="27:27">
      <c r="AA9373" s="158" t="s">
        <v>10758</v>
      </c>
    </row>
    <row r="9374" spans="27:27">
      <c r="AA9374" s="158" t="s">
        <v>3846</v>
      </c>
    </row>
    <row r="9375" spans="27:27">
      <c r="AA9375" s="158" t="s">
        <v>10759</v>
      </c>
    </row>
    <row r="9376" spans="27:27">
      <c r="AA9376" s="158" t="s">
        <v>10760</v>
      </c>
    </row>
    <row r="9377" spans="27:27">
      <c r="AA9377" s="158" t="s">
        <v>10761</v>
      </c>
    </row>
    <row r="9378" spans="27:27">
      <c r="AA9378" s="158" t="s">
        <v>10762</v>
      </c>
    </row>
    <row r="9379" spans="27:27">
      <c r="AA9379" s="158" t="s">
        <v>2687</v>
      </c>
    </row>
    <row r="9380" spans="27:27">
      <c r="AA9380" s="158" t="s">
        <v>3847</v>
      </c>
    </row>
    <row r="9381" spans="27:27">
      <c r="AA9381" s="158" t="s">
        <v>10763</v>
      </c>
    </row>
    <row r="9382" spans="27:27">
      <c r="AA9382" s="158" t="s">
        <v>10764</v>
      </c>
    </row>
    <row r="9383" spans="27:27">
      <c r="AA9383" s="158" t="s">
        <v>10765</v>
      </c>
    </row>
    <row r="9384" spans="27:27">
      <c r="AA9384" s="158" t="s">
        <v>10766</v>
      </c>
    </row>
    <row r="9385" spans="27:27">
      <c r="AA9385" s="158" t="s">
        <v>10767</v>
      </c>
    </row>
    <row r="9386" spans="27:27">
      <c r="AA9386" s="158" t="s">
        <v>2688</v>
      </c>
    </row>
    <row r="9387" spans="27:27">
      <c r="AA9387" s="158" t="s">
        <v>10768</v>
      </c>
    </row>
    <row r="9388" spans="27:27">
      <c r="AA9388" s="158" t="s">
        <v>10769</v>
      </c>
    </row>
    <row r="9389" spans="27:27">
      <c r="AA9389" s="158" t="s">
        <v>2689</v>
      </c>
    </row>
    <row r="9390" spans="27:27">
      <c r="AA9390" s="158" t="s">
        <v>10770</v>
      </c>
    </row>
    <row r="9391" spans="27:27">
      <c r="AA9391" s="158" t="s">
        <v>10771</v>
      </c>
    </row>
    <row r="9392" spans="27:27">
      <c r="AA9392" s="158" t="s">
        <v>2690</v>
      </c>
    </row>
    <row r="9393" spans="27:27">
      <c r="AA9393" s="158" t="s">
        <v>10772</v>
      </c>
    </row>
    <row r="9394" spans="27:27">
      <c r="AA9394" s="158" t="s">
        <v>10773</v>
      </c>
    </row>
    <row r="9395" spans="27:27">
      <c r="AA9395" s="158" t="s">
        <v>2691</v>
      </c>
    </row>
    <row r="9396" spans="27:27">
      <c r="AA9396" s="158" t="s">
        <v>10774</v>
      </c>
    </row>
    <row r="9397" spans="27:27">
      <c r="AA9397" s="158" t="s">
        <v>10775</v>
      </c>
    </row>
    <row r="9398" spans="27:27">
      <c r="AA9398" s="158" t="s">
        <v>2692</v>
      </c>
    </row>
    <row r="9399" spans="27:27">
      <c r="AA9399" s="158" t="s">
        <v>10776</v>
      </c>
    </row>
    <row r="9400" spans="27:27">
      <c r="AA9400" s="158" t="s">
        <v>2693</v>
      </c>
    </row>
    <row r="9401" spans="27:27">
      <c r="AA9401" s="158" t="s">
        <v>10777</v>
      </c>
    </row>
    <row r="9402" spans="27:27">
      <c r="AA9402" s="158" t="s">
        <v>2694</v>
      </c>
    </row>
    <row r="9403" spans="27:27">
      <c r="AA9403" s="158" t="s">
        <v>3848</v>
      </c>
    </row>
    <row r="9404" spans="27:27">
      <c r="AA9404" s="158" t="s">
        <v>10778</v>
      </c>
    </row>
    <row r="9405" spans="27:27">
      <c r="AA9405" s="158" t="s">
        <v>10779</v>
      </c>
    </row>
    <row r="9406" spans="27:27">
      <c r="AA9406" s="158" t="s">
        <v>2695</v>
      </c>
    </row>
    <row r="9407" spans="27:27">
      <c r="AA9407" s="158" t="s">
        <v>10780</v>
      </c>
    </row>
    <row r="9408" spans="27:27">
      <c r="AA9408" s="158" t="s">
        <v>10781</v>
      </c>
    </row>
    <row r="9409" spans="27:27">
      <c r="AA9409" s="158" t="s">
        <v>10782</v>
      </c>
    </row>
    <row r="9410" spans="27:27">
      <c r="AA9410" s="158" t="s">
        <v>10783</v>
      </c>
    </row>
    <row r="9411" spans="27:27">
      <c r="AA9411" s="158" t="s">
        <v>10784</v>
      </c>
    </row>
    <row r="9412" spans="27:27">
      <c r="AA9412" s="158" t="s">
        <v>10785</v>
      </c>
    </row>
    <row r="9413" spans="27:27">
      <c r="AA9413" s="158" t="s">
        <v>10786</v>
      </c>
    </row>
    <row r="9414" spans="27:27">
      <c r="AA9414" s="158" t="s">
        <v>10787</v>
      </c>
    </row>
    <row r="9415" spans="27:27">
      <c r="AA9415" s="158" t="s">
        <v>10788</v>
      </c>
    </row>
    <row r="9416" spans="27:27">
      <c r="AA9416" s="158" t="s">
        <v>2696</v>
      </c>
    </row>
    <row r="9417" spans="27:27">
      <c r="AA9417" s="158" t="s">
        <v>3849</v>
      </c>
    </row>
    <row r="9418" spans="27:27">
      <c r="AA9418" s="158" t="s">
        <v>2697</v>
      </c>
    </row>
    <row r="9419" spans="27:27">
      <c r="AA9419" s="158" t="s">
        <v>3850</v>
      </c>
    </row>
    <row r="9420" spans="27:27">
      <c r="AA9420" s="158" t="s">
        <v>10789</v>
      </c>
    </row>
    <row r="9421" spans="27:27">
      <c r="AA9421" s="158" t="s">
        <v>10790</v>
      </c>
    </row>
    <row r="9422" spans="27:27">
      <c r="AA9422" s="158" t="s">
        <v>10791</v>
      </c>
    </row>
    <row r="9423" spans="27:27">
      <c r="AA9423" s="158" t="s">
        <v>10792</v>
      </c>
    </row>
    <row r="9424" spans="27:27">
      <c r="AA9424" s="158" t="s">
        <v>10793</v>
      </c>
    </row>
    <row r="9425" spans="27:27">
      <c r="AA9425" s="158" t="s">
        <v>10794</v>
      </c>
    </row>
    <row r="9426" spans="27:27">
      <c r="AA9426" s="158" t="s">
        <v>10795</v>
      </c>
    </row>
    <row r="9427" spans="27:27">
      <c r="AA9427" s="158" t="s">
        <v>10796</v>
      </c>
    </row>
    <row r="9428" spans="27:27">
      <c r="AA9428" s="158" t="s">
        <v>10797</v>
      </c>
    </row>
    <row r="9429" spans="27:27">
      <c r="AA9429" s="158" t="s">
        <v>2698</v>
      </c>
    </row>
    <row r="9430" spans="27:27">
      <c r="AA9430" s="158" t="s">
        <v>10798</v>
      </c>
    </row>
    <row r="9431" spans="27:27">
      <c r="AA9431" s="158" t="s">
        <v>2699</v>
      </c>
    </row>
    <row r="9432" spans="27:27">
      <c r="AA9432" s="158" t="s">
        <v>3851</v>
      </c>
    </row>
    <row r="9433" spans="27:27">
      <c r="AA9433" s="158" t="s">
        <v>10799</v>
      </c>
    </row>
    <row r="9434" spans="27:27">
      <c r="AA9434" s="158" t="s">
        <v>10800</v>
      </c>
    </row>
    <row r="9435" spans="27:27">
      <c r="AA9435" s="158" t="s">
        <v>10801</v>
      </c>
    </row>
    <row r="9436" spans="27:27">
      <c r="AA9436" s="158" t="s">
        <v>10802</v>
      </c>
    </row>
    <row r="9437" spans="27:27">
      <c r="AA9437" s="158" t="s">
        <v>10803</v>
      </c>
    </row>
    <row r="9438" spans="27:27">
      <c r="AA9438" s="158" t="s">
        <v>10804</v>
      </c>
    </row>
    <row r="9439" spans="27:27">
      <c r="AA9439" s="158" t="s">
        <v>10805</v>
      </c>
    </row>
    <row r="9440" spans="27:27">
      <c r="AA9440" s="158" t="s">
        <v>10806</v>
      </c>
    </row>
    <row r="9441" spans="27:27">
      <c r="AA9441" s="158" t="s">
        <v>2700</v>
      </c>
    </row>
    <row r="9442" spans="27:27">
      <c r="AA9442" s="158" t="s">
        <v>3852</v>
      </c>
    </row>
    <row r="9443" spans="27:27">
      <c r="AA9443" s="158" t="s">
        <v>10807</v>
      </c>
    </row>
    <row r="9444" spans="27:27">
      <c r="AA9444" s="158" t="s">
        <v>10808</v>
      </c>
    </row>
    <row r="9445" spans="27:27">
      <c r="AA9445" s="158" t="s">
        <v>10809</v>
      </c>
    </row>
    <row r="9446" spans="27:27">
      <c r="AA9446" s="158" t="s">
        <v>10810</v>
      </c>
    </row>
    <row r="9447" spans="27:27">
      <c r="AA9447" s="158" t="s">
        <v>10811</v>
      </c>
    </row>
    <row r="9448" spans="27:27">
      <c r="AA9448" s="158" t="s">
        <v>10812</v>
      </c>
    </row>
    <row r="9449" spans="27:27">
      <c r="AA9449" s="158" t="s">
        <v>10813</v>
      </c>
    </row>
    <row r="9450" spans="27:27">
      <c r="AA9450" s="158" t="s">
        <v>2701</v>
      </c>
    </row>
    <row r="9451" spans="27:27">
      <c r="AA9451" s="158" t="s">
        <v>10814</v>
      </c>
    </row>
    <row r="9452" spans="27:27">
      <c r="AA9452" s="158" t="s">
        <v>2702</v>
      </c>
    </row>
    <row r="9453" spans="27:27">
      <c r="AA9453" s="158" t="s">
        <v>3853</v>
      </c>
    </row>
    <row r="9454" spans="27:27">
      <c r="AA9454" s="158" t="s">
        <v>10815</v>
      </c>
    </row>
    <row r="9455" spans="27:27">
      <c r="AA9455" s="158" t="s">
        <v>10816</v>
      </c>
    </row>
    <row r="9456" spans="27:27">
      <c r="AA9456" s="158" t="s">
        <v>10817</v>
      </c>
    </row>
    <row r="9457" spans="27:27">
      <c r="AA9457" s="158" t="s">
        <v>10818</v>
      </c>
    </row>
    <row r="9458" spans="27:27">
      <c r="AA9458" s="158" t="s">
        <v>10819</v>
      </c>
    </row>
    <row r="9459" spans="27:27">
      <c r="AA9459" s="158" t="s">
        <v>10820</v>
      </c>
    </row>
    <row r="9460" spans="27:27">
      <c r="AA9460" s="158" t="s">
        <v>10821</v>
      </c>
    </row>
    <row r="9461" spans="27:27">
      <c r="AA9461" s="158" t="s">
        <v>2703</v>
      </c>
    </row>
    <row r="9462" spans="27:27">
      <c r="AA9462" s="158" t="s">
        <v>10822</v>
      </c>
    </row>
    <row r="9463" spans="27:27">
      <c r="AA9463" s="158" t="s">
        <v>2704</v>
      </c>
    </row>
    <row r="9464" spans="27:27">
      <c r="AA9464" s="158" t="s">
        <v>3854</v>
      </c>
    </row>
    <row r="9465" spans="27:27">
      <c r="AA9465" s="158" t="s">
        <v>10823</v>
      </c>
    </row>
    <row r="9466" spans="27:27">
      <c r="AA9466" s="158" t="s">
        <v>10824</v>
      </c>
    </row>
    <row r="9467" spans="27:27">
      <c r="AA9467" s="158" t="s">
        <v>10825</v>
      </c>
    </row>
    <row r="9468" spans="27:27">
      <c r="AA9468" s="158" t="s">
        <v>10826</v>
      </c>
    </row>
    <row r="9469" spans="27:27">
      <c r="AA9469" s="158" t="s">
        <v>10827</v>
      </c>
    </row>
    <row r="9470" spans="27:27">
      <c r="AA9470" s="158" t="s">
        <v>10828</v>
      </c>
    </row>
    <row r="9471" spans="27:27">
      <c r="AA9471" s="158" t="s">
        <v>10829</v>
      </c>
    </row>
    <row r="9472" spans="27:27">
      <c r="AA9472" s="158" t="s">
        <v>10830</v>
      </c>
    </row>
    <row r="9473" spans="27:27">
      <c r="AA9473" s="158" t="s">
        <v>2705</v>
      </c>
    </row>
    <row r="9474" spans="27:27">
      <c r="AA9474" s="158" t="s">
        <v>3855</v>
      </c>
    </row>
    <row r="9475" spans="27:27">
      <c r="AA9475" s="158" t="s">
        <v>10831</v>
      </c>
    </row>
    <row r="9476" spans="27:27">
      <c r="AA9476" s="158" t="s">
        <v>10832</v>
      </c>
    </row>
    <row r="9477" spans="27:27">
      <c r="AA9477" s="158" t="s">
        <v>10833</v>
      </c>
    </row>
    <row r="9478" spans="27:27">
      <c r="AA9478" s="158" t="s">
        <v>10834</v>
      </c>
    </row>
    <row r="9479" spans="27:27">
      <c r="AA9479" s="158" t="s">
        <v>10835</v>
      </c>
    </row>
    <row r="9480" spans="27:27">
      <c r="AA9480" s="158" t="s">
        <v>10836</v>
      </c>
    </row>
    <row r="9481" spans="27:27">
      <c r="AA9481" s="158" t="s">
        <v>10837</v>
      </c>
    </row>
    <row r="9482" spans="27:27">
      <c r="AA9482" s="158" t="s">
        <v>2706</v>
      </c>
    </row>
    <row r="9483" spans="27:27">
      <c r="AA9483" s="158" t="s">
        <v>10838</v>
      </c>
    </row>
    <row r="9484" spans="27:27">
      <c r="AA9484" s="158" t="s">
        <v>2707</v>
      </c>
    </row>
    <row r="9485" spans="27:27">
      <c r="AA9485" s="158" t="s">
        <v>3856</v>
      </c>
    </row>
    <row r="9486" spans="27:27">
      <c r="AA9486" s="158" t="s">
        <v>10839</v>
      </c>
    </row>
    <row r="9487" spans="27:27">
      <c r="AA9487" s="158" t="s">
        <v>10840</v>
      </c>
    </row>
    <row r="9488" spans="27:27">
      <c r="AA9488" s="158" t="s">
        <v>10841</v>
      </c>
    </row>
    <row r="9489" spans="27:27">
      <c r="AA9489" s="158" t="s">
        <v>10842</v>
      </c>
    </row>
    <row r="9490" spans="27:27">
      <c r="AA9490" s="158" t="s">
        <v>10843</v>
      </c>
    </row>
    <row r="9491" spans="27:27">
      <c r="AA9491" s="158" t="s">
        <v>10844</v>
      </c>
    </row>
    <row r="9492" spans="27:27">
      <c r="AA9492" s="158" t="s">
        <v>10845</v>
      </c>
    </row>
    <row r="9493" spans="27:27">
      <c r="AA9493" s="158" t="s">
        <v>2708</v>
      </c>
    </row>
    <row r="9494" spans="27:27">
      <c r="AA9494" s="158" t="s">
        <v>10846</v>
      </c>
    </row>
    <row r="9495" spans="27:27">
      <c r="AA9495" s="158" t="s">
        <v>2709</v>
      </c>
    </row>
    <row r="9496" spans="27:27">
      <c r="AA9496" s="158" t="s">
        <v>3857</v>
      </c>
    </row>
    <row r="9497" spans="27:27">
      <c r="AA9497" s="158" t="s">
        <v>10847</v>
      </c>
    </row>
    <row r="9498" spans="27:27">
      <c r="AA9498" s="158" t="s">
        <v>2710</v>
      </c>
    </row>
    <row r="9499" spans="27:27">
      <c r="AA9499" s="158" t="s">
        <v>10848</v>
      </c>
    </row>
    <row r="9500" spans="27:27">
      <c r="AA9500" s="158" t="s">
        <v>10849</v>
      </c>
    </row>
    <row r="9501" spans="27:27">
      <c r="AA9501" s="158" t="s">
        <v>10850</v>
      </c>
    </row>
    <row r="9502" spans="27:27">
      <c r="AA9502" s="158" t="s">
        <v>2711</v>
      </c>
    </row>
    <row r="9503" spans="27:27">
      <c r="AA9503" s="158" t="s">
        <v>10851</v>
      </c>
    </row>
    <row r="9504" spans="27:27">
      <c r="AA9504" s="158" t="s">
        <v>2712</v>
      </c>
    </row>
    <row r="9505" spans="27:27">
      <c r="AA9505" s="158" t="s">
        <v>3858</v>
      </c>
    </row>
    <row r="9506" spans="27:27">
      <c r="AA9506" s="158" t="s">
        <v>10852</v>
      </c>
    </row>
    <row r="9507" spans="27:27">
      <c r="AA9507" s="158" t="s">
        <v>10853</v>
      </c>
    </row>
    <row r="9508" spans="27:27">
      <c r="AA9508" s="158" t="s">
        <v>2713</v>
      </c>
    </row>
    <row r="9509" spans="27:27">
      <c r="AA9509" s="158" t="s">
        <v>3859</v>
      </c>
    </row>
    <row r="9510" spans="27:27">
      <c r="AA9510" s="158" t="s">
        <v>10854</v>
      </c>
    </row>
    <row r="9511" spans="27:27">
      <c r="AA9511" s="158" t="s">
        <v>10855</v>
      </c>
    </row>
    <row r="9512" spans="27:27">
      <c r="AA9512" s="158" t="s">
        <v>10856</v>
      </c>
    </row>
    <row r="9513" spans="27:27">
      <c r="AA9513" s="158" t="s">
        <v>2714</v>
      </c>
    </row>
    <row r="9514" spans="27:27">
      <c r="AA9514" s="158" t="s">
        <v>3860</v>
      </c>
    </row>
    <row r="9515" spans="27:27">
      <c r="AA9515" s="158" t="s">
        <v>10857</v>
      </c>
    </row>
    <row r="9516" spans="27:27">
      <c r="AA9516" s="158" t="s">
        <v>10858</v>
      </c>
    </row>
    <row r="9517" spans="27:27">
      <c r="AA9517" s="158" t="s">
        <v>2715</v>
      </c>
    </row>
    <row r="9518" spans="27:27">
      <c r="AA9518" s="158" t="s">
        <v>10859</v>
      </c>
    </row>
    <row r="9519" spans="27:27">
      <c r="AA9519" s="158" t="s">
        <v>10860</v>
      </c>
    </row>
    <row r="9520" spans="27:27">
      <c r="AA9520" s="158" t="s">
        <v>10861</v>
      </c>
    </row>
    <row r="9521" spans="27:27">
      <c r="AA9521" s="158" t="s">
        <v>10862</v>
      </c>
    </row>
    <row r="9522" spans="27:27">
      <c r="AA9522" s="158" t="s">
        <v>2716</v>
      </c>
    </row>
    <row r="9523" spans="27:27">
      <c r="AA9523" s="158" t="s">
        <v>3861</v>
      </c>
    </row>
    <row r="9524" spans="27:27">
      <c r="AA9524" s="158" t="s">
        <v>2717</v>
      </c>
    </row>
    <row r="9525" spans="27:27">
      <c r="AA9525" s="158" t="s">
        <v>3862</v>
      </c>
    </row>
    <row r="9526" spans="27:27">
      <c r="AA9526" s="158" t="s">
        <v>10863</v>
      </c>
    </row>
    <row r="9527" spans="27:27">
      <c r="AA9527" s="158" t="s">
        <v>2718</v>
      </c>
    </row>
    <row r="9528" spans="27:27">
      <c r="AA9528" s="158" t="s">
        <v>10864</v>
      </c>
    </row>
    <row r="9529" spans="27:27">
      <c r="AA9529" s="158" t="s">
        <v>10865</v>
      </c>
    </row>
    <row r="9530" spans="27:27">
      <c r="AA9530" s="158" t="s">
        <v>2719</v>
      </c>
    </row>
    <row r="9531" spans="27:27">
      <c r="AA9531" s="158" t="s">
        <v>3863</v>
      </c>
    </row>
    <row r="9532" spans="27:27">
      <c r="AA9532" s="158" t="s">
        <v>10866</v>
      </c>
    </row>
    <row r="9533" spans="27:27">
      <c r="AA9533" s="158" t="s">
        <v>10867</v>
      </c>
    </row>
    <row r="9534" spans="27:27">
      <c r="AA9534" s="158" t="s">
        <v>10868</v>
      </c>
    </row>
    <row r="9535" spans="27:27">
      <c r="AA9535" s="158" t="s">
        <v>2720</v>
      </c>
    </row>
    <row r="9536" spans="27:27">
      <c r="AA9536" s="158" t="s">
        <v>3864</v>
      </c>
    </row>
    <row r="9537" spans="27:27">
      <c r="AA9537" s="158" t="s">
        <v>2721</v>
      </c>
    </row>
    <row r="9538" spans="27:27">
      <c r="AA9538" s="158" t="s">
        <v>10869</v>
      </c>
    </row>
    <row r="9539" spans="27:27">
      <c r="AA9539" s="158" t="s">
        <v>10870</v>
      </c>
    </row>
    <row r="9540" spans="27:27">
      <c r="AA9540" s="158" t="s">
        <v>10871</v>
      </c>
    </row>
    <row r="9541" spans="27:27">
      <c r="AA9541" s="158" t="s">
        <v>10872</v>
      </c>
    </row>
    <row r="9542" spans="27:27">
      <c r="AA9542" s="158" t="s">
        <v>2722</v>
      </c>
    </row>
    <row r="9543" spans="27:27">
      <c r="AA9543" s="158" t="s">
        <v>3865</v>
      </c>
    </row>
    <row r="9544" spans="27:27">
      <c r="AA9544" s="158" t="s">
        <v>2723</v>
      </c>
    </row>
    <row r="9545" spans="27:27">
      <c r="AA9545" s="158" t="s">
        <v>10873</v>
      </c>
    </row>
    <row r="9546" spans="27:27">
      <c r="AA9546" s="158" t="s">
        <v>2724</v>
      </c>
    </row>
    <row r="9547" spans="27:27">
      <c r="AA9547" s="158" t="s">
        <v>10874</v>
      </c>
    </row>
    <row r="9548" spans="27:27">
      <c r="AA9548" s="158" t="s">
        <v>2725</v>
      </c>
    </row>
    <row r="9549" spans="27:27">
      <c r="AA9549" s="158" t="s">
        <v>864</v>
      </c>
    </row>
    <row r="9550" spans="27:27">
      <c r="AA9550" s="158" t="s">
        <v>2726</v>
      </c>
    </row>
    <row r="9551" spans="27:27">
      <c r="AA9551" s="158" t="s">
        <v>10875</v>
      </c>
    </row>
    <row r="9552" spans="27:27">
      <c r="AA9552" s="158" t="s">
        <v>865</v>
      </c>
    </row>
    <row r="9553" spans="27:27">
      <c r="AA9553" s="158" t="s">
        <v>866</v>
      </c>
    </row>
    <row r="9554" spans="27:27">
      <c r="AA9554" s="158" t="s">
        <v>867</v>
      </c>
    </row>
    <row r="9555" spans="27:27">
      <c r="AA9555" s="158" t="s">
        <v>868</v>
      </c>
    </row>
    <row r="9556" spans="27:27">
      <c r="AA9556" s="158" t="s">
        <v>10876</v>
      </c>
    </row>
    <row r="9557" spans="27:27">
      <c r="AA9557" s="158" t="s">
        <v>2727</v>
      </c>
    </row>
    <row r="9558" spans="27:27">
      <c r="AA9558" s="158" t="s">
        <v>3866</v>
      </c>
    </row>
    <row r="9559" spans="27:27">
      <c r="AA9559" s="158" t="s">
        <v>2728</v>
      </c>
    </row>
    <row r="9560" spans="27:27">
      <c r="AA9560" s="158" t="s">
        <v>3867</v>
      </c>
    </row>
    <row r="9561" spans="27:27">
      <c r="AA9561" s="158" t="s">
        <v>869</v>
      </c>
    </row>
    <row r="9562" spans="27:27">
      <c r="AA9562" s="158" t="s">
        <v>10877</v>
      </c>
    </row>
    <row r="9563" spans="27:27">
      <c r="AA9563" s="158" t="s">
        <v>870</v>
      </c>
    </row>
    <row r="9564" spans="27:27">
      <c r="AA9564" s="158" t="s">
        <v>10878</v>
      </c>
    </row>
    <row r="9565" spans="27:27">
      <c r="AA9565" s="158" t="s">
        <v>10879</v>
      </c>
    </row>
    <row r="9566" spans="27:27">
      <c r="AA9566" s="158" t="s">
        <v>10880</v>
      </c>
    </row>
    <row r="9567" spans="27:27">
      <c r="AA9567" s="158" t="s">
        <v>10881</v>
      </c>
    </row>
    <row r="9568" spans="27:27">
      <c r="AA9568" s="158" t="s">
        <v>871</v>
      </c>
    </row>
    <row r="9569" spans="27:27">
      <c r="AA9569" s="158" t="s">
        <v>10882</v>
      </c>
    </row>
    <row r="9570" spans="27:27">
      <c r="AA9570" s="158" t="s">
        <v>872</v>
      </c>
    </row>
    <row r="9571" spans="27:27">
      <c r="AA9571" s="158" t="s">
        <v>3868</v>
      </c>
    </row>
    <row r="9572" spans="27:27">
      <c r="AA9572" s="158" t="s">
        <v>10883</v>
      </c>
    </row>
    <row r="9573" spans="27:27">
      <c r="AA9573" s="158" t="s">
        <v>2729</v>
      </c>
    </row>
    <row r="9574" spans="27:27">
      <c r="AA9574" s="158" t="s">
        <v>3869</v>
      </c>
    </row>
    <row r="9575" spans="27:27">
      <c r="AA9575" s="158" t="s">
        <v>10884</v>
      </c>
    </row>
    <row r="9576" spans="27:27">
      <c r="AA9576" s="158" t="s">
        <v>3870</v>
      </c>
    </row>
    <row r="9577" spans="27:27">
      <c r="AA9577" s="158" t="s">
        <v>10885</v>
      </c>
    </row>
    <row r="9578" spans="27:27">
      <c r="AA9578" s="158" t="s">
        <v>10886</v>
      </c>
    </row>
    <row r="9579" spans="27:27">
      <c r="AA9579" s="158" t="s">
        <v>10887</v>
      </c>
    </row>
    <row r="9580" spans="27:27">
      <c r="AA9580" s="158" t="s">
        <v>10888</v>
      </c>
    </row>
    <row r="9581" spans="27:27">
      <c r="AA9581" s="158" t="s">
        <v>10889</v>
      </c>
    </row>
    <row r="9582" spans="27:27">
      <c r="AA9582" s="158" t="s">
        <v>10890</v>
      </c>
    </row>
    <row r="9583" spans="27:27">
      <c r="AA9583" s="158" t="s">
        <v>2730</v>
      </c>
    </row>
    <row r="9584" spans="27:27">
      <c r="AA9584" s="158" t="s">
        <v>10891</v>
      </c>
    </row>
    <row r="9585" spans="27:27">
      <c r="AA9585" s="158" t="s">
        <v>10892</v>
      </c>
    </row>
    <row r="9586" spans="27:27">
      <c r="AA9586" s="158" t="s">
        <v>10893</v>
      </c>
    </row>
    <row r="9587" spans="27:27">
      <c r="AA9587" s="158" t="s">
        <v>10894</v>
      </c>
    </row>
    <row r="9588" spans="27:27">
      <c r="AA9588" s="158" t="s">
        <v>10895</v>
      </c>
    </row>
    <row r="9589" spans="27:27">
      <c r="AA9589" s="158" t="s">
        <v>10896</v>
      </c>
    </row>
    <row r="9590" spans="27:27">
      <c r="AA9590" s="158" t="s">
        <v>2731</v>
      </c>
    </row>
    <row r="9591" spans="27:27">
      <c r="AA9591" s="158" t="s">
        <v>10897</v>
      </c>
    </row>
    <row r="9592" spans="27:27">
      <c r="AA9592" s="158" t="s">
        <v>10898</v>
      </c>
    </row>
    <row r="9593" spans="27:27">
      <c r="AA9593" s="158" t="s">
        <v>10899</v>
      </c>
    </row>
    <row r="9594" spans="27:27">
      <c r="AA9594" s="158" t="s">
        <v>2732</v>
      </c>
    </row>
    <row r="9595" spans="27:27">
      <c r="AA9595" s="158" t="s">
        <v>3871</v>
      </c>
    </row>
    <row r="9596" spans="27:27">
      <c r="AA9596" s="158" t="s">
        <v>10900</v>
      </c>
    </row>
    <row r="9597" spans="27:27">
      <c r="AA9597" s="158" t="s">
        <v>10901</v>
      </c>
    </row>
    <row r="9598" spans="27:27">
      <c r="AA9598" s="158" t="s">
        <v>10902</v>
      </c>
    </row>
    <row r="9599" spans="27:27">
      <c r="AA9599" s="158" t="s">
        <v>10903</v>
      </c>
    </row>
    <row r="9600" spans="27:27">
      <c r="AA9600" s="158" t="s">
        <v>2733</v>
      </c>
    </row>
    <row r="9601" spans="27:27">
      <c r="AA9601" s="158" t="s">
        <v>10904</v>
      </c>
    </row>
    <row r="9602" spans="27:27">
      <c r="AA9602" s="158" t="s">
        <v>10905</v>
      </c>
    </row>
    <row r="9603" spans="27:27">
      <c r="AA9603" s="158" t="s">
        <v>10906</v>
      </c>
    </row>
    <row r="9604" spans="27:27">
      <c r="AA9604" s="158" t="s">
        <v>10907</v>
      </c>
    </row>
    <row r="9605" spans="27:27">
      <c r="AA9605" s="158" t="s">
        <v>2734</v>
      </c>
    </row>
    <row r="9606" spans="27:27">
      <c r="AA9606" s="158" t="s">
        <v>10908</v>
      </c>
    </row>
    <row r="9607" spans="27:27">
      <c r="AA9607" s="158" t="s">
        <v>2735</v>
      </c>
    </row>
    <row r="9608" spans="27:27">
      <c r="AA9608" s="158" t="s">
        <v>10909</v>
      </c>
    </row>
    <row r="9609" spans="27:27">
      <c r="AA9609" s="158" t="s">
        <v>2736</v>
      </c>
    </row>
    <row r="9610" spans="27:27">
      <c r="AA9610" s="158" t="s">
        <v>10910</v>
      </c>
    </row>
    <row r="9611" spans="27:27">
      <c r="AA9611" s="158" t="s">
        <v>10911</v>
      </c>
    </row>
    <row r="9612" spans="27:27">
      <c r="AA9612" s="158" t="s">
        <v>2737</v>
      </c>
    </row>
    <row r="9613" spans="27:27">
      <c r="AA9613" s="158" t="s">
        <v>3872</v>
      </c>
    </row>
    <row r="9614" spans="27:27">
      <c r="AA9614" s="158" t="s">
        <v>2738</v>
      </c>
    </row>
    <row r="9615" spans="27:27">
      <c r="AA9615" s="158" t="s">
        <v>3873</v>
      </c>
    </row>
    <row r="9616" spans="27:27">
      <c r="AA9616" s="158" t="s">
        <v>10912</v>
      </c>
    </row>
    <row r="9617" spans="27:27">
      <c r="AA9617" s="158" t="s">
        <v>10913</v>
      </c>
    </row>
    <row r="9618" spans="27:27">
      <c r="AA9618" s="158" t="s">
        <v>10914</v>
      </c>
    </row>
    <row r="9619" spans="27:27">
      <c r="AA9619" s="158" t="s">
        <v>2739</v>
      </c>
    </row>
    <row r="9620" spans="27:27">
      <c r="AA9620" s="158" t="s">
        <v>3874</v>
      </c>
    </row>
    <row r="9621" spans="27:27">
      <c r="AA9621" s="158" t="s">
        <v>10915</v>
      </c>
    </row>
    <row r="9622" spans="27:27">
      <c r="AA9622" s="158" t="s">
        <v>10916</v>
      </c>
    </row>
    <row r="9623" spans="27:27">
      <c r="AA9623" s="158" t="s">
        <v>10917</v>
      </c>
    </row>
    <row r="9624" spans="27:27">
      <c r="AA9624" s="158" t="s">
        <v>2740</v>
      </c>
    </row>
    <row r="9625" spans="27:27">
      <c r="AA9625" s="158" t="s">
        <v>3875</v>
      </c>
    </row>
    <row r="9626" spans="27:27">
      <c r="AA9626" s="158" t="s">
        <v>10918</v>
      </c>
    </row>
    <row r="9627" spans="27:27">
      <c r="AA9627" s="158" t="s">
        <v>2741</v>
      </c>
    </row>
    <row r="9628" spans="27:27">
      <c r="AA9628" s="158" t="s">
        <v>10919</v>
      </c>
    </row>
    <row r="9629" spans="27:27">
      <c r="AA9629" s="158" t="s">
        <v>10920</v>
      </c>
    </row>
    <row r="9630" spans="27:27">
      <c r="AA9630" s="158" t="s">
        <v>10921</v>
      </c>
    </row>
    <row r="9631" spans="27:27">
      <c r="AA9631" s="158" t="s">
        <v>10922</v>
      </c>
    </row>
    <row r="9632" spans="27:27">
      <c r="AA9632" s="158" t="s">
        <v>10923</v>
      </c>
    </row>
    <row r="9633" spans="27:27">
      <c r="AA9633" s="158" t="s">
        <v>2742</v>
      </c>
    </row>
    <row r="9634" spans="27:27">
      <c r="AA9634" s="158" t="s">
        <v>3876</v>
      </c>
    </row>
    <row r="9635" spans="27:27">
      <c r="AA9635" s="158" t="s">
        <v>2743</v>
      </c>
    </row>
    <row r="9636" spans="27:27">
      <c r="AA9636" s="158" t="s">
        <v>10924</v>
      </c>
    </row>
    <row r="9637" spans="27:27">
      <c r="AA9637" s="158" t="s">
        <v>2744</v>
      </c>
    </row>
    <row r="9638" spans="27:27">
      <c r="AA9638" s="158" t="s">
        <v>10925</v>
      </c>
    </row>
    <row r="9639" spans="27:27">
      <c r="AA9639" s="158" t="s">
        <v>10926</v>
      </c>
    </row>
    <row r="9640" spans="27:27">
      <c r="AA9640" s="158" t="s">
        <v>10927</v>
      </c>
    </row>
    <row r="9641" spans="27:27">
      <c r="AA9641" s="158" t="s">
        <v>10928</v>
      </c>
    </row>
    <row r="9642" spans="27:27">
      <c r="AA9642" s="158" t="s">
        <v>10929</v>
      </c>
    </row>
    <row r="9643" spans="27:27">
      <c r="AA9643" s="158" t="s">
        <v>10930</v>
      </c>
    </row>
    <row r="9644" spans="27:27">
      <c r="AA9644" s="158" t="s">
        <v>2745</v>
      </c>
    </row>
    <row r="9645" spans="27:27">
      <c r="AA9645" s="158" t="s">
        <v>10931</v>
      </c>
    </row>
    <row r="9646" spans="27:27">
      <c r="AA9646" s="158" t="s">
        <v>2746</v>
      </c>
    </row>
    <row r="9647" spans="27:27">
      <c r="AA9647" s="158" t="s">
        <v>10932</v>
      </c>
    </row>
    <row r="9648" spans="27:27">
      <c r="AA9648" s="158" t="s">
        <v>10933</v>
      </c>
    </row>
    <row r="9649" spans="27:27">
      <c r="AA9649" s="158" t="s">
        <v>2747</v>
      </c>
    </row>
    <row r="9650" spans="27:27">
      <c r="AA9650" s="158" t="s">
        <v>3877</v>
      </c>
    </row>
    <row r="9651" spans="27:27">
      <c r="AA9651" s="158" t="s">
        <v>2748</v>
      </c>
    </row>
    <row r="9652" spans="27:27">
      <c r="AA9652" s="158" t="s">
        <v>10934</v>
      </c>
    </row>
    <row r="9653" spans="27:27">
      <c r="AA9653" s="158" t="s">
        <v>10935</v>
      </c>
    </row>
    <row r="9654" spans="27:27">
      <c r="AA9654" s="158" t="s">
        <v>10936</v>
      </c>
    </row>
    <row r="9655" spans="27:27">
      <c r="AA9655" s="158" t="s">
        <v>10937</v>
      </c>
    </row>
    <row r="9656" spans="27:27">
      <c r="AA9656" s="158" t="s">
        <v>10938</v>
      </c>
    </row>
    <row r="9657" spans="27:27">
      <c r="AA9657" s="158" t="s">
        <v>10939</v>
      </c>
    </row>
    <row r="9658" spans="27:27">
      <c r="AA9658" s="158" t="s">
        <v>10940</v>
      </c>
    </row>
    <row r="9659" spans="27:27">
      <c r="AA9659" s="158" t="s">
        <v>2749</v>
      </c>
    </row>
    <row r="9660" spans="27:27">
      <c r="AA9660" s="158" t="s">
        <v>10941</v>
      </c>
    </row>
    <row r="9661" spans="27:27">
      <c r="AA9661" s="158" t="s">
        <v>10942</v>
      </c>
    </row>
    <row r="9662" spans="27:27">
      <c r="AA9662" s="158" t="s">
        <v>10943</v>
      </c>
    </row>
    <row r="9663" spans="27:27">
      <c r="AA9663" s="158" t="s">
        <v>10944</v>
      </c>
    </row>
    <row r="9664" spans="27:27">
      <c r="AA9664" s="158" t="s">
        <v>2750</v>
      </c>
    </row>
    <row r="9665" spans="27:27">
      <c r="AA9665" s="158" t="s">
        <v>10945</v>
      </c>
    </row>
    <row r="9666" spans="27:27">
      <c r="AA9666" s="158" t="s">
        <v>3878</v>
      </c>
    </row>
    <row r="9667" spans="27:27">
      <c r="AA9667" s="158" t="s">
        <v>873</v>
      </c>
    </row>
    <row r="9668" spans="27:27">
      <c r="AA9668" s="158" t="s">
        <v>874</v>
      </c>
    </row>
    <row r="9669" spans="27:27">
      <c r="AA9669" s="158" t="s">
        <v>875</v>
      </c>
    </row>
    <row r="9670" spans="27:27">
      <c r="AA9670" s="158" t="s">
        <v>876</v>
      </c>
    </row>
    <row r="9671" spans="27:27">
      <c r="AA9671" s="158" t="s">
        <v>877</v>
      </c>
    </row>
    <row r="9672" spans="27:27">
      <c r="AA9672" s="158" t="s">
        <v>878</v>
      </c>
    </row>
    <row r="9673" spans="27:27">
      <c r="AA9673" s="158" t="s">
        <v>879</v>
      </c>
    </row>
    <row r="9674" spans="27:27">
      <c r="AA9674" s="158" t="s">
        <v>880</v>
      </c>
    </row>
    <row r="9675" spans="27:27">
      <c r="AA9675" s="158" t="s">
        <v>881</v>
      </c>
    </row>
    <row r="9676" spans="27:27">
      <c r="AA9676" s="158" t="s">
        <v>10946</v>
      </c>
    </row>
    <row r="9677" spans="27:27">
      <c r="AA9677" s="158" t="s">
        <v>882</v>
      </c>
    </row>
    <row r="9678" spans="27:27">
      <c r="AA9678" s="158" t="s">
        <v>883</v>
      </c>
    </row>
    <row r="9679" spans="27:27">
      <c r="AA9679" s="158" t="s">
        <v>884</v>
      </c>
    </row>
    <row r="9680" spans="27:27">
      <c r="AA9680" s="158" t="s">
        <v>10947</v>
      </c>
    </row>
    <row r="9681" spans="27:27">
      <c r="AA9681" s="158" t="s">
        <v>10948</v>
      </c>
    </row>
    <row r="9682" spans="27:27">
      <c r="AA9682" s="158" t="s">
        <v>10949</v>
      </c>
    </row>
    <row r="9683" spans="27:27">
      <c r="AA9683" s="158" t="s">
        <v>10950</v>
      </c>
    </row>
    <row r="9684" spans="27:27">
      <c r="AA9684" s="158" t="s">
        <v>10951</v>
      </c>
    </row>
    <row r="9685" spans="27:27">
      <c r="AA9685" s="158" t="s">
        <v>10952</v>
      </c>
    </row>
    <row r="9686" spans="27:27">
      <c r="AA9686" s="158" t="s">
        <v>10953</v>
      </c>
    </row>
    <row r="9687" spans="27:27">
      <c r="AA9687" s="158" t="s">
        <v>10954</v>
      </c>
    </row>
    <row r="9688" spans="27:27">
      <c r="AA9688" s="158" t="s">
        <v>10955</v>
      </c>
    </row>
    <row r="9689" spans="27:27">
      <c r="AA9689" s="158" t="s">
        <v>10956</v>
      </c>
    </row>
    <row r="9690" spans="27:27">
      <c r="AA9690" s="158" t="s">
        <v>10957</v>
      </c>
    </row>
    <row r="9691" spans="27:27">
      <c r="AA9691" s="158" t="s">
        <v>10958</v>
      </c>
    </row>
    <row r="9692" spans="27:27">
      <c r="AA9692" s="158" t="s">
        <v>10959</v>
      </c>
    </row>
    <row r="9693" spans="27:27">
      <c r="AA9693" s="158" t="s">
        <v>10960</v>
      </c>
    </row>
    <row r="9694" spans="27:27">
      <c r="AA9694" s="158" t="s">
        <v>10961</v>
      </c>
    </row>
    <row r="9695" spans="27:27">
      <c r="AA9695" s="158" t="s">
        <v>10962</v>
      </c>
    </row>
    <row r="9696" spans="27:27">
      <c r="AA9696" s="158" t="s">
        <v>885</v>
      </c>
    </row>
    <row r="9697" spans="27:27">
      <c r="AA9697" s="158" t="s">
        <v>10963</v>
      </c>
    </row>
    <row r="9698" spans="27:27">
      <c r="AA9698" s="158" t="s">
        <v>10964</v>
      </c>
    </row>
    <row r="9699" spans="27:27">
      <c r="AA9699" s="158" t="s">
        <v>886</v>
      </c>
    </row>
    <row r="9700" spans="27:27">
      <c r="AA9700" s="158" t="s">
        <v>10965</v>
      </c>
    </row>
    <row r="9701" spans="27:27">
      <c r="AA9701" s="158" t="s">
        <v>887</v>
      </c>
    </row>
    <row r="9702" spans="27:27">
      <c r="AA9702" s="158" t="s">
        <v>10966</v>
      </c>
    </row>
    <row r="9703" spans="27:27">
      <c r="AA9703" s="158" t="s">
        <v>888</v>
      </c>
    </row>
    <row r="9704" spans="27:27">
      <c r="AA9704" s="158" t="s">
        <v>10967</v>
      </c>
    </row>
    <row r="9705" spans="27:27">
      <c r="AA9705" s="158" t="s">
        <v>10968</v>
      </c>
    </row>
    <row r="9706" spans="27:27">
      <c r="AA9706" s="158" t="s">
        <v>889</v>
      </c>
    </row>
    <row r="9707" spans="27:27">
      <c r="AA9707" s="158" t="s">
        <v>890</v>
      </c>
    </row>
    <row r="9708" spans="27:27">
      <c r="AA9708" s="158" t="s">
        <v>891</v>
      </c>
    </row>
    <row r="9709" spans="27:27">
      <c r="AA9709" s="158" t="s">
        <v>892</v>
      </c>
    </row>
    <row r="9710" spans="27:27">
      <c r="AA9710" s="158" t="s">
        <v>10969</v>
      </c>
    </row>
    <row r="9711" spans="27:27">
      <c r="AA9711" s="158" t="s">
        <v>10970</v>
      </c>
    </row>
    <row r="9712" spans="27:27">
      <c r="AA9712" s="158" t="s">
        <v>10971</v>
      </c>
    </row>
    <row r="9713" spans="27:27">
      <c r="AA9713" s="158" t="s">
        <v>10972</v>
      </c>
    </row>
    <row r="9714" spans="27:27">
      <c r="AA9714" s="158" t="s">
        <v>10973</v>
      </c>
    </row>
    <row r="9715" spans="27:27">
      <c r="AA9715" s="158" t="s">
        <v>893</v>
      </c>
    </row>
    <row r="9716" spans="27:27">
      <c r="AA9716" s="158" t="s">
        <v>10974</v>
      </c>
    </row>
    <row r="9717" spans="27:27">
      <c r="AA9717" s="158" t="s">
        <v>10975</v>
      </c>
    </row>
    <row r="9718" spans="27:27">
      <c r="AA9718" s="158" t="s">
        <v>10976</v>
      </c>
    </row>
    <row r="9719" spans="27:27">
      <c r="AA9719" s="158" t="s">
        <v>10977</v>
      </c>
    </row>
    <row r="9720" spans="27:27">
      <c r="AA9720" s="158" t="s">
        <v>10978</v>
      </c>
    </row>
    <row r="9721" spans="27:27">
      <c r="AA9721" s="158" t="s">
        <v>10979</v>
      </c>
    </row>
    <row r="9722" spans="27:27">
      <c r="AA9722" s="158" t="s">
        <v>10980</v>
      </c>
    </row>
    <row r="9723" spans="27:27">
      <c r="AA9723" s="158" t="s">
        <v>894</v>
      </c>
    </row>
    <row r="9724" spans="27:27">
      <c r="AA9724" s="158" t="s">
        <v>895</v>
      </c>
    </row>
    <row r="9725" spans="27:27">
      <c r="AA9725" s="158" t="s">
        <v>896</v>
      </c>
    </row>
    <row r="9726" spans="27:27">
      <c r="AA9726" s="158" t="s">
        <v>10981</v>
      </c>
    </row>
    <row r="9727" spans="27:27">
      <c r="AA9727" s="158" t="s">
        <v>897</v>
      </c>
    </row>
    <row r="9728" spans="27:27">
      <c r="AA9728" s="158" t="s">
        <v>10982</v>
      </c>
    </row>
    <row r="9729" spans="27:27">
      <c r="AA9729" s="158" t="s">
        <v>10983</v>
      </c>
    </row>
    <row r="9730" spans="27:27">
      <c r="AA9730" s="158" t="s">
        <v>10984</v>
      </c>
    </row>
    <row r="9731" spans="27:27">
      <c r="AA9731" s="158" t="s">
        <v>10985</v>
      </c>
    </row>
    <row r="9732" spans="27:27">
      <c r="AA9732" s="158" t="s">
        <v>10986</v>
      </c>
    </row>
    <row r="9733" spans="27:27">
      <c r="AA9733" s="158" t="s">
        <v>898</v>
      </c>
    </row>
    <row r="9734" spans="27:27">
      <c r="AA9734" s="158" t="s">
        <v>10987</v>
      </c>
    </row>
    <row r="9735" spans="27:27">
      <c r="AA9735" s="158" t="s">
        <v>10988</v>
      </c>
    </row>
    <row r="9736" spans="27:27">
      <c r="AA9736" s="158" t="s">
        <v>10989</v>
      </c>
    </row>
    <row r="9737" spans="27:27">
      <c r="AA9737" s="158" t="s">
        <v>10990</v>
      </c>
    </row>
    <row r="9738" spans="27:27">
      <c r="AA9738" s="158" t="s">
        <v>10991</v>
      </c>
    </row>
    <row r="9739" spans="27:27">
      <c r="AA9739" s="158" t="s">
        <v>10992</v>
      </c>
    </row>
    <row r="9740" spans="27:27">
      <c r="AA9740" s="158" t="s">
        <v>10993</v>
      </c>
    </row>
    <row r="9741" spans="27:27">
      <c r="AA9741" s="158" t="s">
        <v>899</v>
      </c>
    </row>
    <row r="9742" spans="27:27">
      <c r="AA9742" s="158" t="s">
        <v>10994</v>
      </c>
    </row>
    <row r="9743" spans="27:27">
      <c r="AA9743" s="158" t="s">
        <v>900</v>
      </c>
    </row>
    <row r="9744" spans="27:27">
      <c r="AA9744" s="158" t="s">
        <v>901</v>
      </c>
    </row>
    <row r="9745" spans="27:27">
      <c r="AA9745" s="158" t="s">
        <v>902</v>
      </c>
    </row>
    <row r="9746" spans="27:27">
      <c r="AA9746" s="158" t="s">
        <v>903</v>
      </c>
    </row>
    <row r="9747" spans="27:27">
      <c r="AA9747" s="158" t="s">
        <v>904</v>
      </c>
    </row>
    <row r="9748" spans="27:27">
      <c r="AA9748" s="158" t="s">
        <v>10995</v>
      </c>
    </row>
    <row r="9749" spans="27:27">
      <c r="AA9749" s="158" t="s">
        <v>905</v>
      </c>
    </row>
    <row r="9750" spans="27:27">
      <c r="AA9750" s="158" t="s">
        <v>906</v>
      </c>
    </row>
    <row r="9751" spans="27:27">
      <c r="AA9751" s="158" t="s">
        <v>907</v>
      </c>
    </row>
    <row r="9752" spans="27:27">
      <c r="AA9752" s="158" t="s">
        <v>10996</v>
      </c>
    </row>
    <row r="9753" spans="27:27">
      <c r="AA9753" s="158" t="s">
        <v>10997</v>
      </c>
    </row>
    <row r="9754" spans="27:27">
      <c r="AA9754" s="158" t="s">
        <v>10998</v>
      </c>
    </row>
    <row r="9755" spans="27:27">
      <c r="AA9755" s="158" t="s">
        <v>10999</v>
      </c>
    </row>
    <row r="9756" spans="27:27">
      <c r="AA9756" s="158" t="s">
        <v>11000</v>
      </c>
    </row>
    <row r="9757" spans="27:27">
      <c r="AA9757" s="158" t="s">
        <v>908</v>
      </c>
    </row>
    <row r="9758" spans="27:27">
      <c r="AA9758" s="158" t="s">
        <v>11001</v>
      </c>
    </row>
    <row r="9759" spans="27:27">
      <c r="AA9759" s="158" t="s">
        <v>11002</v>
      </c>
    </row>
    <row r="9760" spans="27:27">
      <c r="AA9760" s="158" t="s">
        <v>909</v>
      </c>
    </row>
    <row r="9761" spans="27:27">
      <c r="AA9761" s="158" t="s">
        <v>11003</v>
      </c>
    </row>
    <row r="9762" spans="27:27">
      <c r="AA9762" s="158" t="s">
        <v>910</v>
      </c>
    </row>
    <row r="9763" spans="27:27">
      <c r="AA9763" s="158" t="s">
        <v>911</v>
      </c>
    </row>
    <row r="9764" spans="27:27">
      <c r="AA9764" s="158" t="s">
        <v>3879</v>
      </c>
    </row>
    <row r="9765" spans="27:27">
      <c r="AA9765" s="158" t="s">
        <v>11004</v>
      </c>
    </row>
    <row r="9766" spans="27:27">
      <c r="AA9766" s="158" t="s">
        <v>912</v>
      </c>
    </row>
    <row r="9767" spans="27:27">
      <c r="AA9767" s="158" t="s">
        <v>913</v>
      </c>
    </row>
    <row r="9768" spans="27:27">
      <c r="AA9768" s="158" t="s">
        <v>914</v>
      </c>
    </row>
    <row r="9769" spans="27:27">
      <c r="AA9769" s="158" t="s">
        <v>11005</v>
      </c>
    </row>
    <row r="9770" spans="27:27">
      <c r="AA9770" s="158" t="s">
        <v>11006</v>
      </c>
    </row>
    <row r="9771" spans="27:27">
      <c r="AA9771" s="158" t="s">
        <v>11007</v>
      </c>
    </row>
    <row r="9772" spans="27:27">
      <c r="AA9772" s="158" t="s">
        <v>11008</v>
      </c>
    </row>
    <row r="9773" spans="27:27">
      <c r="AA9773" s="158" t="s">
        <v>11009</v>
      </c>
    </row>
    <row r="9774" spans="27:27">
      <c r="AA9774" s="158" t="s">
        <v>11010</v>
      </c>
    </row>
    <row r="9775" spans="27:27">
      <c r="AA9775" s="158" t="s">
        <v>11011</v>
      </c>
    </row>
    <row r="9776" spans="27:27">
      <c r="AA9776" s="158" t="s">
        <v>11012</v>
      </c>
    </row>
    <row r="9777" spans="27:27">
      <c r="AA9777" s="158" t="s">
        <v>11013</v>
      </c>
    </row>
    <row r="9778" spans="27:27">
      <c r="AA9778" s="158" t="s">
        <v>11014</v>
      </c>
    </row>
    <row r="9779" spans="27:27">
      <c r="AA9779" s="158" t="s">
        <v>11015</v>
      </c>
    </row>
    <row r="9780" spans="27:27">
      <c r="AA9780" s="158" t="s">
        <v>11016</v>
      </c>
    </row>
    <row r="9781" spans="27:27">
      <c r="AA9781" s="158" t="s">
        <v>11017</v>
      </c>
    </row>
    <row r="9782" spans="27:27">
      <c r="AA9782" s="158" t="s">
        <v>11018</v>
      </c>
    </row>
    <row r="9783" spans="27:27">
      <c r="AA9783" s="158" t="s">
        <v>11019</v>
      </c>
    </row>
    <row r="9784" spans="27:27">
      <c r="AA9784" s="158" t="s">
        <v>11020</v>
      </c>
    </row>
    <row r="9785" spans="27:27">
      <c r="AA9785" s="158" t="s">
        <v>915</v>
      </c>
    </row>
    <row r="9786" spans="27:27">
      <c r="AA9786" s="158" t="s">
        <v>11021</v>
      </c>
    </row>
    <row r="9787" spans="27:27">
      <c r="AA9787" s="158" t="s">
        <v>11022</v>
      </c>
    </row>
    <row r="9788" spans="27:27">
      <c r="AA9788" s="158" t="s">
        <v>916</v>
      </c>
    </row>
    <row r="9789" spans="27:27">
      <c r="AA9789" s="158" t="s">
        <v>11023</v>
      </c>
    </row>
    <row r="9790" spans="27:27">
      <c r="AA9790" s="158" t="s">
        <v>917</v>
      </c>
    </row>
    <row r="9791" spans="27:27">
      <c r="AA9791" s="158" t="s">
        <v>11024</v>
      </c>
    </row>
    <row r="9792" spans="27:27">
      <c r="AA9792" s="158" t="s">
        <v>918</v>
      </c>
    </row>
    <row r="9793" spans="27:27">
      <c r="AA9793" s="158" t="s">
        <v>11025</v>
      </c>
    </row>
    <row r="9794" spans="27:27">
      <c r="AA9794" s="158" t="s">
        <v>11026</v>
      </c>
    </row>
    <row r="9795" spans="27:27">
      <c r="AA9795" s="158" t="s">
        <v>919</v>
      </c>
    </row>
    <row r="9796" spans="27:27">
      <c r="AA9796" s="158" t="s">
        <v>920</v>
      </c>
    </row>
    <row r="9797" spans="27:27">
      <c r="AA9797" s="158" t="s">
        <v>921</v>
      </c>
    </row>
    <row r="9798" spans="27:27">
      <c r="AA9798" s="158" t="s">
        <v>3880</v>
      </c>
    </row>
    <row r="9799" spans="27:27">
      <c r="AA9799" s="158" t="s">
        <v>11027</v>
      </c>
    </row>
    <row r="9800" spans="27:27">
      <c r="AA9800" s="158" t="s">
        <v>11028</v>
      </c>
    </row>
    <row r="9801" spans="27:27">
      <c r="AA9801" s="158" t="s">
        <v>11029</v>
      </c>
    </row>
    <row r="9802" spans="27:27">
      <c r="AA9802" s="158" t="s">
        <v>11030</v>
      </c>
    </row>
    <row r="9803" spans="27:27">
      <c r="AA9803" s="158" t="s">
        <v>11031</v>
      </c>
    </row>
    <row r="9804" spans="27:27">
      <c r="AA9804" s="158" t="s">
        <v>922</v>
      </c>
    </row>
    <row r="9805" spans="27:27">
      <c r="AA9805" s="158" t="s">
        <v>11032</v>
      </c>
    </row>
    <row r="9806" spans="27:27">
      <c r="AA9806" s="158" t="s">
        <v>11033</v>
      </c>
    </row>
    <row r="9807" spans="27:27">
      <c r="AA9807" s="158" t="s">
        <v>11034</v>
      </c>
    </row>
    <row r="9808" spans="27:27">
      <c r="AA9808" s="158" t="s">
        <v>11035</v>
      </c>
    </row>
    <row r="9809" spans="27:27">
      <c r="AA9809" s="158" t="s">
        <v>11036</v>
      </c>
    </row>
    <row r="9810" spans="27:27">
      <c r="AA9810" s="158" t="s">
        <v>11037</v>
      </c>
    </row>
    <row r="9811" spans="27:27">
      <c r="AA9811" s="158" t="s">
        <v>11038</v>
      </c>
    </row>
    <row r="9812" spans="27:27">
      <c r="AA9812" s="158" t="s">
        <v>923</v>
      </c>
    </row>
    <row r="9813" spans="27:27">
      <c r="AA9813" s="158" t="s">
        <v>924</v>
      </c>
    </row>
    <row r="9814" spans="27:27">
      <c r="AA9814" s="158" t="s">
        <v>925</v>
      </c>
    </row>
    <row r="9815" spans="27:27">
      <c r="AA9815" s="158" t="s">
        <v>11039</v>
      </c>
    </row>
    <row r="9816" spans="27:27">
      <c r="AA9816" s="158" t="s">
        <v>926</v>
      </c>
    </row>
    <row r="9817" spans="27:27">
      <c r="AA9817" s="158" t="s">
        <v>11040</v>
      </c>
    </row>
    <row r="9818" spans="27:27">
      <c r="AA9818" s="158" t="s">
        <v>11041</v>
      </c>
    </row>
    <row r="9819" spans="27:27">
      <c r="AA9819" s="158" t="s">
        <v>11042</v>
      </c>
    </row>
    <row r="9820" spans="27:27">
      <c r="AA9820" s="158" t="s">
        <v>11043</v>
      </c>
    </row>
    <row r="9821" spans="27:27">
      <c r="AA9821" s="158" t="s">
        <v>11044</v>
      </c>
    </row>
    <row r="9822" spans="27:27">
      <c r="AA9822" s="158" t="s">
        <v>11045</v>
      </c>
    </row>
    <row r="9823" spans="27:27">
      <c r="AA9823" s="158" t="s">
        <v>11046</v>
      </c>
    </row>
    <row r="9824" spans="27:27">
      <c r="AA9824" s="158" t="s">
        <v>11047</v>
      </c>
    </row>
    <row r="9825" spans="27:27">
      <c r="AA9825" s="158" t="s">
        <v>11048</v>
      </c>
    </row>
    <row r="9826" spans="27:27">
      <c r="AA9826" s="158" t="s">
        <v>11049</v>
      </c>
    </row>
    <row r="9827" spans="27:27">
      <c r="AA9827" s="158" t="s">
        <v>11050</v>
      </c>
    </row>
    <row r="9828" spans="27:27">
      <c r="AA9828" s="158" t="s">
        <v>11051</v>
      </c>
    </row>
    <row r="9829" spans="27:27">
      <c r="AA9829" s="158" t="s">
        <v>11052</v>
      </c>
    </row>
    <row r="9830" spans="27:27">
      <c r="AA9830" s="158" t="s">
        <v>11053</v>
      </c>
    </row>
    <row r="9831" spans="27:27">
      <c r="AA9831" s="158" t="s">
        <v>11054</v>
      </c>
    </row>
    <row r="9832" spans="27:27">
      <c r="AA9832" s="158" t="s">
        <v>927</v>
      </c>
    </row>
    <row r="9833" spans="27:27">
      <c r="AA9833" s="158" t="s">
        <v>928</v>
      </c>
    </row>
    <row r="9834" spans="27:27">
      <c r="AA9834" s="158" t="s">
        <v>929</v>
      </c>
    </row>
    <row r="9835" spans="27:27">
      <c r="AA9835" s="158" t="s">
        <v>930</v>
      </c>
    </row>
    <row r="9836" spans="27:27">
      <c r="AA9836" s="158" t="s">
        <v>931</v>
      </c>
    </row>
    <row r="9837" spans="27:27">
      <c r="AA9837" s="158" t="s">
        <v>11055</v>
      </c>
    </row>
    <row r="9838" spans="27:27">
      <c r="AA9838" s="158" t="s">
        <v>932</v>
      </c>
    </row>
    <row r="9839" spans="27:27">
      <c r="AA9839" s="158" t="s">
        <v>933</v>
      </c>
    </row>
    <row r="9840" spans="27:27">
      <c r="AA9840" s="158" t="s">
        <v>934</v>
      </c>
    </row>
    <row r="9841" spans="27:27">
      <c r="AA9841" s="158" t="s">
        <v>11056</v>
      </c>
    </row>
    <row r="9842" spans="27:27">
      <c r="AA9842" s="158" t="s">
        <v>11057</v>
      </c>
    </row>
    <row r="9843" spans="27:27">
      <c r="AA9843" s="158" t="s">
        <v>11058</v>
      </c>
    </row>
    <row r="9844" spans="27:27">
      <c r="AA9844" s="158" t="s">
        <v>11059</v>
      </c>
    </row>
    <row r="9845" spans="27:27">
      <c r="AA9845" s="158" t="s">
        <v>11060</v>
      </c>
    </row>
    <row r="9846" spans="27:27">
      <c r="AA9846" s="158" t="s">
        <v>935</v>
      </c>
    </row>
    <row r="9847" spans="27:27">
      <c r="AA9847" s="158" t="s">
        <v>11061</v>
      </c>
    </row>
    <row r="9848" spans="27:27">
      <c r="AA9848" s="158" t="s">
        <v>11062</v>
      </c>
    </row>
    <row r="9849" spans="27:27">
      <c r="AA9849" s="158" t="s">
        <v>936</v>
      </c>
    </row>
    <row r="9850" spans="27:27">
      <c r="AA9850" s="158" t="s">
        <v>11063</v>
      </c>
    </row>
    <row r="9851" spans="27:27">
      <c r="AA9851" s="158" t="s">
        <v>11064</v>
      </c>
    </row>
    <row r="9852" spans="27:27">
      <c r="AA9852" s="158" t="s">
        <v>937</v>
      </c>
    </row>
    <row r="9853" spans="27:27">
      <c r="AA9853" s="158" t="s">
        <v>11065</v>
      </c>
    </row>
    <row r="9854" spans="27:27">
      <c r="AA9854" s="158" t="s">
        <v>11066</v>
      </c>
    </row>
    <row r="9855" spans="27:27">
      <c r="AA9855" s="158" t="s">
        <v>938</v>
      </c>
    </row>
    <row r="9856" spans="27:27">
      <c r="AA9856" s="158" t="s">
        <v>11067</v>
      </c>
    </row>
    <row r="9857" spans="27:27">
      <c r="AA9857" s="158" t="s">
        <v>11068</v>
      </c>
    </row>
    <row r="9858" spans="27:27">
      <c r="AA9858" s="158" t="s">
        <v>939</v>
      </c>
    </row>
    <row r="9859" spans="27:27">
      <c r="AA9859" s="158" t="s">
        <v>940</v>
      </c>
    </row>
    <row r="9860" spans="27:27">
      <c r="AA9860" s="158" t="s">
        <v>11069</v>
      </c>
    </row>
    <row r="9861" spans="27:27">
      <c r="AA9861" s="158" t="s">
        <v>941</v>
      </c>
    </row>
    <row r="9862" spans="27:27">
      <c r="AA9862" s="158" t="s">
        <v>11070</v>
      </c>
    </row>
    <row r="9863" spans="27:27">
      <c r="AA9863" s="158" t="s">
        <v>11071</v>
      </c>
    </row>
    <row r="9864" spans="27:27">
      <c r="AA9864" s="158" t="s">
        <v>942</v>
      </c>
    </row>
    <row r="9865" spans="27:27">
      <c r="AA9865" s="158" t="s">
        <v>11072</v>
      </c>
    </row>
    <row r="9866" spans="27:27">
      <c r="AA9866" s="158" t="s">
        <v>11073</v>
      </c>
    </row>
    <row r="9867" spans="27:27">
      <c r="AA9867" s="158" t="s">
        <v>11074</v>
      </c>
    </row>
    <row r="9868" spans="27:27">
      <c r="AA9868" s="158" t="s">
        <v>943</v>
      </c>
    </row>
    <row r="9869" spans="27:27">
      <c r="AA9869" s="158" t="s">
        <v>11075</v>
      </c>
    </row>
    <row r="9870" spans="27:27">
      <c r="AA9870" s="158" t="s">
        <v>944</v>
      </c>
    </row>
    <row r="9871" spans="27:27">
      <c r="AA9871" s="158" t="s">
        <v>11076</v>
      </c>
    </row>
    <row r="9872" spans="27:27">
      <c r="AA9872" s="158" t="s">
        <v>11077</v>
      </c>
    </row>
    <row r="9873" spans="27:27">
      <c r="AA9873" s="158" t="s">
        <v>945</v>
      </c>
    </row>
    <row r="9874" spans="27:27">
      <c r="AA9874" s="158" t="s">
        <v>11078</v>
      </c>
    </row>
    <row r="9875" spans="27:27">
      <c r="AA9875" s="158" t="s">
        <v>946</v>
      </c>
    </row>
    <row r="9876" spans="27:27">
      <c r="AA9876" s="158" t="s">
        <v>11079</v>
      </c>
    </row>
    <row r="9877" spans="27:27">
      <c r="AA9877" s="158" t="s">
        <v>947</v>
      </c>
    </row>
    <row r="9878" spans="27:27">
      <c r="AA9878" s="158" t="s">
        <v>11080</v>
      </c>
    </row>
    <row r="9879" spans="27:27">
      <c r="AA9879" s="158" t="s">
        <v>11081</v>
      </c>
    </row>
    <row r="9880" spans="27:27">
      <c r="AA9880" s="158" t="s">
        <v>948</v>
      </c>
    </row>
    <row r="9881" spans="27:27">
      <c r="AA9881" s="158" t="s">
        <v>949</v>
      </c>
    </row>
    <row r="9882" spans="27:27">
      <c r="AA9882" s="158" t="s">
        <v>950</v>
      </c>
    </row>
    <row r="9883" spans="27:27">
      <c r="AA9883" s="158" t="s">
        <v>11082</v>
      </c>
    </row>
    <row r="9884" spans="27:27">
      <c r="AA9884" s="158" t="s">
        <v>951</v>
      </c>
    </row>
    <row r="9885" spans="27:27">
      <c r="AA9885" s="158" t="s">
        <v>11083</v>
      </c>
    </row>
    <row r="9886" spans="27:27">
      <c r="AA9886" s="158" t="s">
        <v>952</v>
      </c>
    </row>
    <row r="9887" spans="27:27">
      <c r="AA9887" s="158" t="s">
        <v>953</v>
      </c>
    </row>
    <row r="9888" spans="27:27">
      <c r="AA9888" s="158" t="s">
        <v>954</v>
      </c>
    </row>
    <row r="9889" spans="27:27">
      <c r="AA9889" s="158" t="s">
        <v>11084</v>
      </c>
    </row>
    <row r="9890" spans="27:27">
      <c r="AA9890" s="158" t="s">
        <v>11085</v>
      </c>
    </row>
    <row r="9891" spans="27:27">
      <c r="AA9891" s="158" t="s">
        <v>11086</v>
      </c>
    </row>
    <row r="9892" spans="27:27">
      <c r="AA9892" s="158" t="s">
        <v>11087</v>
      </c>
    </row>
    <row r="9893" spans="27:27">
      <c r="AA9893" s="158" t="s">
        <v>11088</v>
      </c>
    </row>
    <row r="9894" spans="27:27">
      <c r="AA9894" s="158" t="s">
        <v>955</v>
      </c>
    </row>
    <row r="9895" spans="27:27">
      <c r="AA9895" s="158" t="s">
        <v>11089</v>
      </c>
    </row>
    <row r="9896" spans="27:27">
      <c r="AA9896" s="158" t="s">
        <v>11090</v>
      </c>
    </row>
    <row r="9897" spans="27:27">
      <c r="AA9897" s="158" t="s">
        <v>11091</v>
      </c>
    </row>
    <row r="9898" spans="27:27">
      <c r="AA9898" s="158" t="s">
        <v>11092</v>
      </c>
    </row>
    <row r="9899" spans="27:27">
      <c r="AA9899" s="158" t="s">
        <v>11093</v>
      </c>
    </row>
    <row r="9900" spans="27:27">
      <c r="AA9900" s="158" t="s">
        <v>11094</v>
      </c>
    </row>
    <row r="9901" spans="27:27">
      <c r="AA9901" s="158" t="s">
        <v>11095</v>
      </c>
    </row>
    <row r="9902" spans="27:27">
      <c r="AA9902" s="158" t="s">
        <v>11096</v>
      </c>
    </row>
    <row r="9903" spans="27:27">
      <c r="AA9903" s="158" t="s">
        <v>956</v>
      </c>
    </row>
    <row r="9904" spans="27:27">
      <c r="AA9904" s="158" t="s">
        <v>957</v>
      </c>
    </row>
    <row r="9905" spans="27:27">
      <c r="AA9905" s="158" t="s">
        <v>958</v>
      </c>
    </row>
    <row r="9906" spans="27:27">
      <c r="AA9906" s="158" t="s">
        <v>11097</v>
      </c>
    </row>
    <row r="9907" spans="27:27">
      <c r="AA9907" s="158" t="s">
        <v>959</v>
      </c>
    </row>
    <row r="9908" spans="27:27">
      <c r="AA9908" s="158" t="s">
        <v>11098</v>
      </c>
    </row>
    <row r="9909" spans="27:27">
      <c r="AA9909" s="158" t="s">
        <v>11099</v>
      </c>
    </row>
    <row r="9910" spans="27:27">
      <c r="AA9910" s="158" t="s">
        <v>11100</v>
      </c>
    </row>
    <row r="9911" spans="27:27">
      <c r="AA9911" s="158" t="s">
        <v>11101</v>
      </c>
    </row>
    <row r="9912" spans="27:27">
      <c r="AA9912" s="158" t="s">
        <v>11102</v>
      </c>
    </row>
    <row r="9913" spans="27:27">
      <c r="AA9913" s="158" t="s">
        <v>960</v>
      </c>
    </row>
    <row r="9914" spans="27:27">
      <c r="AA9914" s="158" t="s">
        <v>11103</v>
      </c>
    </row>
    <row r="9915" spans="27:27">
      <c r="AA9915" s="158" t="s">
        <v>11104</v>
      </c>
    </row>
    <row r="9916" spans="27:27">
      <c r="AA9916" s="158" t="s">
        <v>11105</v>
      </c>
    </row>
    <row r="9917" spans="27:27">
      <c r="AA9917" s="158" t="s">
        <v>11106</v>
      </c>
    </row>
    <row r="9918" spans="27:27">
      <c r="AA9918" s="158" t="s">
        <v>11107</v>
      </c>
    </row>
    <row r="9919" spans="27:27">
      <c r="AA9919" s="158" t="s">
        <v>11108</v>
      </c>
    </row>
    <row r="9920" spans="27:27">
      <c r="AA9920" s="158" t="s">
        <v>11109</v>
      </c>
    </row>
    <row r="9921" spans="27:27">
      <c r="AA9921" s="158" t="s">
        <v>961</v>
      </c>
    </row>
    <row r="9922" spans="27:27">
      <c r="AA9922" s="158" t="s">
        <v>11110</v>
      </c>
    </row>
    <row r="9923" spans="27:27">
      <c r="AA9923" s="158" t="s">
        <v>962</v>
      </c>
    </row>
    <row r="9924" spans="27:27">
      <c r="AA9924" s="158" t="s">
        <v>963</v>
      </c>
    </row>
    <row r="9925" spans="27:27">
      <c r="AA9925" s="158" t="s">
        <v>964</v>
      </c>
    </row>
    <row r="9926" spans="27:27">
      <c r="AA9926" s="158" t="s">
        <v>965</v>
      </c>
    </row>
    <row r="9927" spans="27:27">
      <c r="AA9927" s="158" t="s">
        <v>966</v>
      </c>
    </row>
    <row r="9928" spans="27:27">
      <c r="AA9928" s="158" t="s">
        <v>11111</v>
      </c>
    </row>
    <row r="9929" spans="27:27">
      <c r="AA9929" s="158" t="s">
        <v>967</v>
      </c>
    </row>
    <row r="9930" spans="27:27">
      <c r="AA9930" s="158" t="s">
        <v>968</v>
      </c>
    </row>
    <row r="9931" spans="27:27">
      <c r="AA9931" s="158" t="s">
        <v>969</v>
      </c>
    </row>
    <row r="9932" spans="27:27">
      <c r="AA9932" s="158" t="s">
        <v>11112</v>
      </c>
    </row>
    <row r="9933" spans="27:27">
      <c r="AA9933" s="158" t="s">
        <v>11113</v>
      </c>
    </row>
    <row r="9934" spans="27:27">
      <c r="AA9934" s="158" t="s">
        <v>11114</v>
      </c>
    </row>
    <row r="9935" spans="27:27">
      <c r="AA9935" s="158" t="s">
        <v>11115</v>
      </c>
    </row>
    <row r="9936" spans="27:27">
      <c r="AA9936" s="158" t="s">
        <v>11116</v>
      </c>
    </row>
    <row r="9937" spans="27:27">
      <c r="AA9937" s="158" t="s">
        <v>970</v>
      </c>
    </row>
    <row r="9938" spans="27:27">
      <c r="AA9938" s="158" t="s">
        <v>11117</v>
      </c>
    </row>
    <row r="9939" spans="27:27">
      <c r="AA9939" s="158" t="s">
        <v>11118</v>
      </c>
    </row>
    <row r="9940" spans="27:27">
      <c r="AA9940" s="158" t="s">
        <v>971</v>
      </c>
    </row>
    <row r="9941" spans="27:27">
      <c r="AA9941" s="158" t="s">
        <v>11119</v>
      </c>
    </row>
    <row r="9942" spans="27:27">
      <c r="AA9942" s="158" t="s">
        <v>972</v>
      </c>
    </row>
    <row r="9943" spans="27:27">
      <c r="AA9943" s="158" t="s">
        <v>3881</v>
      </c>
    </row>
    <row r="9944" spans="27:27">
      <c r="AA9944" s="158" t="s">
        <v>3882</v>
      </c>
    </row>
    <row r="9945" spans="27:27">
      <c r="AA9945" s="158" t="s">
        <v>11120</v>
      </c>
    </row>
    <row r="9946" spans="27:27">
      <c r="AA9946" s="158" t="s">
        <v>973</v>
      </c>
    </row>
    <row r="9947" spans="27:27">
      <c r="AA9947" s="158" t="s">
        <v>3883</v>
      </c>
    </row>
    <row r="9948" spans="27:27">
      <c r="AA9948" s="158" t="s">
        <v>974</v>
      </c>
    </row>
    <row r="9949" spans="27:27">
      <c r="AA9949" s="158" t="s">
        <v>11121</v>
      </c>
    </row>
    <row r="9950" spans="27:27">
      <c r="AA9950" s="158" t="s">
        <v>975</v>
      </c>
    </row>
    <row r="9951" spans="27:27">
      <c r="AA9951" s="158" t="s">
        <v>976</v>
      </c>
    </row>
    <row r="9952" spans="27:27">
      <c r="AA9952" s="158" t="s">
        <v>977</v>
      </c>
    </row>
    <row r="9953" spans="27:27">
      <c r="AA9953" s="158" t="s">
        <v>11122</v>
      </c>
    </row>
    <row r="9954" spans="27:27">
      <c r="AA9954" s="158" t="s">
        <v>11123</v>
      </c>
    </row>
    <row r="9955" spans="27:27">
      <c r="AA9955" s="158" t="s">
        <v>11124</v>
      </c>
    </row>
    <row r="9956" spans="27:27">
      <c r="AA9956" s="158" t="s">
        <v>11125</v>
      </c>
    </row>
    <row r="9957" spans="27:27">
      <c r="AA9957" s="158" t="s">
        <v>11126</v>
      </c>
    </row>
    <row r="9958" spans="27:27">
      <c r="AA9958" s="158" t="s">
        <v>978</v>
      </c>
    </row>
    <row r="9959" spans="27:27">
      <c r="AA9959" s="158" t="s">
        <v>11127</v>
      </c>
    </row>
    <row r="9960" spans="27:27">
      <c r="AA9960" s="158" t="s">
        <v>11128</v>
      </c>
    </row>
    <row r="9961" spans="27:27">
      <c r="AA9961" s="158" t="s">
        <v>11129</v>
      </c>
    </row>
    <row r="9962" spans="27:27">
      <c r="AA9962" s="158" t="s">
        <v>11130</v>
      </c>
    </row>
    <row r="9963" spans="27:27">
      <c r="AA9963" s="158" t="s">
        <v>11131</v>
      </c>
    </row>
    <row r="9964" spans="27:27">
      <c r="AA9964" s="158" t="s">
        <v>11132</v>
      </c>
    </row>
    <row r="9965" spans="27:27">
      <c r="AA9965" s="158" t="s">
        <v>11133</v>
      </c>
    </row>
    <row r="9966" spans="27:27">
      <c r="AA9966" s="158" t="s">
        <v>979</v>
      </c>
    </row>
    <row r="9967" spans="27:27">
      <c r="AA9967" s="158" t="s">
        <v>980</v>
      </c>
    </row>
    <row r="9968" spans="27:27">
      <c r="AA9968" s="158" t="s">
        <v>981</v>
      </c>
    </row>
    <row r="9969" spans="27:27">
      <c r="AA9969" s="158" t="s">
        <v>11134</v>
      </c>
    </row>
    <row r="9970" spans="27:27">
      <c r="AA9970" s="158" t="s">
        <v>982</v>
      </c>
    </row>
    <row r="9971" spans="27:27">
      <c r="AA9971" s="158" t="s">
        <v>11135</v>
      </c>
    </row>
    <row r="9972" spans="27:27">
      <c r="AA9972" s="158" t="s">
        <v>11136</v>
      </c>
    </row>
    <row r="9973" spans="27:27">
      <c r="AA9973" s="158" t="s">
        <v>11137</v>
      </c>
    </row>
    <row r="9974" spans="27:27">
      <c r="AA9974" s="158" t="s">
        <v>11138</v>
      </c>
    </row>
    <row r="9975" spans="27:27">
      <c r="AA9975" s="158" t="s">
        <v>11139</v>
      </c>
    </row>
    <row r="9976" spans="27:27">
      <c r="AA9976" s="158" t="s">
        <v>983</v>
      </c>
    </row>
    <row r="9977" spans="27:27">
      <c r="AA9977" s="158" t="s">
        <v>11140</v>
      </c>
    </row>
    <row r="9978" spans="27:27">
      <c r="AA9978" s="158" t="s">
        <v>11141</v>
      </c>
    </row>
    <row r="9979" spans="27:27">
      <c r="AA9979" s="158" t="s">
        <v>11142</v>
      </c>
    </row>
    <row r="9980" spans="27:27">
      <c r="AA9980" s="158" t="s">
        <v>11143</v>
      </c>
    </row>
    <row r="9981" spans="27:27">
      <c r="AA9981" s="158" t="s">
        <v>11144</v>
      </c>
    </row>
    <row r="9982" spans="27:27">
      <c r="AA9982" s="158" t="s">
        <v>11145</v>
      </c>
    </row>
    <row r="9983" spans="27:27">
      <c r="AA9983" s="158" t="s">
        <v>11146</v>
      </c>
    </row>
    <row r="9984" spans="27:27">
      <c r="AA9984" s="158" t="s">
        <v>984</v>
      </c>
    </row>
    <row r="9985" spans="27:27">
      <c r="AA9985" s="158" t="s">
        <v>11147</v>
      </c>
    </row>
    <row r="9986" spans="27:27">
      <c r="AA9986" s="158" t="s">
        <v>985</v>
      </c>
    </row>
    <row r="9987" spans="27:27">
      <c r="AA9987" s="158" t="s">
        <v>986</v>
      </c>
    </row>
    <row r="9988" spans="27:27">
      <c r="AA9988" s="158" t="s">
        <v>987</v>
      </c>
    </row>
    <row r="9989" spans="27:27">
      <c r="AA9989" s="158" t="s">
        <v>988</v>
      </c>
    </row>
    <row r="9990" spans="27:27">
      <c r="AA9990" s="158" t="s">
        <v>989</v>
      </c>
    </row>
    <row r="9991" spans="27:27">
      <c r="AA9991" s="158" t="s">
        <v>11148</v>
      </c>
    </row>
    <row r="9992" spans="27:27">
      <c r="AA9992" s="158" t="s">
        <v>990</v>
      </c>
    </row>
    <row r="9993" spans="27:27">
      <c r="AA9993" s="158" t="s">
        <v>991</v>
      </c>
    </row>
    <row r="9994" spans="27:27">
      <c r="AA9994" s="158" t="s">
        <v>992</v>
      </c>
    </row>
    <row r="9995" spans="27:27">
      <c r="AA9995" s="158" t="s">
        <v>11149</v>
      </c>
    </row>
    <row r="9996" spans="27:27">
      <c r="AA9996" s="158" t="s">
        <v>11150</v>
      </c>
    </row>
    <row r="9997" spans="27:27">
      <c r="AA9997" s="158" t="s">
        <v>11151</v>
      </c>
    </row>
    <row r="9998" spans="27:27">
      <c r="AA9998" s="158" t="s">
        <v>11152</v>
      </c>
    </row>
    <row r="9999" spans="27:27">
      <c r="AA9999" s="158" t="s">
        <v>11153</v>
      </c>
    </row>
    <row r="10000" spans="27:27">
      <c r="AA10000" s="158" t="s">
        <v>993</v>
      </c>
    </row>
    <row r="10001" spans="27:27">
      <c r="AA10001" s="158" t="s">
        <v>11154</v>
      </c>
    </row>
    <row r="10002" spans="27:27">
      <c r="AA10002" s="158" t="s">
        <v>11155</v>
      </c>
    </row>
    <row r="10003" spans="27:27">
      <c r="AA10003" s="158" t="s">
        <v>994</v>
      </c>
    </row>
    <row r="10004" spans="27:27">
      <c r="AA10004" s="158" t="s">
        <v>11156</v>
      </c>
    </row>
    <row r="10005" spans="27:27">
      <c r="AA10005" s="158" t="s">
        <v>995</v>
      </c>
    </row>
    <row r="10006" spans="27:27">
      <c r="AA10006" s="158" t="s">
        <v>11157</v>
      </c>
    </row>
    <row r="10007" spans="27:27">
      <c r="AA10007" s="158" t="s">
        <v>11158</v>
      </c>
    </row>
    <row r="10008" spans="27:27">
      <c r="AA10008" s="158" t="s">
        <v>996</v>
      </c>
    </row>
    <row r="10009" spans="27:27">
      <c r="AA10009" s="158" t="s">
        <v>11159</v>
      </c>
    </row>
    <row r="10010" spans="27:27">
      <c r="AA10010" s="158" t="s">
        <v>997</v>
      </c>
    </row>
    <row r="10011" spans="27:27">
      <c r="AA10011" s="158" t="s">
        <v>11160</v>
      </c>
    </row>
    <row r="10012" spans="27:27">
      <c r="AA10012" s="158" t="s">
        <v>998</v>
      </c>
    </row>
    <row r="10013" spans="27:27">
      <c r="AA10013" s="158" t="s">
        <v>999</v>
      </c>
    </row>
    <row r="10014" spans="27:27">
      <c r="AA10014" s="158" t="s">
        <v>1000</v>
      </c>
    </row>
    <row r="10015" spans="27:27">
      <c r="AA10015" s="158" t="s">
        <v>1001</v>
      </c>
    </row>
    <row r="10016" spans="27:27">
      <c r="AA10016" s="158" t="s">
        <v>1002</v>
      </c>
    </row>
    <row r="10017" spans="27:27">
      <c r="AA10017" s="158" t="s">
        <v>11161</v>
      </c>
    </row>
    <row r="10018" spans="27:27">
      <c r="AA10018" s="158" t="s">
        <v>11162</v>
      </c>
    </row>
    <row r="10019" spans="27:27">
      <c r="AA10019" s="158" t="s">
        <v>1003</v>
      </c>
    </row>
    <row r="10020" spans="27:27">
      <c r="AA10020" s="158" t="s">
        <v>11163</v>
      </c>
    </row>
    <row r="10021" spans="27:27">
      <c r="AA10021" s="158" t="s">
        <v>11164</v>
      </c>
    </row>
    <row r="10022" spans="27:27">
      <c r="AA10022" s="158" t="s">
        <v>11165</v>
      </c>
    </row>
    <row r="10023" spans="27:27">
      <c r="AA10023" s="158" t="s">
        <v>1004</v>
      </c>
    </row>
    <row r="10024" spans="27:27">
      <c r="AA10024" s="158" t="s">
        <v>1005</v>
      </c>
    </row>
    <row r="10025" spans="27:27">
      <c r="AA10025" s="158" t="s">
        <v>1006</v>
      </c>
    </row>
    <row r="10026" spans="27:27">
      <c r="AA10026" s="158" t="s">
        <v>1007</v>
      </c>
    </row>
    <row r="10027" spans="27:27">
      <c r="AA10027" s="158" t="s">
        <v>1008</v>
      </c>
    </row>
    <row r="10028" spans="27:27">
      <c r="AA10028" s="158" t="s">
        <v>1009</v>
      </c>
    </row>
    <row r="10029" spans="27:27">
      <c r="AA10029" s="158" t="s">
        <v>1010</v>
      </c>
    </row>
    <row r="10030" spans="27:27">
      <c r="AA10030" s="158" t="s">
        <v>1011</v>
      </c>
    </row>
    <row r="10031" spans="27:27">
      <c r="AA10031" s="158" t="s">
        <v>1012</v>
      </c>
    </row>
    <row r="10032" spans="27:27">
      <c r="AA10032" s="158" t="s">
        <v>1013</v>
      </c>
    </row>
    <row r="10033" spans="27:27">
      <c r="AA10033" s="158" t="s">
        <v>1014</v>
      </c>
    </row>
    <row r="10034" spans="27:27">
      <c r="AA10034" s="158" t="s">
        <v>1015</v>
      </c>
    </row>
    <row r="10035" spans="27:27">
      <c r="AA10035" s="158" t="s">
        <v>1016</v>
      </c>
    </row>
    <row r="10036" spans="27:27">
      <c r="AA10036" s="158" t="s">
        <v>1017</v>
      </c>
    </row>
    <row r="10037" spans="27:27">
      <c r="AA10037" s="158" t="s">
        <v>1018</v>
      </c>
    </row>
    <row r="10038" spans="27:27">
      <c r="AA10038" s="158" t="s">
        <v>1019</v>
      </c>
    </row>
    <row r="10039" spans="27:27">
      <c r="AA10039" s="158" t="s">
        <v>1020</v>
      </c>
    </row>
    <row r="10040" spans="27:27">
      <c r="AA10040" s="158" t="s">
        <v>1021</v>
      </c>
    </row>
    <row r="10041" spans="27:27">
      <c r="AA10041" s="158" t="s">
        <v>1022</v>
      </c>
    </row>
    <row r="10042" spans="27:27">
      <c r="AA10042" s="158" t="s">
        <v>1023</v>
      </c>
    </row>
    <row r="10043" spans="27:27">
      <c r="AA10043" s="158" t="s">
        <v>11166</v>
      </c>
    </row>
    <row r="10044" spans="27:27">
      <c r="AA10044" s="158" t="s">
        <v>11167</v>
      </c>
    </row>
    <row r="10045" spans="27:27">
      <c r="AA10045" s="158" t="s">
        <v>11168</v>
      </c>
    </row>
    <row r="10046" spans="27:27">
      <c r="AA10046" s="158" t="s">
        <v>1024</v>
      </c>
    </row>
    <row r="10047" spans="27:27">
      <c r="AA10047" s="158" t="s">
        <v>11169</v>
      </c>
    </row>
    <row r="10048" spans="27:27">
      <c r="AA10048" s="158" t="s">
        <v>1025</v>
      </c>
    </row>
    <row r="10049" spans="27:27">
      <c r="AA10049" s="158" t="s">
        <v>11170</v>
      </c>
    </row>
    <row r="10050" spans="27:27">
      <c r="AA10050" s="158" t="s">
        <v>11171</v>
      </c>
    </row>
    <row r="10051" spans="27:27">
      <c r="AA10051" s="158" t="s">
        <v>11172</v>
      </c>
    </row>
    <row r="10052" spans="27:27">
      <c r="AA10052" s="158" t="s">
        <v>11173</v>
      </c>
    </row>
    <row r="10053" spans="27:27">
      <c r="AA10053" s="158" t="s">
        <v>11174</v>
      </c>
    </row>
    <row r="10054" spans="27:27">
      <c r="AA10054" s="158" t="s">
        <v>11175</v>
      </c>
    </row>
    <row r="10055" spans="27:27">
      <c r="AA10055" s="158" t="s">
        <v>11176</v>
      </c>
    </row>
    <row r="10056" spans="27:27">
      <c r="AA10056" s="158" t="s">
        <v>11177</v>
      </c>
    </row>
    <row r="10057" spans="27:27">
      <c r="AA10057" s="158" t="s">
        <v>3356</v>
      </c>
    </row>
    <row r="10058" spans="27:27">
      <c r="AA10058" s="158" t="s">
        <v>11178</v>
      </c>
    </row>
    <row r="10059" spans="27:27">
      <c r="AA10059" s="158" t="s">
        <v>1026</v>
      </c>
    </row>
    <row r="10060" spans="27:27">
      <c r="AA10060" s="158" t="s">
        <v>11179</v>
      </c>
    </row>
    <row r="10061" spans="27:27">
      <c r="AA10061" s="158" t="s">
        <v>11180</v>
      </c>
    </row>
    <row r="10062" spans="27:27">
      <c r="AA10062" s="158" t="s">
        <v>11181</v>
      </c>
    </row>
    <row r="10063" spans="27:27">
      <c r="AA10063" s="158" t="s">
        <v>11182</v>
      </c>
    </row>
    <row r="10064" spans="27:27">
      <c r="AA10064" s="158" t="s">
        <v>11183</v>
      </c>
    </row>
    <row r="10065" spans="27:27">
      <c r="AA10065" s="158" t="s">
        <v>11184</v>
      </c>
    </row>
    <row r="10066" spans="27:27">
      <c r="AA10066" s="158" t="s">
        <v>11185</v>
      </c>
    </row>
    <row r="10067" spans="27:27">
      <c r="AA10067" s="158" t="s">
        <v>1027</v>
      </c>
    </row>
    <row r="10068" spans="27:27">
      <c r="AA10068" s="158" t="s">
        <v>11186</v>
      </c>
    </row>
    <row r="10069" spans="27:27">
      <c r="AA10069" s="158" t="s">
        <v>1028</v>
      </c>
    </row>
    <row r="10070" spans="27:27">
      <c r="AA10070" s="158" t="s">
        <v>11187</v>
      </c>
    </row>
    <row r="10071" spans="27:27">
      <c r="AA10071" s="158" t="s">
        <v>1029</v>
      </c>
    </row>
    <row r="10072" spans="27:27">
      <c r="AA10072" s="158" t="s">
        <v>11188</v>
      </c>
    </row>
    <row r="10073" spans="27:27">
      <c r="AA10073" s="158" t="s">
        <v>11189</v>
      </c>
    </row>
    <row r="10074" spans="27:27">
      <c r="AA10074" s="158" t="s">
        <v>11190</v>
      </c>
    </row>
    <row r="10075" spans="27:27">
      <c r="AA10075" s="158" t="s">
        <v>11191</v>
      </c>
    </row>
    <row r="10076" spans="27:27">
      <c r="AA10076" s="158" t="s">
        <v>11192</v>
      </c>
    </row>
    <row r="10077" spans="27:27">
      <c r="AA10077" s="158" t="s">
        <v>11193</v>
      </c>
    </row>
    <row r="10078" spans="27:27">
      <c r="AA10078" s="158" t="s">
        <v>11194</v>
      </c>
    </row>
    <row r="10079" spans="27:27">
      <c r="AA10079" s="158" t="s">
        <v>1030</v>
      </c>
    </row>
    <row r="10080" spans="27:27">
      <c r="AA10080" s="158" t="s">
        <v>11195</v>
      </c>
    </row>
    <row r="10081" spans="27:27">
      <c r="AA10081" s="158" t="s">
        <v>1031</v>
      </c>
    </row>
    <row r="10082" spans="27:27">
      <c r="AA10082" s="158" t="s">
        <v>11196</v>
      </c>
    </row>
    <row r="10083" spans="27:27">
      <c r="AA10083" s="158" t="s">
        <v>1032</v>
      </c>
    </row>
    <row r="10084" spans="27:27">
      <c r="AA10084" s="158" t="s">
        <v>3884</v>
      </c>
    </row>
    <row r="10085" spans="27:27">
      <c r="AA10085" s="158" t="s">
        <v>1033</v>
      </c>
    </row>
    <row r="10086" spans="27:27">
      <c r="AA10086" s="158" t="s">
        <v>1034</v>
      </c>
    </row>
    <row r="10087" spans="27:27">
      <c r="AA10087" s="158" t="s">
        <v>11197</v>
      </c>
    </row>
    <row r="10088" spans="27:27">
      <c r="AA10088" s="158" t="s">
        <v>1035</v>
      </c>
    </row>
    <row r="10089" spans="27:27">
      <c r="AA10089" s="158" t="s">
        <v>1036</v>
      </c>
    </row>
    <row r="10090" spans="27:27">
      <c r="AA10090" s="158" t="s">
        <v>11198</v>
      </c>
    </row>
    <row r="10091" spans="27:27">
      <c r="AA10091" s="158" t="s">
        <v>11199</v>
      </c>
    </row>
    <row r="10092" spans="27:27">
      <c r="AA10092" s="158" t="s">
        <v>11200</v>
      </c>
    </row>
    <row r="10093" spans="27:27">
      <c r="AA10093" s="158" t="s">
        <v>11201</v>
      </c>
    </row>
    <row r="10094" spans="27:27">
      <c r="AA10094" s="158" t="s">
        <v>11202</v>
      </c>
    </row>
    <row r="10095" spans="27:27">
      <c r="AA10095" s="158" t="s">
        <v>11203</v>
      </c>
    </row>
    <row r="10096" spans="27:27">
      <c r="AA10096" s="158" t="s">
        <v>11204</v>
      </c>
    </row>
    <row r="10097" spans="27:27">
      <c r="AA10097" s="158" t="s">
        <v>11205</v>
      </c>
    </row>
    <row r="10098" spans="27:27">
      <c r="AA10098" s="158" t="s">
        <v>3885</v>
      </c>
    </row>
    <row r="10099" spans="27:27">
      <c r="AA10099" s="158" t="s">
        <v>11206</v>
      </c>
    </row>
    <row r="10100" spans="27:27">
      <c r="AA10100" s="158" t="s">
        <v>1037</v>
      </c>
    </row>
    <row r="10101" spans="27:27">
      <c r="AA10101" s="158" t="s">
        <v>1038</v>
      </c>
    </row>
    <row r="10102" spans="27:27">
      <c r="AA10102" s="158" t="s">
        <v>11207</v>
      </c>
    </row>
    <row r="10103" spans="27:27">
      <c r="AA10103" s="158" t="s">
        <v>11208</v>
      </c>
    </row>
    <row r="10104" spans="27:27">
      <c r="AA10104" s="158" t="s">
        <v>11209</v>
      </c>
    </row>
    <row r="10105" spans="27:27">
      <c r="AA10105" s="158" t="s">
        <v>11210</v>
      </c>
    </row>
    <row r="10106" spans="27:27">
      <c r="AA10106" s="158" t="s">
        <v>11211</v>
      </c>
    </row>
    <row r="10107" spans="27:27">
      <c r="AA10107" s="158" t="s">
        <v>11212</v>
      </c>
    </row>
    <row r="10108" spans="27:27">
      <c r="AA10108" s="158" t="s">
        <v>11213</v>
      </c>
    </row>
    <row r="10109" spans="27:27">
      <c r="AA10109" s="158" t="s">
        <v>11214</v>
      </c>
    </row>
    <row r="10110" spans="27:27">
      <c r="AA10110" s="158" t="s">
        <v>1039</v>
      </c>
    </row>
    <row r="10111" spans="27:27">
      <c r="AA10111" s="158" t="s">
        <v>1040</v>
      </c>
    </row>
    <row r="10112" spans="27:27">
      <c r="AA10112" s="158" t="s">
        <v>3886</v>
      </c>
    </row>
    <row r="10113" spans="27:27">
      <c r="AA10113" s="158" t="s">
        <v>11215</v>
      </c>
    </row>
    <row r="10114" spans="27:27">
      <c r="AA10114" s="158" t="s">
        <v>11216</v>
      </c>
    </row>
    <row r="10115" spans="27:27">
      <c r="AA10115" s="158" t="s">
        <v>11217</v>
      </c>
    </row>
    <row r="10116" spans="27:27">
      <c r="AA10116" s="158" t="s">
        <v>11218</v>
      </c>
    </row>
    <row r="10117" spans="27:27">
      <c r="AA10117" s="158" t="s">
        <v>11219</v>
      </c>
    </row>
    <row r="10118" spans="27:27">
      <c r="AA10118" s="158" t="s">
        <v>11220</v>
      </c>
    </row>
    <row r="10119" spans="27:27">
      <c r="AA10119" s="158" t="s">
        <v>11221</v>
      </c>
    </row>
    <row r="10120" spans="27:27">
      <c r="AA10120" s="158" t="s">
        <v>11222</v>
      </c>
    </row>
    <row r="10121" spans="27:27">
      <c r="AA10121" s="158" t="s">
        <v>1041</v>
      </c>
    </row>
    <row r="10122" spans="27:27">
      <c r="AA10122" s="158" t="s">
        <v>11223</v>
      </c>
    </row>
    <row r="10123" spans="27:27">
      <c r="AA10123" s="158" t="s">
        <v>11224</v>
      </c>
    </row>
    <row r="10124" spans="27:27">
      <c r="AA10124" s="158" t="s">
        <v>11225</v>
      </c>
    </row>
    <row r="10125" spans="27:27">
      <c r="AA10125" s="158" t="s">
        <v>1042</v>
      </c>
    </row>
    <row r="10126" spans="27:27">
      <c r="AA10126" s="158" t="s">
        <v>3887</v>
      </c>
    </row>
    <row r="10127" spans="27:27">
      <c r="AA10127" s="158" t="s">
        <v>1043</v>
      </c>
    </row>
    <row r="10128" spans="27:27">
      <c r="AA10128" s="158" t="s">
        <v>1044</v>
      </c>
    </row>
    <row r="10129" spans="27:27">
      <c r="AA10129" s="158" t="s">
        <v>11226</v>
      </c>
    </row>
    <row r="10130" spans="27:27">
      <c r="AA10130" s="158" t="s">
        <v>11227</v>
      </c>
    </row>
    <row r="10131" spans="27:27">
      <c r="AA10131" s="158" t="s">
        <v>11228</v>
      </c>
    </row>
    <row r="10132" spans="27:27">
      <c r="AA10132" s="158" t="s">
        <v>11229</v>
      </c>
    </row>
    <row r="10133" spans="27:27">
      <c r="AA10133" s="158" t="s">
        <v>1045</v>
      </c>
    </row>
    <row r="10134" spans="27:27">
      <c r="AA10134" s="158" t="s">
        <v>11230</v>
      </c>
    </row>
    <row r="10135" spans="27:27">
      <c r="AA10135" s="158" t="s">
        <v>11231</v>
      </c>
    </row>
    <row r="10136" spans="27:27">
      <c r="AA10136" s="158" t="s">
        <v>11232</v>
      </c>
    </row>
    <row r="10137" spans="27:27">
      <c r="AA10137" s="158" t="s">
        <v>11233</v>
      </c>
    </row>
    <row r="10138" spans="27:27">
      <c r="AA10138" s="158" t="s">
        <v>11234</v>
      </c>
    </row>
    <row r="10139" spans="27:27">
      <c r="AA10139" s="158" t="s">
        <v>11235</v>
      </c>
    </row>
    <row r="10140" spans="27:27">
      <c r="AA10140" s="158" t="s">
        <v>11236</v>
      </c>
    </row>
    <row r="10141" spans="27:27">
      <c r="AA10141" s="158" t="s">
        <v>11237</v>
      </c>
    </row>
    <row r="10142" spans="27:27">
      <c r="AA10142" s="158" t="s">
        <v>11238</v>
      </c>
    </row>
    <row r="10143" spans="27:27">
      <c r="AA10143" s="158" t="s">
        <v>11239</v>
      </c>
    </row>
    <row r="10144" spans="27:27">
      <c r="AA10144" s="158" t="s">
        <v>11240</v>
      </c>
    </row>
    <row r="10145" spans="27:27">
      <c r="AA10145" s="158" t="s">
        <v>11241</v>
      </c>
    </row>
    <row r="10146" spans="27:27">
      <c r="AA10146" s="158" t="s">
        <v>11242</v>
      </c>
    </row>
    <row r="10147" spans="27:27">
      <c r="AA10147" s="158" t="s">
        <v>11243</v>
      </c>
    </row>
    <row r="10148" spans="27:27">
      <c r="AA10148" s="158" t="s">
        <v>11244</v>
      </c>
    </row>
    <row r="10149" spans="27:27">
      <c r="AA10149" s="158" t="s">
        <v>1046</v>
      </c>
    </row>
    <row r="10150" spans="27:27">
      <c r="AA10150" s="158" t="s">
        <v>11245</v>
      </c>
    </row>
    <row r="10151" spans="27:27">
      <c r="AA10151" s="158" t="s">
        <v>11246</v>
      </c>
    </row>
    <row r="10152" spans="27:27">
      <c r="AA10152" s="158" t="s">
        <v>11247</v>
      </c>
    </row>
    <row r="10153" spans="27:27">
      <c r="AA10153" s="158" t="s">
        <v>11248</v>
      </c>
    </row>
    <row r="10154" spans="27:27">
      <c r="AA10154" s="158" t="s">
        <v>11249</v>
      </c>
    </row>
    <row r="10155" spans="27:27">
      <c r="AA10155" s="158" t="s">
        <v>11250</v>
      </c>
    </row>
    <row r="10156" spans="27:27">
      <c r="AA10156" s="158" t="s">
        <v>1047</v>
      </c>
    </row>
    <row r="10157" spans="27:27">
      <c r="AA10157" s="158" t="s">
        <v>11251</v>
      </c>
    </row>
    <row r="10158" spans="27:27">
      <c r="AA10158" s="158" t="s">
        <v>11252</v>
      </c>
    </row>
    <row r="10159" spans="27:27">
      <c r="AA10159" s="158" t="s">
        <v>11253</v>
      </c>
    </row>
    <row r="10160" spans="27:27">
      <c r="AA10160" s="158" t="s">
        <v>11254</v>
      </c>
    </row>
    <row r="10161" spans="27:27">
      <c r="AA10161" s="158" t="s">
        <v>1048</v>
      </c>
    </row>
    <row r="10162" spans="27:27">
      <c r="AA10162" s="158" t="s">
        <v>11255</v>
      </c>
    </row>
    <row r="10163" spans="27:27">
      <c r="AA10163" s="158" t="s">
        <v>11256</v>
      </c>
    </row>
    <row r="10164" spans="27:27">
      <c r="AA10164" s="158" t="s">
        <v>11257</v>
      </c>
    </row>
    <row r="10165" spans="27:27">
      <c r="AA10165" s="158" t="s">
        <v>11258</v>
      </c>
    </row>
    <row r="10166" spans="27:27">
      <c r="AA10166" s="158" t="s">
        <v>11259</v>
      </c>
    </row>
    <row r="10167" spans="27:27">
      <c r="AA10167" s="158" t="s">
        <v>1049</v>
      </c>
    </row>
    <row r="10168" spans="27:27">
      <c r="AA10168" s="158" t="s">
        <v>11260</v>
      </c>
    </row>
    <row r="10169" spans="27:27">
      <c r="AA10169" s="158" t="s">
        <v>1050</v>
      </c>
    </row>
    <row r="10170" spans="27:27">
      <c r="AA10170" s="158" t="s">
        <v>11261</v>
      </c>
    </row>
    <row r="10171" spans="27:27">
      <c r="AA10171" s="158" t="s">
        <v>11262</v>
      </c>
    </row>
    <row r="10172" spans="27:27">
      <c r="AA10172" s="158" t="s">
        <v>11263</v>
      </c>
    </row>
    <row r="10173" spans="27:27">
      <c r="AA10173" s="158" t="s">
        <v>11264</v>
      </c>
    </row>
    <row r="10174" spans="27:27">
      <c r="AA10174" s="158" t="s">
        <v>11265</v>
      </c>
    </row>
    <row r="10175" spans="27:27">
      <c r="AA10175" s="158" t="s">
        <v>11266</v>
      </c>
    </row>
    <row r="10176" spans="27:27">
      <c r="AA10176" s="158" t="s">
        <v>11267</v>
      </c>
    </row>
    <row r="10177" spans="27:27">
      <c r="AA10177" s="158" t="s">
        <v>11268</v>
      </c>
    </row>
    <row r="10178" spans="27:27">
      <c r="AA10178" s="158" t="s">
        <v>11269</v>
      </c>
    </row>
    <row r="10179" spans="27:27">
      <c r="AA10179" s="158" t="s">
        <v>11270</v>
      </c>
    </row>
    <row r="10180" spans="27:27">
      <c r="AA10180" s="158" t="s">
        <v>11271</v>
      </c>
    </row>
    <row r="10181" spans="27:27">
      <c r="AA10181" s="158" t="s">
        <v>11272</v>
      </c>
    </row>
    <row r="10182" spans="27:27">
      <c r="AA10182" s="158" t="s">
        <v>11273</v>
      </c>
    </row>
    <row r="10183" spans="27:27">
      <c r="AA10183" s="158" t="s">
        <v>11274</v>
      </c>
    </row>
    <row r="10184" spans="27:27">
      <c r="AA10184" s="158" t="s">
        <v>11275</v>
      </c>
    </row>
    <row r="10185" spans="27:27">
      <c r="AA10185" s="158" t="s">
        <v>11276</v>
      </c>
    </row>
    <row r="10186" spans="27:27">
      <c r="AA10186" s="158" t="s">
        <v>11277</v>
      </c>
    </row>
    <row r="10187" spans="27:27">
      <c r="AA10187" s="158" t="s">
        <v>1051</v>
      </c>
    </row>
    <row r="10188" spans="27:27">
      <c r="AA10188" s="158" t="s">
        <v>11278</v>
      </c>
    </row>
    <row r="10189" spans="27:27">
      <c r="AA10189" s="158" t="s">
        <v>11279</v>
      </c>
    </row>
    <row r="10190" spans="27:27">
      <c r="AA10190" s="158" t="s">
        <v>11280</v>
      </c>
    </row>
    <row r="10191" spans="27:27">
      <c r="AA10191" s="158" t="s">
        <v>1052</v>
      </c>
    </row>
    <row r="10192" spans="27:27">
      <c r="AA10192" s="158" t="s">
        <v>11281</v>
      </c>
    </row>
    <row r="10193" spans="27:27">
      <c r="AA10193" s="158" t="s">
        <v>11282</v>
      </c>
    </row>
    <row r="10194" spans="27:27">
      <c r="AA10194" s="158" t="s">
        <v>11283</v>
      </c>
    </row>
    <row r="10195" spans="27:27">
      <c r="AA10195" s="158" t="s">
        <v>11284</v>
      </c>
    </row>
    <row r="10196" spans="27:27">
      <c r="AA10196" s="158" t="s">
        <v>1053</v>
      </c>
    </row>
    <row r="10197" spans="27:27">
      <c r="AA10197" s="158" t="s">
        <v>11285</v>
      </c>
    </row>
    <row r="10198" spans="27:27">
      <c r="AA10198" s="158" t="s">
        <v>11286</v>
      </c>
    </row>
    <row r="10199" spans="27:27">
      <c r="AA10199" s="158" t="s">
        <v>11287</v>
      </c>
    </row>
    <row r="10200" spans="27:27">
      <c r="AA10200" s="158" t="s">
        <v>11288</v>
      </c>
    </row>
    <row r="10201" spans="27:27">
      <c r="AA10201" s="158" t="s">
        <v>11289</v>
      </c>
    </row>
    <row r="10202" spans="27:27">
      <c r="AA10202" s="158" t="s">
        <v>11290</v>
      </c>
    </row>
    <row r="10203" spans="27:27">
      <c r="AA10203" s="158" t="s">
        <v>11291</v>
      </c>
    </row>
    <row r="10204" spans="27:27">
      <c r="AA10204" s="158" t="s">
        <v>11292</v>
      </c>
    </row>
    <row r="10205" spans="27:27">
      <c r="AA10205" s="158" t="s">
        <v>11293</v>
      </c>
    </row>
    <row r="10206" spans="27:27">
      <c r="AA10206" s="158" t="s">
        <v>11294</v>
      </c>
    </row>
    <row r="10207" spans="27:27">
      <c r="AA10207" s="158" t="s">
        <v>1054</v>
      </c>
    </row>
    <row r="10208" spans="27:27">
      <c r="AA10208" s="158" t="s">
        <v>11295</v>
      </c>
    </row>
    <row r="10209" spans="27:27">
      <c r="AA10209" s="158" t="s">
        <v>11296</v>
      </c>
    </row>
    <row r="10210" spans="27:27">
      <c r="AA10210" s="158" t="s">
        <v>1055</v>
      </c>
    </row>
    <row r="10211" spans="27:27">
      <c r="AA10211" s="158" t="s">
        <v>11297</v>
      </c>
    </row>
    <row r="10212" spans="27:27">
      <c r="AA10212" s="158" t="s">
        <v>1056</v>
      </c>
    </row>
    <row r="10213" spans="27:27">
      <c r="AA10213" s="158" t="s">
        <v>11298</v>
      </c>
    </row>
    <row r="10214" spans="27:27">
      <c r="AA10214" s="158" t="s">
        <v>11299</v>
      </c>
    </row>
    <row r="10215" spans="27:27">
      <c r="AA10215" s="158" t="s">
        <v>11300</v>
      </c>
    </row>
    <row r="10216" spans="27:27">
      <c r="AA10216" s="158" t="s">
        <v>11301</v>
      </c>
    </row>
    <row r="10217" spans="27:27">
      <c r="AA10217" s="158" t="s">
        <v>11302</v>
      </c>
    </row>
    <row r="10218" spans="27:27">
      <c r="AA10218" s="158" t="s">
        <v>11303</v>
      </c>
    </row>
    <row r="10219" spans="27:27">
      <c r="AA10219" s="158" t="s">
        <v>11304</v>
      </c>
    </row>
    <row r="10220" spans="27:27">
      <c r="AA10220" s="158" t="s">
        <v>11305</v>
      </c>
    </row>
    <row r="10221" spans="27:27">
      <c r="AA10221" s="158" t="s">
        <v>11306</v>
      </c>
    </row>
    <row r="10222" spans="27:27">
      <c r="AA10222" s="158" t="s">
        <v>11307</v>
      </c>
    </row>
    <row r="10223" spans="27:27">
      <c r="AA10223" s="158" t="s">
        <v>11308</v>
      </c>
    </row>
    <row r="10224" spans="27:27">
      <c r="AA10224" s="158" t="s">
        <v>3888</v>
      </c>
    </row>
    <row r="10225" spans="27:27">
      <c r="AA10225" s="158" t="s">
        <v>11309</v>
      </c>
    </row>
    <row r="10226" spans="27:27">
      <c r="AA10226" s="158" t="s">
        <v>3889</v>
      </c>
    </row>
    <row r="10227" spans="27:27">
      <c r="AA10227" s="158" t="s">
        <v>1057</v>
      </c>
    </row>
    <row r="10228" spans="27:27">
      <c r="AA10228" s="158" t="s">
        <v>1058</v>
      </c>
    </row>
    <row r="10229" spans="27:27">
      <c r="AA10229" s="158" t="s">
        <v>1059</v>
      </c>
    </row>
    <row r="10230" spans="27:27">
      <c r="AA10230" s="158" t="s">
        <v>1060</v>
      </c>
    </row>
    <row r="10231" spans="27:27">
      <c r="AA10231" s="158" t="s">
        <v>1061</v>
      </c>
    </row>
    <row r="10232" spans="27:27">
      <c r="AA10232" s="158" t="s">
        <v>11310</v>
      </c>
    </row>
    <row r="10233" spans="27:27">
      <c r="AA10233" s="158" t="s">
        <v>11311</v>
      </c>
    </row>
    <row r="10234" spans="27:27">
      <c r="AA10234" s="158" t="s">
        <v>1062</v>
      </c>
    </row>
    <row r="10235" spans="27:27">
      <c r="AA10235" s="158" t="s">
        <v>11312</v>
      </c>
    </row>
    <row r="10236" spans="27:27">
      <c r="AA10236" s="158" t="s">
        <v>1063</v>
      </c>
    </row>
    <row r="10237" spans="27:27">
      <c r="AA10237" s="158" t="s">
        <v>11313</v>
      </c>
    </row>
    <row r="10238" spans="27:27">
      <c r="AA10238" s="158" t="s">
        <v>11314</v>
      </c>
    </row>
    <row r="10239" spans="27:27">
      <c r="AA10239" s="158" t="s">
        <v>11315</v>
      </c>
    </row>
    <row r="10240" spans="27:27">
      <c r="AA10240" s="158" t="s">
        <v>11316</v>
      </c>
    </row>
    <row r="10241" spans="27:27">
      <c r="AA10241" s="158" t="s">
        <v>11317</v>
      </c>
    </row>
    <row r="10242" spans="27:27">
      <c r="AA10242" s="158" t="s">
        <v>3890</v>
      </c>
    </row>
    <row r="10243" spans="27:27">
      <c r="AA10243" s="158" t="s">
        <v>1064</v>
      </c>
    </row>
    <row r="10244" spans="27:27">
      <c r="AA10244" s="158" t="s">
        <v>11318</v>
      </c>
    </row>
    <row r="10245" spans="27:27">
      <c r="AA10245" s="158" t="s">
        <v>11319</v>
      </c>
    </row>
    <row r="10246" spans="27:27">
      <c r="AA10246" s="158" t="s">
        <v>2751</v>
      </c>
    </row>
    <row r="10247" spans="27:27">
      <c r="AA10247" s="158" t="s">
        <v>11320</v>
      </c>
    </row>
    <row r="10248" spans="27:27">
      <c r="AA10248" s="158" t="s">
        <v>2752</v>
      </c>
    </row>
    <row r="10249" spans="27:27">
      <c r="AA10249" s="158" t="s">
        <v>11321</v>
      </c>
    </row>
    <row r="10250" spans="27:27">
      <c r="AA10250" s="158" t="s">
        <v>2753</v>
      </c>
    </row>
    <row r="10251" spans="27:27">
      <c r="AA10251" s="158" t="s">
        <v>11322</v>
      </c>
    </row>
    <row r="10252" spans="27:27">
      <c r="AA10252" s="158" t="s">
        <v>11323</v>
      </c>
    </row>
    <row r="10253" spans="27:27">
      <c r="AA10253" s="158" t="s">
        <v>11324</v>
      </c>
    </row>
    <row r="10254" spans="27:27">
      <c r="AA10254" s="158" t="s">
        <v>11325</v>
      </c>
    </row>
    <row r="10255" spans="27:27">
      <c r="AA10255" s="158" t="s">
        <v>3891</v>
      </c>
    </row>
    <row r="10256" spans="27:27">
      <c r="AA10256" s="158" t="s">
        <v>2754</v>
      </c>
    </row>
    <row r="10257" spans="27:27">
      <c r="AA10257" s="158" t="s">
        <v>3892</v>
      </c>
    </row>
    <row r="10258" spans="27:27">
      <c r="AA10258" s="158" t="s">
        <v>11326</v>
      </c>
    </row>
    <row r="10259" spans="27:27">
      <c r="AA10259" s="158" t="s">
        <v>11327</v>
      </c>
    </row>
    <row r="10260" spans="27:27">
      <c r="AA10260" s="158" t="s">
        <v>3893</v>
      </c>
    </row>
    <row r="10261" spans="27:27">
      <c r="AA10261" s="158" t="s">
        <v>11328</v>
      </c>
    </row>
    <row r="10262" spans="27:27">
      <c r="AA10262" s="158" t="s">
        <v>11329</v>
      </c>
    </row>
    <row r="10263" spans="27:27">
      <c r="AA10263" s="158" t="s">
        <v>3894</v>
      </c>
    </row>
    <row r="10264" spans="27:27">
      <c r="AA10264" s="158" t="s">
        <v>11330</v>
      </c>
    </row>
    <row r="10265" spans="27:27">
      <c r="AA10265" s="158" t="s">
        <v>11331</v>
      </c>
    </row>
    <row r="10266" spans="27:27">
      <c r="AA10266" s="158" t="s">
        <v>2755</v>
      </c>
    </row>
    <row r="10267" spans="27:27">
      <c r="AA10267" s="158" t="s">
        <v>3895</v>
      </c>
    </row>
    <row r="10268" spans="27:27">
      <c r="AA10268" s="158" t="s">
        <v>11332</v>
      </c>
    </row>
    <row r="10269" spans="27:27">
      <c r="AA10269" s="158" t="s">
        <v>11333</v>
      </c>
    </row>
    <row r="10270" spans="27:27">
      <c r="AA10270" s="158" t="s">
        <v>2756</v>
      </c>
    </row>
    <row r="10271" spans="27:27">
      <c r="AA10271" s="158" t="s">
        <v>3896</v>
      </c>
    </row>
    <row r="10272" spans="27:27">
      <c r="AA10272" s="158" t="s">
        <v>11334</v>
      </c>
    </row>
    <row r="10273" spans="27:27">
      <c r="AA10273" s="158" t="s">
        <v>11335</v>
      </c>
    </row>
    <row r="10274" spans="27:27">
      <c r="AA10274" s="158" t="s">
        <v>11336</v>
      </c>
    </row>
    <row r="10275" spans="27:27">
      <c r="AA10275" s="158" t="s">
        <v>11337</v>
      </c>
    </row>
    <row r="10276" spans="27:27">
      <c r="AA10276" s="158" t="s">
        <v>11338</v>
      </c>
    </row>
    <row r="10277" spans="27:27">
      <c r="AA10277" s="158" t="s">
        <v>11339</v>
      </c>
    </row>
    <row r="10278" spans="27:27">
      <c r="AA10278" s="158" t="s">
        <v>11340</v>
      </c>
    </row>
    <row r="10279" spans="27:27">
      <c r="AA10279" s="158" t="s">
        <v>11341</v>
      </c>
    </row>
    <row r="10280" spans="27:27">
      <c r="AA10280" s="158" t="s">
        <v>11342</v>
      </c>
    </row>
    <row r="10281" spans="27:27">
      <c r="AA10281" s="158" t="s">
        <v>11343</v>
      </c>
    </row>
    <row r="10282" spans="27:27">
      <c r="AA10282" s="158" t="s">
        <v>11344</v>
      </c>
    </row>
    <row r="10283" spans="27:27">
      <c r="AA10283" s="158" t="s">
        <v>11345</v>
      </c>
    </row>
    <row r="10284" spans="27:27">
      <c r="AA10284" s="158" t="s">
        <v>11346</v>
      </c>
    </row>
    <row r="10285" spans="27:27">
      <c r="AA10285" s="158" t="s">
        <v>11347</v>
      </c>
    </row>
    <row r="10286" spans="27:27">
      <c r="AA10286" s="158" t="s">
        <v>11348</v>
      </c>
    </row>
    <row r="10287" spans="27:27">
      <c r="AA10287" s="158" t="s">
        <v>11349</v>
      </c>
    </row>
    <row r="10288" spans="27:27">
      <c r="AA10288" s="158" t="s">
        <v>11350</v>
      </c>
    </row>
    <row r="10289" spans="27:27">
      <c r="AA10289" s="158" t="s">
        <v>11351</v>
      </c>
    </row>
    <row r="10290" spans="27:27">
      <c r="AA10290" s="158" t="s">
        <v>11352</v>
      </c>
    </row>
    <row r="10291" spans="27:27">
      <c r="AA10291" s="158" t="s">
        <v>11353</v>
      </c>
    </row>
    <row r="10292" spans="27:27">
      <c r="AA10292" s="158" t="s">
        <v>11354</v>
      </c>
    </row>
    <row r="10293" spans="27:27">
      <c r="AA10293" s="158" t="s">
        <v>11355</v>
      </c>
    </row>
    <row r="10294" spans="27:27">
      <c r="AA10294" s="158" t="s">
        <v>11356</v>
      </c>
    </row>
    <row r="10295" spans="27:27">
      <c r="AA10295" s="158" t="s">
        <v>11357</v>
      </c>
    </row>
    <row r="10296" spans="27:27">
      <c r="AA10296" s="158" t="s">
        <v>11358</v>
      </c>
    </row>
    <row r="10297" spans="27:27">
      <c r="AA10297" s="158" t="s">
        <v>11359</v>
      </c>
    </row>
    <row r="10298" spans="27:27">
      <c r="AA10298" s="158" t="s">
        <v>11360</v>
      </c>
    </row>
    <row r="10299" spans="27:27">
      <c r="AA10299" s="158" t="s">
        <v>11361</v>
      </c>
    </row>
    <row r="10300" spans="27:27">
      <c r="AA10300" s="158" t="s">
        <v>11362</v>
      </c>
    </row>
    <row r="10301" spans="27:27">
      <c r="AA10301" s="158" t="s">
        <v>11363</v>
      </c>
    </row>
    <row r="10302" spans="27:27">
      <c r="AA10302" s="158" t="s">
        <v>11364</v>
      </c>
    </row>
    <row r="10303" spans="27:27">
      <c r="AA10303" s="158" t="s">
        <v>11365</v>
      </c>
    </row>
    <row r="10304" spans="27:27">
      <c r="AA10304" s="158" t="s">
        <v>11366</v>
      </c>
    </row>
    <row r="10305" spans="27:27">
      <c r="AA10305" s="158" t="s">
        <v>11367</v>
      </c>
    </row>
    <row r="10306" spans="27:27">
      <c r="AA10306" s="158" t="s">
        <v>11368</v>
      </c>
    </row>
    <row r="10307" spans="27:27">
      <c r="AA10307" s="158" t="s">
        <v>11369</v>
      </c>
    </row>
    <row r="10308" spans="27:27">
      <c r="AA10308" s="158" t="s">
        <v>11370</v>
      </c>
    </row>
    <row r="10309" spans="27:27">
      <c r="AA10309" s="158" t="s">
        <v>11371</v>
      </c>
    </row>
    <row r="10310" spans="27:27">
      <c r="AA10310" s="158" t="s">
        <v>11372</v>
      </c>
    </row>
    <row r="10311" spans="27:27">
      <c r="AA10311" s="158" t="s">
        <v>11373</v>
      </c>
    </row>
    <row r="10312" spans="27:27">
      <c r="AA10312" s="158" t="s">
        <v>11374</v>
      </c>
    </row>
    <row r="10313" spans="27:27">
      <c r="AA10313" s="158" t="s">
        <v>11375</v>
      </c>
    </row>
    <row r="10314" spans="27:27">
      <c r="AA10314" s="158" t="s">
        <v>11376</v>
      </c>
    </row>
    <row r="10315" spans="27:27">
      <c r="AA10315" s="158" t="s">
        <v>11377</v>
      </c>
    </row>
    <row r="10316" spans="27:27">
      <c r="AA10316" s="158" t="s">
        <v>11378</v>
      </c>
    </row>
    <row r="10317" spans="27:27">
      <c r="AA10317" s="158" t="s">
        <v>11379</v>
      </c>
    </row>
    <row r="10318" spans="27:27">
      <c r="AA10318" s="158" t="s">
        <v>11380</v>
      </c>
    </row>
    <row r="10319" spans="27:27">
      <c r="AA10319" s="158" t="s">
        <v>11381</v>
      </c>
    </row>
    <row r="10320" spans="27:27">
      <c r="AA10320" s="158" t="s">
        <v>11382</v>
      </c>
    </row>
    <row r="10321" spans="27:27">
      <c r="AA10321" s="158" t="s">
        <v>11383</v>
      </c>
    </row>
    <row r="10322" spans="27:27">
      <c r="AA10322" s="158" t="s">
        <v>11384</v>
      </c>
    </row>
    <row r="10323" spans="27:27">
      <c r="AA10323" s="158" t="s">
        <v>11385</v>
      </c>
    </row>
    <row r="10324" spans="27:27">
      <c r="AA10324" s="158" t="s">
        <v>11386</v>
      </c>
    </row>
    <row r="10325" spans="27:27">
      <c r="AA10325" s="158" t="s">
        <v>11387</v>
      </c>
    </row>
    <row r="10326" spans="27:27">
      <c r="AA10326" s="158" t="s">
        <v>11388</v>
      </c>
    </row>
    <row r="10327" spans="27:27">
      <c r="AA10327" s="158" t="s">
        <v>11389</v>
      </c>
    </row>
    <row r="10328" spans="27:27">
      <c r="AA10328" s="158" t="s">
        <v>11390</v>
      </c>
    </row>
    <row r="10329" spans="27:27">
      <c r="AA10329" s="158" t="s">
        <v>11391</v>
      </c>
    </row>
    <row r="10330" spans="27:27">
      <c r="AA10330" s="158" t="s">
        <v>11392</v>
      </c>
    </row>
    <row r="10331" spans="27:27">
      <c r="AA10331" s="158" t="s">
        <v>11393</v>
      </c>
    </row>
    <row r="10332" spans="27:27">
      <c r="AA10332" s="158" t="s">
        <v>11394</v>
      </c>
    </row>
    <row r="10333" spans="27:27">
      <c r="AA10333" s="158" t="s">
        <v>11395</v>
      </c>
    </row>
    <row r="10334" spans="27:27">
      <c r="AA10334" s="158" t="s">
        <v>11396</v>
      </c>
    </row>
    <row r="10335" spans="27:27">
      <c r="AA10335" s="158" t="s">
        <v>11397</v>
      </c>
    </row>
    <row r="10336" spans="27:27">
      <c r="AA10336" s="158" t="s">
        <v>11398</v>
      </c>
    </row>
    <row r="10337" spans="27:27">
      <c r="AA10337" s="158" t="s">
        <v>11399</v>
      </c>
    </row>
    <row r="10338" spans="27:27">
      <c r="AA10338" s="158" t="s">
        <v>11400</v>
      </c>
    </row>
    <row r="10339" spans="27:27">
      <c r="AA10339" s="158" t="s">
        <v>11401</v>
      </c>
    </row>
    <row r="10340" spans="27:27">
      <c r="AA10340" s="158" t="s">
        <v>11402</v>
      </c>
    </row>
    <row r="10341" spans="27:27">
      <c r="AA10341" s="158" t="s">
        <v>11403</v>
      </c>
    </row>
    <row r="10342" spans="27:27">
      <c r="AA10342" s="158" t="s">
        <v>11404</v>
      </c>
    </row>
    <row r="10343" spans="27:27">
      <c r="AA10343" s="158" t="s">
        <v>2757</v>
      </c>
    </row>
    <row r="10344" spans="27:27">
      <c r="AA10344" s="158" t="s">
        <v>11405</v>
      </c>
    </row>
    <row r="10345" spans="27:27">
      <c r="AA10345" s="158" t="s">
        <v>2758</v>
      </c>
    </row>
    <row r="10346" spans="27:27">
      <c r="AA10346" s="158" t="s">
        <v>11406</v>
      </c>
    </row>
    <row r="10347" spans="27:27">
      <c r="AA10347" s="158" t="s">
        <v>11407</v>
      </c>
    </row>
    <row r="10348" spans="27:27">
      <c r="AA10348" s="158" t="s">
        <v>11408</v>
      </c>
    </row>
    <row r="10349" spans="27:27">
      <c r="AA10349" s="158" t="s">
        <v>2759</v>
      </c>
    </row>
    <row r="10350" spans="27:27">
      <c r="AA10350" s="158" t="s">
        <v>11409</v>
      </c>
    </row>
    <row r="10351" spans="27:27">
      <c r="AA10351" s="158" t="s">
        <v>11410</v>
      </c>
    </row>
    <row r="10352" spans="27:27">
      <c r="AA10352" s="158" t="s">
        <v>11411</v>
      </c>
    </row>
    <row r="10353" spans="27:27">
      <c r="AA10353" s="158" t="s">
        <v>2760</v>
      </c>
    </row>
    <row r="10354" spans="27:27">
      <c r="AA10354" s="158" t="s">
        <v>11412</v>
      </c>
    </row>
    <row r="10355" spans="27:27">
      <c r="AA10355" s="158" t="s">
        <v>11413</v>
      </c>
    </row>
    <row r="10356" spans="27:27">
      <c r="AA10356" s="158" t="s">
        <v>11414</v>
      </c>
    </row>
    <row r="10357" spans="27:27">
      <c r="AA10357" s="158" t="s">
        <v>2761</v>
      </c>
    </row>
    <row r="10358" spans="27:27">
      <c r="AA10358" s="158" t="s">
        <v>11415</v>
      </c>
    </row>
    <row r="10359" spans="27:27">
      <c r="AA10359" s="158" t="s">
        <v>11416</v>
      </c>
    </row>
    <row r="10360" spans="27:27">
      <c r="AA10360" s="158" t="s">
        <v>11417</v>
      </c>
    </row>
    <row r="10361" spans="27:27">
      <c r="AA10361" s="158" t="s">
        <v>2762</v>
      </c>
    </row>
    <row r="10362" spans="27:27">
      <c r="AA10362" s="158" t="s">
        <v>11418</v>
      </c>
    </row>
    <row r="10363" spans="27:27">
      <c r="AA10363" s="158" t="s">
        <v>11419</v>
      </c>
    </row>
    <row r="10364" spans="27:27">
      <c r="AA10364" s="158" t="s">
        <v>11420</v>
      </c>
    </row>
    <row r="10365" spans="27:27">
      <c r="AA10365" s="158" t="s">
        <v>2763</v>
      </c>
    </row>
    <row r="10366" spans="27:27">
      <c r="AA10366" s="158" t="s">
        <v>11421</v>
      </c>
    </row>
    <row r="10367" spans="27:27">
      <c r="AA10367" s="158" t="s">
        <v>11422</v>
      </c>
    </row>
    <row r="10368" spans="27:27">
      <c r="AA10368" s="158" t="s">
        <v>11423</v>
      </c>
    </row>
    <row r="10369" spans="27:27">
      <c r="AA10369" s="158" t="s">
        <v>2764</v>
      </c>
    </row>
    <row r="10370" spans="27:27">
      <c r="AA10370" s="158" t="s">
        <v>11424</v>
      </c>
    </row>
    <row r="10371" spans="27:27">
      <c r="AA10371" s="158" t="s">
        <v>11425</v>
      </c>
    </row>
    <row r="10372" spans="27:27">
      <c r="AA10372" s="158" t="s">
        <v>2765</v>
      </c>
    </row>
    <row r="10373" spans="27:27">
      <c r="AA10373" s="158" t="s">
        <v>11426</v>
      </c>
    </row>
    <row r="10374" spans="27:27">
      <c r="AA10374" s="158" t="s">
        <v>2766</v>
      </c>
    </row>
    <row r="10375" spans="27:27">
      <c r="AA10375" s="158" t="s">
        <v>3897</v>
      </c>
    </row>
    <row r="10376" spans="27:27">
      <c r="AA10376" s="158" t="s">
        <v>3898</v>
      </c>
    </row>
    <row r="10377" spans="27:27">
      <c r="AA10377" s="158" t="s">
        <v>2767</v>
      </c>
    </row>
    <row r="10378" spans="27:27">
      <c r="AA10378" s="158" t="s">
        <v>2768</v>
      </c>
    </row>
    <row r="10379" spans="27:27">
      <c r="AA10379" s="158" t="s">
        <v>1065</v>
      </c>
    </row>
    <row r="10380" spans="27:27">
      <c r="AA10380" s="158" t="s">
        <v>1066</v>
      </c>
    </row>
    <row r="10381" spans="27:27">
      <c r="AA10381" s="158" t="s">
        <v>11427</v>
      </c>
    </row>
    <row r="10382" spans="27:27">
      <c r="AA10382" s="158" t="s">
        <v>11428</v>
      </c>
    </row>
    <row r="10383" spans="27:27">
      <c r="AA10383" s="158" t="s">
        <v>11429</v>
      </c>
    </row>
    <row r="10384" spans="27:27">
      <c r="AA10384" s="158" t="s">
        <v>2769</v>
      </c>
    </row>
    <row r="10385" spans="27:27">
      <c r="AA10385" s="158" t="s">
        <v>2770</v>
      </c>
    </row>
    <row r="10386" spans="27:27">
      <c r="AA10386" s="158" t="s">
        <v>2771</v>
      </c>
    </row>
    <row r="10387" spans="27:27">
      <c r="AA10387" s="158" t="s">
        <v>11430</v>
      </c>
    </row>
    <row r="10388" spans="27:27">
      <c r="AA10388" s="158" t="s">
        <v>11431</v>
      </c>
    </row>
    <row r="10389" spans="27:27">
      <c r="AA10389" s="158" t="s">
        <v>3899</v>
      </c>
    </row>
    <row r="10390" spans="27:27">
      <c r="AA10390" s="158" t="s">
        <v>11432</v>
      </c>
    </row>
    <row r="10391" spans="27:27">
      <c r="AA10391" s="158" t="s">
        <v>11433</v>
      </c>
    </row>
    <row r="10392" spans="27:27">
      <c r="AA10392" s="158" t="s">
        <v>11434</v>
      </c>
    </row>
    <row r="10393" spans="27:27">
      <c r="AA10393" s="158" t="s">
        <v>1067</v>
      </c>
    </row>
    <row r="10394" spans="27:27">
      <c r="AA10394" s="158" t="s">
        <v>1068</v>
      </c>
    </row>
    <row r="10395" spans="27:27">
      <c r="AA10395" s="158" t="s">
        <v>11435</v>
      </c>
    </row>
    <row r="10396" spans="27:27">
      <c r="AA10396" s="158" t="s">
        <v>11436</v>
      </c>
    </row>
    <row r="10397" spans="27:27">
      <c r="AA10397" s="158" t="s">
        <v>11437</v>
      </c>
    </row>
    <row r="10398" spans="27:27">
      <c r="AA10398" s="158" t="s">
        <v>3900</v>
      </c>
    </row>
    <row r="10399" spans="27:27">
      <c r="AA10399" s="158" t="s">
        <v>11438</v>
      </c>
    </row>
    <row r="10400" spans="27:27">
      <c r="AA10400" s="158" t="s">
        <v>11439</v>
      </c>
    </row>
    <row r="10401" spans="27:27">
      <c r="AA10401" s="158" t="s">
        <v>1069</v>
      </c>
    </row>
    <row r="10402" spans="27:27">
      <c r="AA10402" s="158" t="s">
        <v>11440</v>
      </c>
    </row>
    <row r="10403" spans="27:27">
      <c r="AA10403" s="158" t="s">
        <v>11441</v>
      </c>
    </row>
    <row r="10404" spans="27:27">
      <c r="AA10404" s="158" t="s">
        <v>2772</v>
      </c>
    </row>
    <row r="10405" spans="27:27">
      <c r="AA10405" s="158" t="s">
        <v>11442</v>
      </c>
    </row>
    <row r="10406" spans="27:27">
      <c r="AA10406" s="158" t="s">
        <v>11443</v>
      </c>
    </row>
    <row r="10407" spans="27:27">
      <c r="AA10407" s="158" t="s">
        <v>11444</v>
      </c>
    </row>
    <row r="10408" spans="27:27">
      <c r="AA10408" s="158" t="s">
        <v>2773</v>
      </c>
    </row>
    <row r="10409" spans="27:27">
      <c r="AA10409" s="158" t="s">
        <v>11445</v>
      </c>
    </row>
    <row r="10410" spans="27:27">
      <c r="AA10410" s="158" t="s">
        <v>1070</v>
      </c>
    </row>
    <row r="10411" spans="27:27">
      <c r="AA10411" s="158" t="s">
        <v>11446</v>
      </c>
    </row>
    <row r="10412" spans="27:27">
      <c r="AA10412" s="158" t="s">
        <v>2774</v>
      </c>
    </row>
    <row r="10413" spans="27:27">
      <c r="AA10413" s="158" t="s">
        <v>11447</v>
      </c>
    </row>
    <row r="10414" spans="27:27">
      <c r="AA10414" s="158" t="s">
        <v>11448</v>
      </c>
    </row>
    <row r="10415" spans="27:27">
      <c r="AA10415" s="158" t="s">
        <v>2775</v>
      </c>
    </row>
    <row r="10416" spans="27:27">
      <c r="AA10416" s="158" t="s">
        <v>11449</v>
      </c>
    </row>
    <row r="10417" spans="27:27">
      <c r="AA10417" s="158" t="s">
        <v>11450</v>
      </c>
    </row>
    <row r="10418" spans="27:27">
      <c r="AA10418" s="158" t="s">
        <v>2776</v>
      </c>
    </row>
    <row r="10419" spans="27:27">
      <c r="AA10419" s="158" t="s">
        <v>11451</v>
      </c>
    </row>
    <row r="10420" spans="27:27">
      <c r="AA10420" s="158" t="s">
        <v>11452</v>
      </c>
    </row>
    <row r="10421" spans="27:27">
      <c r="AA10421" s="158" t="s">
        <v>11453</v>
      </c>
    </row>
    <row r="10422" spans="27:27">
      <c r="AA10422" s="158" t="s">
        <v>2777</v>
      </c>
    </row>
    <row r="10423" spans="27:27">
      <c r="AA10423" s="158" t="s">
        <v>11454</v>
      </c>
    </row>
    <row r="10424" spans="27:27">
      <c r="AA10424" s="158" t="s">
        <v>11455</v>
      </c>
    </row>
    <row r="10425" spans="27:27">
      <c r="AA10425" s="158" t="s">
        <v>11456</v>
      </c>
    </row>
    <row r="10426" spans="27:27">
      <c r="AA10426" s="158" t="s">
        <v>11457</v>
      </c>
    </row>
    <row r="10427" spans="27:27">
      <c r="AA10427" s="158" t="s">
        <v>11458</v>
      </c>
    </row>
    <row r="10428" spans="27:27">
      <c r="AA10428" s="158" t="s">
        <v>11459</v>
      </c>
    </row>
    <row r="10429" spans="27:27">
      <c r="AA10429" s="158" t="s">
        <v>11460</v>
      </c>
    </row>
    <row r="10430" spans="27:27">
      <c r="AA10430" s="158" t="s">
        <v>1071</v>
      </c>
    </row>
    <row r="10431" spans="27:27">
      <c r="AA10431" s="158" t="s">
        <v>11461</v>
      </c>
    </row>
    <row r="10432" spans="27:27">
      <c r="AA10432" s="158" t="s">
        <v>11462</v>
      </c>
    </row>
    <row r="10433" spans="27:27">
      <c r="AA10433" s="158" t="s">
        <v>11463</v>
      </c>
    </row>
    <row r="10434" spans="27:27">
      <c r="AA10434" s="158" t="s">
        <v>11464</v>
      </c>
    </row>
    <row r="10435" spans="27:27">
      <c r="AA10435" s="158" t="s">
        <v>11465</v>
      </c>
    </row>
    <row r="10436" spans="27:27">
      <c r="AA10436" s="158" t="s">
        <v>11466</v>
      </c>
    </row>
    <row r="10437" spans="27:27">
      <c r="AA10437" s="158" t="s">
        <v>11467</v>
      </c>
    </row>
    <row r="10438" spans="27:27">
      <c r="AA10438" s="158" t="s">
        <v>11468</v>
      </c>
    </row>
    <row r="10439" spans="27:27">
      <c r="AA10439" s="158" t="s">
        <v>11469</v>
      </c>
    </row>
    <row r="10440" spans="27:27">
      <c r="AA10440" s="158" t="s">
        <v>11470</v>
      </c>
    </row>
    <row r="10441" spans="27:27">
      <c r="AA10441" s="158" t="s">
        <v>11471</v>
      </c>
    </row>
    <row r="10442" spans="27:27">
      <c r="AA10442" s="158" t="s">
        <v>11472</v>
      </c>
    </row>
    <row r="10443" spans="27:27">
      <c r="AA10443" s="158" t="s">
        <v>11473</v>
      </c>
    </row>
    <row r="10444" spans="27:27">
      <c r="AA10444" s="158" t="s">
        <v>11474</v>
      </c>
    </row>
    <row r="10445" spans="27:27">
      <c r="AA10445" s="158" t="s">
        <v>1072</v>
      </c>
    </row>
    <row r="10446" spans="27:27">
      <c r="AA10446" s="158" t="s">
        <v>2778</v>
      </c>
    </row>
    <row r="10447" spans="27:27">
      <c r="AA10447" s="158" t="s">
        <v>11475</v>
      </c>
    </row>
    <row r="10448" spans="27:27">
      <c r="AA10448" s="158" t="s">
        <v>1073</v>
      </c>
    </row>
    <row r="10449" spans="27:27">
      <c r="AA10449" s="158" t="s">
        <v>11476</v>
      </c>
    </row>
    <row r="10450" spans="27:27">
      <c r="AA10450" s="158" t="s">
        <v>11477</v>
      </c>
    </row>
    <row r="10451" spans="27:27">
      <c r="AA10451" s="158" t="s">
        <v>11478</v>
      </c>
    </row>
    <row r="10452" spans="27:27">
      <c r="AA10452" s="158" t="s">
        <v>2779</v>
      </c>
    </row>
    <row r="10453" spans="27:27">
      <c r="AA10453" s="158" t="s">
        <v>11479</v>
      </c>
    </row>
    <row r="10454" spans="27:27">
      <c r="AA10454" s="158" t="s">
        <v>11480</v>
      </c>
    </row>
    <row r="10455" spans="27:27">
      <c r="AA10455" s="158" t="s">
        <v>11481</v>
      </c>
    </row>
    <row r="10456" spans="27:27">
      <c r="AA10456" s="158" t="s">
        <v>11482</v>
      </c>
    </row>
    <row r="10457" spans="27:27">
      <c r="AA10457" s="158" t="s">
        <v>11483</v>
      </c>
    </row>
    <row r="10458" spans="27:27">
      <c r="AA10458" s="158" t="s">
        <v>1074</v>
      </c>
    </row>
    <row r="10459" spans="27:27">
      <c r="AA10459" s="158" t="s">
        <v>11484</v>
      </c>
    </row>
    <row r="10460" spans="27:27">
      <c r="AA10460" s="158" t="s">
        <v>11485</v>
      </c>
    </row>
    <row r="10461" spans="27:27">
      <c r="AA10461" s="158" t="s">
        <v>1075</v>
      </c>
    </row>
    <row r="10462" spans="27:27">
      <c r="AA10462" s="158" t="s">
        <v>2780</v>
      </c>
    </row>
    <row r="10463" spans="27:27">
      <c r="AA10463" s="158" t="s">
        <v>11486</v>
      </c>
    </row>
    <row r="10464" spans="27:27">
      <c r="AA10464" s="158" t="s">
        <v>11487</v>
      </c>
    </row>
    <row r="10465" spans="27:27">
      <c r="AA10465" s="158" t="s">
        <v>11488</v>
      </c>
    </row>
    <row r="10466" spans="27:27">
      <c r="AA10466" s="158" t="s">
        <v>11489</v>
      </c>
    </row>
    <row r="10467" spans="27:27">
      <c r="AA10467" s="158" t="s">
        <v>11490</v>
      </c>
    </row>
    <row r="10468" spans="27:27">
      <c r="AA10468" s="158" t="s">
        <v>11491</v>
      </c>
    </row>
    <row r="10469" spans="27:27">
      <c r="AA10469" s="158" t="s">
        <v>11492</v>
      </c>
    </row>
    <row r="10470" spans="27:27">
      <c r="AA10470" s="158" t="s">
        <v>11493</v>
      </c>
    </row>
    <row r="10471" spans="27:27">
      <c r="AA10471" s="158" t="s">
        <v>11494</v>
      </c>
    </row>
    <row r="10472" spans="27:27">
      <c r="AA10472" s="158" t="s">
        <v>2781</v>
      </c>
    </row>
    <row r="10473" spans="27:27">
      <c r="AA10473" s="158" t="s">
        <v>11495</v>
      </c>
    </row>
    <row r="10474" spans="27:27">
      <c r="AA10474" s="158" t="s">
        <v>11496</v>
      </c>
    </row>
    <row r="10475" spans="27:27">
      <c r="AA10475" s="158" t="s">
        <v>11497</v>
      </c>
    </row>
    <row r="10476" spans="27:27">
      <c r="AA10476" s="158" t="s">
        <v>11498</v>
      </c>
    </row>
    <row r="10477" spans="27:27">
      <c r="AA10477" s="158" t="s">
        <v>11499</v>
      </c>
    </row>
    <row r="10478" spans="27:27">
      <c r="AA10478" s="158" t="s">
        <v>11500</v>
      </c>
    </row>
    <row r="10479" spans="27:27">
      <c r="AA10479" s="158" t="s">
        <v>2782</v>
      </c>
    </row>
    <row r="10480" spans="27:27">
      <c r="AA10480" s="158" t="s">
        <v>11501</v>
      </c>
    </row>
    <row r="10481" spans="27:27">
      <c r="AA10481" s="158" t="s">
        <v>11502</v>
      </c>
    </row>
    <row r="10482" spans="27:27">
      <c r="AA10482" s="158" t="s">
        <v>11503</v>
      </c>
    </row>
    <row r="10483" spans="27:27">
      <c r="AA10483" s="158" t="s">
        <v>11504</v>
      </c>
    </row>
    <row r="10484" spans="27:27">
      <c r="AA10484" s="158" t="s">
        <v>11505</v>
      </c>
    </row>
    <row r="10485" spans="27:27">
      <c r="AA10485" s="158" t="s">
        <v>2783</v>
      </c>
    </row>
    <row r="10486" spans="27:27">
      <c r="AA10486" s="158" t="s">
        <v>11506</v>
      </c>
    </row>
    <row r="10487" spans="27:27">
      <c r="AA10487" s="158" t="s">
        <v>2784</v>
      </c>
    </row>
    <row r="10488" spans="27:27">
      <c r="AA10488" s="158" t="s">
        <v>11507</v>
      </c>
    </row>
    <row r="10489" spans="27:27">
      <c r="AA10489" s="158" t="s">
        <v>11508</v>
      </c>
    </row>
    <row r="10490" spans="27:27">
      <c r="AA10490" s="158" t="s">
        <v>11509</v>
      </c>
    </row>
    <row r="10491" spans="27:27">
      <c r="AA10491" s="158" t="s">
        <v>11510</v>
      </c>
    </row>
    <row r="10492" spans="27:27">
      <c r="AA10492" s="158" t="s">
        <v>11511</v>
      </c>
    </row>
    <row r="10493" spans="27:27">
      <c r="AA10493" s="158" t="s">
        <v>2785</v>
      </c>
    </row>
    <row r="10494" spans="27:27">
      <c r="AA10494" s="158" t="s">
        <v>11512</v>
      </c>
    </row>
    <row r="10495" spans="27:27">
      <c r="AA10495" s="158" t="s">
        <v>2786</v>
      </c>
    </row>
    <row r="10496" spans="27:27">
      <c r="AA10496" s="158" t="s">
        <v>11513</v>
      </c>
    </row>
    <row r="10497" spans="27:27">
      <c r="AA10497" s="158" t="s">
        <v>11514</v>
      </c>
    </row>
    <row r="10498" spans="27:27">
      <c r="AA10498" s="158" t="s">
        <v>11515</v>
      </c>
    </row>
    <row r="10499" spans="27:27">
      <c r="AA10499" s="158" t="s">
        <v>11516</v>
      </c>
    </row>
    <row r="10500" spans="27:27">
      <c r="AA10500" s="158" t="s">
        <v>11517</v>
      </c>
    </row>
    <row r="10501" spans="27:27">
      <c r="AA10501" s="158" t="s">
        <v>11518</v>
      </c>
    </row>
    <row r="10502" spans="27:27">
      <c r="AA10502" s="158" t="s">
        <v>11519</v>
      </c>
    </row>
    <row r="10503" spans="27:27">
      <c r="AA10503" s="158" t="s">
        <v>11520</v>
      </c>
    </row>
    <row r="10504" spans="27:27">
      <c r="AA10504" s="158" t="s">
        <v>11521</v>
      </c>
    </row>
    <row r="10505" spans="27:27">
      <c r="AA10505" s="158" t="s">
        <v>11522</v>
      </c>
    </row>
    <row r="10506" spans="27:27">
      <c r="AA10506" s="158" t="s">
        <v>3901</v>
      </c>
    </row>
    <row r="10507" spans="27:27">
      <c r="AA10507" s="158" t="s">
        <v>11523</v>
      </c>
    </row>
    <row r="10508" spans="27:27">
      <c r="AA10508" s="158" t="s">
        <v>11524</v>
      </c>
    </row>
    <row r="10509" spans="27:27">
      <c r="AA10509" s="158" t="s">
        <v>11525</v>
      </c>
    </row>
    <row r="10510" spans="27:27">
      <c r="AA10510" s="158" t="s">
        <v>11526</v>
      </c>
    </row>
    <row r="10511" spans="27:27">
      <c r="AA10511" s="158" t="s">
        <v>11527</v>
      </c>
    </row>
    <row r="10512" spans="27:27">
      <c r="AA10512" s="158" t="s">
        <v>11528</v>
      </c>
    </row>
    <row r="10513" spans="27:27">
      <c r="AA10513" s="158" t="s">
        <v>11529</v>
      </c>
    </row>
    <row r="10514" spans="27:27">
      <c r="AA10514" s="158" t="s">
        <v>11530</v>
      </c>
    </row>
    <row r="10515" spans="27:27">
      <c r="AA10515" s="158" t="s">
        <v>11531</v>
      </c>
    </row>
    <row r="10516" spans="27:27">
      <c r="AA10516" s="158" t="s">
        <v>11532</v>
      </c>
    </row>
    <row r="10517" spans="27:27">
      <c r="AA10517" s="158" t="s">
        <v>11533</v>
      </c>
    </row>
    <row r="10518" spans="27:27">
      <c r="AA10518" s="158" t="s">
        <v>2787</v>
      </c>
    </row>
    <row r="10519" spans="27:27">
      <c r="AA10519" s="158" t="s">
        <v>11534</v>
      </c>
    </row>
    <row r="10520" spans="27:27">
      <c r="AA10520" s="158" t="s">
        <v>11535</v>
      </c>
    </row>
    <row r="10521" spans="27:27">
      <c r="AA10521" s="158" t="s">
        <v>11536</v>
      </c>
    </row>
    <row r="10522" spans="27:27">
      <c r="AA10522" s="158" t="s">
        <v>11537</v>
      </c>
    </row>
    <row r="10523" spans="27:27">
      <c r="AA10523" s="158" t="s">
        <v>11538</v>
      </c>
    </row>
    <row r="10524" spans="27:27">
      <c r="AA10524" s="158" t="s">
        <v>11539</v>
      </c>
    </row>
    <row r="10525" spans="27:27">
      <c r="AA10525" s="158" t="s">
        <v>11540</v>
      </c>
    </row>
    <row r="10526" spans="27:27">
      <c r="AA10526" s="158" t="s">
        <v>11541</v>
      </c>
    </row>
    <row r="10527" spans="27:27">
      <c r="AA10527" s="158" t="s">
        <v>11542</v>
      </c>
    </row>
    <row r="10528" spans="27:27">
      <c r="AA10528" s="158" t="s">
        <v>11543</v>
      </c>
    </row>
    <row r="10529" spans="27:27">
      <c r="AA10529" s="158" t="s">
        <v>11544</v>
      </c>
    </row>
    <row r="10530" spans="27:27">
      <c r="AA10530" s="158" t="s">
        <v>11545</v>
      </c>
    </row>
    <row r="10531" spans="27:27">
      <c r="AA10531" s="158" t="s">
        <v>11546</v>
      </c>
    </row>
    <row r="10532" spans="27:27">
      <c r="AA10532" s="158" t="s">
        <v>11547</v>
      </c>
    </row>
    <row r="10533" spans="27:27">
      <c r="AA10533" s="158" t="s">
        <v>11548</v>
      </c>
    </row>
    <row r="10534" spans="27:27">
      <c r="AA10534" s="158" t="s">
        <v>11549</v>
      </c>
    </row>
    <row r="10535" spans="27:27">
      <c r="AA10535" s="158" t="s">
        <v>11550</v>
      </c>
    </row>
    <row r="10536" spans="27:27">
      <c r="AA10536" s="158" t="s">
        <v>11551</v>
      </c>
    </row>
    <row r="10537" spans="27:27">
      <c r="AA10537" s="158" t="s">
        <v>11552</v>
      </c>
    </row>
    <row r="10538" spans="27:27">
      <c r="AA10538" s="158" t="s">
        <v>11553</v>
      </c>
    </row>
    <row r="10539" spans="27:27">
      <c r="AA10539" s="158" t="s">
        <v>11554</v>
      </c>
    </row>
    <row r="10540" spans="27:27">
      <c r="AA10540" s="158" t="s">
        <v>11555</v>
      </c>
    </row>
    <row r="10541" spans="27:27">
      <c r="AA10541" s="158" t="s">
        <v>11556</v>
      </c>
    </row>
    <row r="10542" spans="27:27">
      <c r="AA10542" s="158" t="s">
        <v>11557</v>
      </c>
    </row>
    <row r="10543" spans="27:27">
      <c r="AA10543" s="158" t="s">
        <v>11558</v>
      </c>
    </row>
    <row r="10544" spans="27:27">
      <c r="AA10544" s="158" t="s">
        <v>11559</v>
      </c>
    </row>
    <row r="10545" spans="27:27">
      <c r="AA10545" s="158" t="s">
        <v>11560</v>
      </c>
    </row>
    <row r="10546" spans="27:27">
      <c r="AA10546" s="158" t="s">
        <v>11561</v>
      </c>
    </row>
    <row r="10547" spans="27:27">
      <c r="AA10547" s="158" t="s">
        <v>11562</v>
      </c>
    </row>
    <row r="10548" spans="27:27">
      <c r="AA10548" s="158" t="s">
        <v>2788</v>
      </c>
    </row>
    <row r="10549" spans="27:27">
      <c r="AA10549" s="158" t="s">
        <v>11563</v>
      </c>
    </row>
    <row r="10550" spans="27:27">
      <c r="AA10550" s="158" t="s">
        <v>11564</v>
      </c>
    </row>
    <row r="10551" spans="27:27">
      <c r="AA10551" s="158" t="s">
        <v>11565</v>
      </c>
    </row>
    <row r="10552" spans="27:27">
      <c r="AA10552" s="158" t="s">
        <v>11566</v>
      </c>
    </row>
    <row r="10553" spans="27:27">
      <c r="AA10553" s="158" t="s">
        <v>2789</v>
      </c>
    </row>
    <row r="10554" spans="27:27">
      <c r="AA10554" s="158" t="s">
        <v>3902</v>
      </c>
    </row>
    <row r="10555" spans="27:27">
      <c r="AA10555" s="158" t="s">
        <v>11567</v>
      </c>
    </row>
    <row r="10556" spans="27:27">
      <c r="AA10556" s="158" t="s">
        <v>11568</v>
      </c>
    </row>
    <row r="10557" spans="27:27">
      <c r="AA10557" s="158" t="s">
        <v>1076</v>
      </c>
    </row>
    <row r="10558" spans="27:27">
      <c r="AA10558" s="158" t="s">
        <v>11569</v>
      </c>
    </row>
    <row r="10559" spans="27:27">
      <c r="AA10559" s="158" t="s">
        <v>11570</v>
      </c>
    </row>
    <row r="10560" spans="27:27">
      <c r="AA10560" s="158" t="s">
        <v>11571</v>
      </c>
    </row>
    <row r="10561" spans="27:27">
      <c r="AA10561" s="158" t="s">
        <v>11572</v>
      </c>
    </row>
    <row r="10562" spans="27:27">
      <c r="AA10562" s="158" t="s">
        <v>11573</v>
      </c>
    </row>
    <row r="10563" spans="27:27">
      <c r="AA10563" s="158" t="s">
        <v>11574</v>
      </c>
    </row>
    <row r="10564" spans="27:27">
      <c r="AA10564" s="158" t="s">
        <v>11575</v>
      </c>
    </row>
    <row r="10565" spans="27:27">
      <c r="AA10565" s="158" t="s">
        <v>11576</v>
      </c>
    </row>
    <row r="10566" spans="27:27">
      <c r="AA10566" s="158" t="s">
        <v>11577</v>
      </c>
    </row>
    <row r="10567" spans="27:27">
      <c r="AA10567" s="158" t="s">
        <v>11578</v>
      </c>
    </row>
    <row r="10568" spans="27:27">
      <c r="AA10568" s="158" t="s">
        <v>11579</v>
      </c>
    </row>
    <row r="10569" spans="27:27">
      <c r="AA10569" s="158" t="s">
        <v>11580</v>
      </c>
    </row>
    <row r="10570" spans="27:27">
      <c r="AA10570" s="158" t="s">
        <v>11581</v>
      </c>
    </row>
    <row r="10571" spans="27:27">
      <c r="AA10571" s="158" t="s">
        <v>11582</v>
      </c>
    </row>
    <row r="10572" spans="27:27">
      <c r="AA10572" s="158" t="s">
        <v>11583</v>
      </c>
    </row>
    <row r="10573" spans="27:27">
      <c r="AA10573" s="158" t="s">
        <v>2790</v>
      </c>
    </row>
    <row r="10574" spans="27:27">
      <c r="AA10574" s="158" t="s">
        <v>11584</v>
      </c>
    </row>
    <row r="10575" spans="27:27">
      <c r="AA10575" s="158" t="s">
        <v>11585</v>
      </c>
    </row>
    <row r="10576" spans="27:27">
      <c r="AA10576" s="158" t="s">
        <v>11586</v>
      </c>
    </row>
    <row r="10577" spans="27:27">
      <c r="AA10577" s="158" t="s">
        <v>11587</v>
      </c>
    </row>
    <row r="10578" spans="27:27">
      <c r="AA10578" s="158" t="s">
        <v>11588</v>
      </c>
    </row>
    <row r="10579" spans="27:27">
      <c r="AA10579" s="158" t="s">
        <v>11589</v>
      </c>
    </row>
    <row r="10580" spans="27:27">
      <c r="AA10580" s="158" t="s">
        <v>11590</v>
      </c>
    </row>
    <row r="10581" spans="27:27">
      <c r="AA10581" s="158" t="s">
        <v>11591</v>
      </c>
    </row>
    <row r="10582" spans="27:27">
      <c r="AA10582" s="158" t="s">
        <v>11592</v>
      </c>
    </row>
    <row r="10583" spans="27:27">
      <c r="AA10583" s="158" t="s">
        <v>11593</v>
      </c>
    </row>
    <row r="10584" spans="27:27">
      <c r="AA10584" s="158" t="s">
        <v>11594</v>
      </c>
    </row>
    <row r="10585" spans="27:27">
      <c r="AA10585" s="158" t="s">
        <v>11595</v>
      </c>
    </row>
    <row r="10586" spans="27:27">
      <c r="AA10586" s="158" t="s">
        <v>11596</v>
      </c>
    </row>
    <row r="10587" spans="27:27">
      <c r="AA10587" s="158" t="s">
        <v>11597</v>
      </c>
    </row>
    <row r="10588" spans="27:27">
      <c r="AA10588" s="158" t="s">
        <v>11598</v>
      </c>
    </row>
    <row r="10589" spans="27:27">
      <c r="AA10589" s="158" t="s">
        <v>11599</v>
      </c>
    </row>
    <row r="10590" spans="27:27">
      <c r="AA10590" s="158" t="s">
        <v>11600</v>
      </c>
    </row>
    <row r="10591" spans="27:27">
      <c r="AA10591" s="158" t="s">
        <v>11601</v>
      </c>
    </row>
    <row r="10592" spans="27:27">
      <c r="AA10592" s="158" t="s">
        <v>11602</v>
      </c>
    </row>
    <row r="10593" spans="27:27">
      <c r="AA10593" s="158" t="s">
        <v>11603</v>
      </c>
    </row>
    <row r="10594" spans="27:27">
      <c r="AA10594" s="158" t="s">
        <v>11604</v>
      </c>
    </row>
    <row r="10595" spans="27:27">
      <c r="AA10595" s="158" t="s">
        <v>11605</v>
      </c>
    </row>
    <row r="10596" spans="27:27">
      <c r="AA10596" s="158" t="s">
        <v>11606</v>
      </c>
    </row>
    <row r="10597" spans="27:27">
      <c r="AA10597" s="158" t="s">
        <v>11607</v>
      </c>
    </row>
    <row r="10598" spans="27:27">
      <c r="AA10598" s="158" t="s">
        <v>11608</v>
      </c>
    </row>
    <row r="10599" spans="27:27">
      <c r="AA10599" s="158" t="s">
        <v>11609</v>
      </c>
    </row>
    <row r="10600" spans="27:27">
      <c r="AA10600" s="158" t="s">
        <v>11610</v>
      </c>
    </row>
    <row r="10601" spans="27:27">
      <c r="AA10601" s="158" t="s">
        <v>11611</v>
      </c>
    </row>
    <row r="10602" spans="27:27">
      <c r="AA10602" s="158" t="s">
        <v>11612</v>
      </c>
    </row>
    <row r="10603" spans="27:27">
      <c r="AA10603" s="158" t="s">
        <v>11613</v>
      </c>
    </row>
    <row r="10604" spans="27:27">
      <c r="AA10604" s="158" t="s">
        <v>11614</v>
      </c>
    </row>
    <row r="10605" spans="27:27">
      <c r="AA10605" s="158" t="s">
        <v>11615</v>
      </c>
    </row>
    <row r="10606" spans="27:27">
      <c r="AA10606" s="158" t="s">
        <v>11616</v>
      </c>
    </row>
    <row r="10607" spans="27:27">
      <c r="AA10607" s="158" t="s">
        <v>11617</v>
      </c>
    </row>
    <row r="10608" spans="27:27">
      <c r="AA10608" s="158" t="s">
        <v>11618</v>
      </c>
    </row>
    <row r="10609" spans="27:27">
      <c r="AA10609" s="158" t="s">
        <v>2791</v>
      </c>
    </row>
    <row r="10610" spans="27:27">
      <c r="AA10610" s="158" t="s">
        <v>2792</v>
      </c>
    </row>
    <row r="10611" spans="27:27">
      <c r="AA10611" s="158" t="s">
        <v>2793</v>
      </c>
    </row>
    <row r="10612" spans="27:27">
      <c r="AA10612" s="158" t="s">
        <v>11619</v>
      </c>
    </row>
    <row r="10613" spans="27:27">
      <c r="AA10613" s="158" t="s">
        <v>11620</v>
      </c>
    </row>
    <row r="10614" spans="27:27">
      <c r="AA10614" s="158" t="s">
        <v>11621</v>
      </c>
    </row>
    <row r="10615" spans="27:27">
      <c r="AA10615" s="158" t="s">
        <v>11622</v>
      </c>
    </row>
    <row r="10616" spans="27:27">
      <c r="AA10616" s="158" t="s">
        <v>11623</v>
      </c>
    </row>
    <row r="10617" spans="27:27">
      <c r="AA10617" s="158" t="s">
        <v>11624</v>
      </c>
    </row>
    <row r="10618" spans="27:27">
      <c r="AA10618" s="158" t="s">
        <v>2794</v>
      </c>
    </row>
    <row r="10619" spans="27:27">
      <c r="AA10619" s="158" t="s">
        <v>2795</v>
      </c>
    </row>
    <row r="10620" spans="27:27">
      <c r="AA10620" s="158" t="s">
        <v>11625</v>
      </c>
    </row>
    <row r="10621" spans="27:27">
      <c r="AA10621" s="158" t="s">
        <v>11626</v>
      </c>
    </row>
    <row r="10622" spans="27:27">
      <c r="AA10622" s="158" t="s">
        <v>11627</v>
      </c>
    </row>
    <row r="10623" spans="27:27">
      <c r="AA10623" s="158" t="s">
        <v>11628</v>
      </c>
    </row>
    <row r="10624" spans="27:27">
      <c r="AA10624" s="158" t="s">
        <v>11629</v>
      </c>
    </row>
    <row r="10625" spans="27:27">
      <c r="AA10625" s="158" t="s">
        <v>11630</v>
      </c>
    </row>
    <row r="10626" spans="27:27">
      <c r="AA10626" s="158" t="s">
        <v>11631</v>
      </c>
    </row>
    <row r="10627" spans="27:27">
      <c r="AA10627" s="158" t="s">
        <v>11632</v>
      </c>
    </row>
    <row r="10628" spans="27:27">
      <c r="AA10628" s="158" t="s">
        <v>11633</v>
      </c>
    </row>
    <row r="10629" spans="27:27">
      <c r="AA10629" s="158" t="s">
        <v>11634</v>
      </c>
    </row>
    <row r="10630" spans="27:27">
      <c r="AA10630" s="158" t="s">
        <v>11635</v>
      </c>
    </row>
    <row r="10631" spans="27:27">
      <c r="AA10631" s="158" t="s">
        <v>11636</v>
      </c>
    </row>
    <row r="10632" spans="27:27">
      <c r="AA10632" s="158" t="s">
        <v>11637</v>
      </c>
    </row>
    <row r="10633" spans="27:27">
      <c r="AA10633" s="158" t="s">
        <v>11638</v>
      </c>
    </row>
    <row r="10634" spans="27:27">
      <c r="AA10634" s="158" t="s">
        <v>11639</v>
      </c>
    </row>
    <row r="10635" spans="27:27">
      <c r="AA10635" s="158" t="s">
        <v>11640</v>
      </c>
    </row>
    <row r="10636" spans="27:27">
      <c r="AA10636" s="158" t="s">
        <v>11641</v>
      </c>
    </row>
    <row r="10637" spans="27:27">
      <c r="AA10637" s="158" t="s">
        <v>11642</v>
      </c>
    </row>
    <row r="10638" spans="27:27">
      <c r="AA10638" s="158" t="s">
        <v>11643</v>
      </c>
    </row>
    <row r="10639" spans="27:27">
      <c r="AA10639" s="158" t="s">
        <v>11644</v>
      </c>
    </row>
    <row r="10640" spans="27:27">
      <c r="AA10640" s="158" t="s">
        <v>11645</v>
      </c>
    </row>
    <row r="10641" spans="27:27">
      <c r="AA10641" s="158" t="s">
        <v>11646</v>
      </c>
    </row>
    <row r="10642" spans="27:27">
      <c r="AA10642" s="158" t="s">
        <v>11647</v>
      </c>
    </row>
    <row r="10643" spans="27:27">
      <c r="AA10643" s="158" t="s">
        <v>2796</v>
      </c>
    </row>
    <row r="10644" spans="27:27">
      <c r="AA10644" s="158" t="s">
        <v>11648</v>
      </c>
    </row>
    <row r="10645" spans="27:27">
      <c r="AA10645" s="158" t="s">
        <v>11649</v>
      </c>
    </row>
    <row r="10646" spans="27:27">
      <c r="AA10646" s="158" t="s">
        <v>11650</v>
      </c>
    </row>
    <row r="10647" spans="27:27">
      <c r="AA10647" s="158" t="s">
        <v>11651</v>
      </c>
    </row>
    <row r="10648" spans="27:27">
      <c r="AA10648" s="158" t="s">
        <v>11652</v>
      </c>
    </row>
    <row r="10649" spans="27:27">
      <c r="AA10649" s="158" t="s">
        <v>11653</v>
      </c>
    </row>
    <row r="10650" spans="27:27">
      <c r="AA10650" s="158" t="s">
        <v>11654</v>
      </c>
    </row>
    <row r="10651" spans="27:27">
      <c r="AA10651" s="158" t="s">
        <v>11655</v>
      </c>
    </row>
    <row r="10652" spans="27:27">
      <c r="AA10652" s="158" t="s">
        <v>2797</v>
      </c>
    </row>
    <row r="10653" spans="27:27">
      <c r="AA10653" s="158" t="s">
        <v>11656</v>
      </c>
    </row>
    <row r="10654" spans="27:27">
      <c r="AA10654" s="158" t="s">
        <v>11657</v>
      </c>
    </row>
    <row r="10655" spans="27:27">
      <c r="AA10655" s="158" t="s">
        <v>11658</v>
      </c>
    </row>
    <row r="10656" spans="27:27">
      <c r="AA10656" s="158" t="s">
        <v>11659</v>
      </c>
    </row>
    <row r="10657" spans="27:27">
      <c r="AA10657" s="158" t="s">
        <v>2798</v>
      </c>
    </row>
    <row r="10658" spans="27:27">
      <c r="AA10658" s="158" t="s">
        <v>11660</v>
      </c>
    </row>
    <row r="10659" spans="27:27">
      <c r="AA10659" s="158" t="s">
        <v>11661</v>
      </c>
    </row>
    <row r="10660" spans="27:27">
      <c r="AA10660" s="158" t="s">
        <v>2799</v>
      </c>
    </row>
    <row r="10661" spans="27:27">
      <c r="AA10661" s="158" t="s">
        <v>3903</v>
      </c>
    </row>
    <row r="10662" spans="27:27">
      <c r="AA10662" s="158" t="s">
        <v>2800</v>
      </c>
    </row>
    <row r="10663" spans="27:27">
      <c r="AA10663" s="158" t="s">
        <v>11662</v>
      </c>
    </row>
    <row r="10664" spans="27:27">
      <c r="AA10664" s="158" t="s">
        <v>11663</v>
      </c>
    </row>
    <row r="10665" spans="27:27">
      <c r="AA10665" s="158" t="s">
        <v>11664</v>
      </c>
    </row>
    <row r="10666" spans="27:27">
      <c r="AA10666" s="158" t="s">
        <v>11665</v>
      </c>
    </row>
    <row r="10667" spans="27:27">
      <c r="AA10667" s="158" t="s">
        <v>11666</v>
      </c>
    </row>
    <row r="10668" spans="27:27">
      <c r="AA10668" s="158" t="s">
        <v>11667</v>
      </c>
    </row>
    <row r="10669" spans="27:27">
      <c r="AA10669" s="158" t="s">
        <v>11668</v>
      </c>
    </row>
    <row r="10670" spans="27:27">
      <c r="AA10670" s="158" t="s">
        <v>11669</v>
      </c>
    </row>
    <row r="10671" spans="27:27">
      <c r="AA10671" s="158" t="s">
        <v>11670</v>
      </c>
    </row>
    <row r="10672" spans="27:27">
      <c r="AA10672" s="158" t="s">
        <v>11671</v>
      </c>
    </row>
    <row r="10673" spans="27:27">
      <c r="AA10673" s="158" t="s">
        <v>11672</v>
      </c>
    </row>
    <row r="10674" spans="27:27">
      <c r="AA10674" s="158" t="s">
        <v>11673</v>
      </c>
    </row>
    <row r="10675" spans="27:27">
      <c r="AA10675" s="158" t="s">
        <v>11674</v>
      </c>
    </row>
    <row r="10676" spans="27:27">
      <c r="AA10676" s="158" t="s">
        <v>11675</v>
      </c>
    </row>
    <row r="10677" spans="27:27">
      <c r="AA10677" s="158" t="s">
        <v>11676</v>
      </c>
    </row>
    <row r="10678" spans="27:27">
      <c r="AA10678" s="158" t="s">
        <v>11677</v>
      </c>
    </row>
    <row r="10679" spans="27:27">
      <c r="AA10679" s="158" t="s">
        <v>11678</v>
      </c>
    </row>
    <row r="10680" spans="27:27">
      <c r="AA10680" s="158" t="s">
        <v>11679</v>
      </c>
    </row>
    <row r="10681" spans="27:27">
      <c r="AA10681" s="158" t="s">
        <v>11680</v>
      </c>
    </row>
    <row r="10682" spans="27:27">
      <c r="AA10682" s="158" t="s">
        <v>11681</v>
      </c>
    </row>
    <row r="10683" spans="27:27">
      <c r="AA10683" s="158" t="s">
        <v>11682</v>
      </c>
    </row>
    <row r="10684" spans="27:27">
      <c r="AA10684" s="158" t="s">
        <v>11683</v>
      </c>
    </row>
    <row r="10685" spans="27:27">
      <c r="AA10685" s="158" t="s">
        <v>11684</v>
      </c>
    </row>
    <row r="10686" spans="27:27">
      <c r="AA10686" s="158" t="s">
        <v>2801</v>
      </c>
    </row>
    <row r="10687" spans="27:27">
      <c r="AA10687" s="158" t="s">
        <v>11685</v>
      </c>
    </row>
    <row r="10688" spans="27:27">
      <c r="AA10688" s="158" t="s">
        <v>11686</v>
      </c>
    </row>
    <row r="10689" spans="27:27">
      <c r="AA10689" s="158" t="s">
        <v>11687</v>
      </c>
    </row>
    <row r="10690" spans="27:27">
      <c r="AA10690" s="158" t="s">
        <v>11688</v>
      </c>
    </row>
    <row r="10691" spans="27:27">
      <c r="AA10691" s="158" t="s">
        <v>1077</v>
      </c>
    </row>
    <row r="10692" spans="27:27">
      <c r="AA10692" s="158" t="s">
        <v>11689</v>
      </c>
    </row>
    <row r="10693" spans="27:27">
      <c r="AA10693" s="158" t="s">
        <v>11690</v>
      </c>
    </row>
    <row r="10694" spans="27:27">
      <c r="AA10694" s="158" t="s">
        <v>11691</v>
      </c>
    </row>
    <row r="10695" spans="27:27">
      <c r="AA10695" s="158" t="s">
        <v>1078</v>
      </c>
    </row>
    <row r="10696" spans="27:27">
      <c r="AA10696" s="158" t="s">
        <v>11692</v>
      </c>
    </row>
    <row r="10697" spans="27:27">
      <c r="AA10697" s="158" t="s">
        <v>11693</v>
      </c>
    </row>
    <row r="10698" spans="27:27">
      <c r="AA10698" s="158" t="s">
        <v>11694</v>
      </c>
    </row>
    <row r="10699" spans="27:27">
      <c r="AA10699" s="158" t="s">
        <v>1079</v>
      </c>
    </row>
    <row r="10700" spans="27:27">
      <c r="AA10700" s="158" t="s">
        <v>1080</v>
      </c>
    </row>
    <row r="10701" spans="27:27">
      <c r="AA10701" s="158" t="s">
        <v>1081</v>
      </c>
    </row>
    <row r="10702" spans="27:27">
      <c r="AA10702" s="158" t="s">
        <v>1082</v>
      </c>
    </row>
    <row r="10703" spans="27:27">
      <c r="AA10703" s="158" t="s">
        <v>1083</v>
      </c>
    </row>
    <row r="10704" spans="27:27">
      <c r="AA10704" s="158" t="s">
        <v>1084</v>
      </c>
    </row>
    <row r="10705" spans="27:27">
      <c r="AA10705" s="158" t="s">
        <v>1085</v>
      </c>
    </row>
    <row r="10706" spans="27:27">
      <c r="AA10706" s="158" t="s">
        <v>1086</v>
      </c>
    </row>
    <row r="10707" spans="27:27">
      <c r="AA10707" s="158" t="s">
        <v>2802</v>
      </c>
    </row>
    <row r="10708" spans="27:27">
      <c r="AA10708" s="158" t="s">
        <v>2803</v>
      </c>
    </row>
    <row r="10709" spans="27:27">
      <c r="AA10709" s="158" t="s">
        <v>11695</v>
      </c>
    </row>
    <row r="10710" spans="27:27">
      <c r="AA10710" s="158" t="s">
        <v>2804</v>
      </c>
    </row>
    <row r="10711" spans="27:27">
      <c r="AA10711" s="158" t="s">
        <v>3904</v>
      </c>
    </row>
    <row r="10712" spans="27:27">
      <c r="AA10712" s="158" t="s">
        <v>2805</v>
      </c>
    </row>
    <row r="10713" spans="27:27">
      <c r="AA10713" s="158" t="s">
        <v>11696</v>
      </c>
    </row>
    <row r="10714" spans="27:27">
      <c r="AA10714" s="158" t="s">
        <v>2806</v>
      </c>
    </row>
    <row r="10715" spans="27:27">
      <c r="AA10715" s="158" t="s">
        <v>11697</v>
      </c>
    </row>
    <row r="10716" spans="27:27">
      <c r="AA10716" s="158" t="s">
        <v>11698</v>
      </c>
    </row>
    <row r="10717" spans="27:27">
      <c r="AA10717" s="158" t="s">
        <v>11699</v>
      </c>
    </row>
    <row r="10718" spans="27:27">
      <c r="AA10718" s="158" t="s">
        <v>11700</v>
      </c>
    </row>
    <row r="10719" spans="27:27">
      <c r="AA10719" s="158" t="s">
        <v>11701</v>
      </c>
    </row>
    <row r="10720" spans="27:27">
      <c r="AA10720" s="158" t="s">
        <v>1087</v>
      </c>
    </row>
    <row r="10721" spans="27:27">
      <c r="AA10721" s="158" t="s">
        <v>11702</v>
      </c>
    </row>
    <row r="10722" spans="27:27">
      <c r="AA10722" s="158" t="s">
        <v>11703</v>
      </c>
    </row>
    <row r="10723" spans="27:27">
      <c r="AA10723" s="158" t="s">
        <v>11704</v>
      </c>
    </row>
    <row r="10724" spans="27:27">
      <c r="AA10724" s="158" t="s">
        <v>1088</v>
      </c>
    </row>
    <row r="10725" spans="27:27">
      <c r="AA10725" s="158" t="s">
        <v>11705</v>
      </c>
    </row>
    <row r="10726" spans="27:27">
      <c r="AA10726" s="158" t="s">
        <v>11706</v>
      </c>
    </row>
    <row r="10727" spans="27:27">
      <c r="AA10727" s="158" t="s">
        <v>11707</v>
      </c>
    </row>
    <row r="10728" spans="27:27">
      <c r="AA10728" s="158" t="s">
        <v>11708</v>
      </c>
    </row>
    <row r="10729" spans="27:27">
      <c r="AA10729" s="158" t="s">
        <v>11709</v>
      </c>
    </row>
    <row r="10730" spans="27:27">
      <c r="AA10730" s="158" t="s">
        <v>11710</v>
      </c>
    </row>
    <row r="10731" spans="27:27">
      <c r="AA10731" s="158" t="s">
        <v>11711</v>
      </c>
    </row>
    <row r="10732" spans="27:27">
      <c r="AA10732" s="158" t="s">
        <v>11712</v>
      </c>
    </row>
    <row r="10733" spans="27:27">
      <c r="AA10733" s="158" t="s">
        <v>11713</v>
      </c>
    </row>
    <row r="10734" spans="27:27">
      <c r="AA10734" s="158" t="s">
        <v>11714</v>
      </c>
    </row>
    <row r="10735" spans="27:27">
      <c r="AA10735" s="158" t="s">
        <v>11715</v>
      </c>
    </row>
    <row r="10736" spans="27:27">
      <c r="AA10736" s="158" t="s">
        <v>11716</v>
      </c>
    </row>
    <row r="10737" spans="27:27">
      <c r="AA10737" s="158" t="s">
        <v>11717</v>
      </c>
    </row>
    <row r="10738" spans="27:27">
      <c r="AA10738" s="158" t="s">
        <v>11718</v>
      </c>
    </row>
    <row r="10739" spans="27:27">
      <c r="AA10739" s="158" t="s">
        <v>11719</v>
      </c>
    </row>
    <row r="10740" spans="27:27">
      <c r="AA10740" s="158" t="s">
        <v>11720</v>
      </c>
    </row>
    <row r="10741" spans="27:27">
      <c r="AA10741" s="158" t="s">
        <v>11721</v>
      </c>
    </row>
    <row r="10742" spans="27:27">
      <c r="AA10742" s="158" t="s">
        <v>11722</v>
      </c>
    </row>
    <row r="10743" spans="27:27">
      <c r="AA10743" s="158" t="s">
        <v>11723</v>
      </c>
    </row>
    <row r="10744" spans="27:27">
      <c r="AA10744" s="158" t="s">
        <v>11724</v>
      </c>
    </row>
    <row r="10745" spans="27:27">
      <c r="AA10745" s="158" t="s">
        <v>11725</v>
      </c>
    </row>
    <row r="10746" spans="27:27">
      <c r="AA10746" s="158" t="s">
        <v>11726</v>
      </c>
    </row>
    <row r="10747" spans="27:27">
      <c r="AA10747" s="158" t="s">
        <v>11727</v>
      </c>
    </row>
    <row r="10748" spans="27:27">
      <c r="AA10748" s="158" t="s">
        <v>11728</v>
      </c>
    </row>
    <row r="10749" spans="27:27">
      <c r="AA10749" s="158" t="s">
        <v>11729</v>
      </c>
    </row>
    <row r="10750" spans="27:27">
      <c r="AA10750" s="158" t="s">
        <v>11730</v>
      </c>
    </row>
    <row r="10751" spans="27:27">
      <c r="AA10751" s="158" t="s">
        <v>11731</v>
      </c>
    </row>
    <row r="10752" spans="27:27">
      <c r="AA10752" s="158" t="s">
        <v>11732</v>
      </c>
    </row>
    <row r="10753" spans="27:27">
      <c r="AA10753" s="158" t="s">
        <v>11733</v>
      </c>
    </row>
    <row r="10754" spans="27:27">
      <c r="AA10754" s="158" t="s">
        <v>11734</v>
      </c>
    </row>
    <row r="10755" spans="27:27">
      <c r="AA10755" s="158" t="s">
        <v>11735</v>
      </c>
    </row>
    <row r="10756" spans="27:27">
      <c r="AA10756" s="158" t="s">
        <v>11736</v>
      </c>
    </row>
    <row r="10757" spans="27:27">
      <c r="AA10757" s="158" t="s">
        <v>11737</v>
      </c>
    </row>
    <row r="10758" spans="27:27">
      <c r="AA10758" s="158" t="s">
        <v>11738</v>
      </c>
    </row>
    <row r="10759" spans="27:27">
      <c r="AA10759" s="158" t="s">
        <v>11739</v>
      </c>
    </row>
    <row r="10760" spans="27:27">
      <c r="AA10760" s="158" t="s">
        <v>11740</v>
      </c>
    </row>
    <row r="10761" spans="27:27">
      <c r="AA10761" s="158" t="s">
        <v>11741</v>
      </c>
    </row>
    <row r="10762" spans="27:27">
      <c r="AA10762" s="158" t="s">
        <v>11742</v>
      </c>
    </row>
    <row r="10763" spans="27:27">
      <c r="AA10763" s="158" t="s">
        <v>11743</v>
      </c>
    </row>
    <row r="10764" spans="27:27">
      <c r="AA10764" s="158" t="s">
        <v>11744</v>
      </c>
    </row>
    <row r="10765" spans="27:27">
      <c r="AA10765" s="158" t="s">
        <v>11745</v>
      </c>
    </row>
    <row r="10766" spans="27:27">
      <c r="AA10766" s="158" t="s">
        <v>11746</v>
      </c>
    </row>
    <row r="10767" spans="27:27">
      <c r="AA10767" s="158" t="s">
        <v>11747</v>
      </c>
    </row>
    <row r="10768" spans="27:27">
      <c r="AA10768" s="158" t="s">
        <v>11748</v>
      </c>
    </row>
    <row r="10769" spans="27:27">
      <c r="AA10769" s="158" t="s">
        <v>11749</v>
      </c>
    </row>
    <row r="10770" spans="27:27">
      <c r="AA10770" s="158" t="s">
        <v>11750</v>
      </c>
    </row>
    <row r="10771" spans="27:27">
      <c r="AA10771" s="158" t="s">
        <v>11751</v>
      </c>
    </row>
    <row r="10772" spans="27:27">
      <c r="AA10772" s="158" t="s">
        <v>11752</v>
      </c>
    </row>
    <row r="10773" spans="27:27">
      <c r="AA10773" s="158" t="s">
        <v>11753</v>
      </c>
    </row>
    <row r="10774" spans="27:27">
      <c r="AA10774" s="158" t="s">
        <v>11754</v>
      </c>
    </row>
    <row r="10775" spans="27:27">
      <c r="AA10775" s="158" t="s">
        <v>3905</v>
      </c>
    </row>
    <row r="10776" spans="27:27">
      <c r="AA10776" s="158" t="s">
        <v>11755</v>
      </c>
    </row>
    <row r="10777" spans="27:27">
      <c r="AA10777" s="158" t="s">
        <v>11756</v>
      </c>
    </row>
    <row r="10778" spans="27:27">
      <c r="AA10778" s="158" t="s">
        <v>11757</v>
      </c>
    </row>
    <row r="10779" spans="27:27">
      <c r="AA10779" s="158" t="s">
        <v>11758</v>
      </c>
    </row>
    <row r="10780" spans="27:27">
      <c r="AA10780" s="158" t="s">
        <v>1089</v>
      </c>
    </row>
    <row r="10781" spans="27:27">
      <c r="AA10781" s="158" t="s">
        <v>11759</v>
      </c>
    </row>
    <row r="10782" spans="27:27">
      <c r="AA10782" s="158" t="s">
        <v>11760</v>
      </c>
    </row>
    <row r="10783" spans="27:27">
      <c r="AA10783" s="158" t="s">
        <v>11761</v>
      </c>
    </row>
    <row r="10784" spans="27:27">
      <c r="AA10784" s="158" t="s">
        <v>1090</v>
      </c>
    </row>
    <row r="10785" spans="27:27">
      <c r="AA10785" s="158" t="s">
        <v>11762</v>
      </c>
    </row>
    <row r="10786" spans="27:27">
      <c r="AA10786" s="158" t="s">
        <v>11763</v>
      </c>
    </row>
    <row r="10787" spans="27:27">
      <c r="AA10787" s="158" t="s">
        <v>3906</v>
      </c>
    </row>
    <row r="10788" spans="27:27">
      <c r="AA10788" s="158" t="s">
        <v>2807</v>
      </c>
    </row>
    <row r="10789" spans="27:27">
      <c r="AA10789" s="158" t="s">
        <v>11764</v>
      </c>
    </row>
    <row r="10790" spans="27:27">
      <c r="AA10790" s="158" t="s">
        <v>11765</v>
      </c>
    </row>
    <row r="10791" spans="27:27">
      <c r="AA10791" s="158" t="s">
        <v>11766</v>
      </c>
    </row>
    <row r="10792" spans="27:27">
      <c r="AA10792" s="158" t="s">
        <v>11767</v>
      </c>
    </row>
    <row r="10793" spans="27:27">
      <c r="AA10793" s="158" t="s">
        <v>11768</v>
      </c>
    </row>
    <row r="10794" spans="27:27">
      <c r="AA10794" s="158" t="s">
        <v>11769</v>
      </c>
    </row>
    <row r="10795" spans="27:27">
      <c r="AA10795" s="158" t="s">
        <v>2808</v>
      </c>
    </row>
    <row r="10796" spans="27:27">
      <c r="AA10796" s="158" t="s">
        <v>3907</v>
      </c>
    </row>
    <row r="10797" spans="27:27">
      <c r="AA10797" s="158" t="s">
        <v>11770</v>
      </c>
    </row>
    <row r="10798" spans="27:27">
      <c r="AA10798" s="158" t="s">
        <v>11771</v>
      </c>
    </row>
    <row r="10799" spans="27:27">
      <c r="AA10799" s="158" t="s">
        <v>2809</v>
      </c>
    </row>
    <row r="10800" spans="27:27">
      <c r="AA10800" s="158" t="s">
        <v>11772</v>
      </c>
    </row>
    <row r="10801" spans="27:27">
      <c r="AA10801" s="158" t="s">
        <v>11773</v>
      </c>
    </row>
    <row r="10802" spans="27:27">
      <c r="AA10802" s="158" t="s">
        <v>11774</v>
      </c>
    </row>
    <row r="10803" spans="27:27">
      <c r="AA10803" s="158" t="s">
        <v>2810</v>
      </c>
    </row>
    <row r="10804" spans="27:27">
      <c r="AA10804" s="158" t="s">
        <v>11775</v>
      </c>
    </row>
    <row r="10805" spans="27:27">
      <c r="AA10805" s="158" t="s">
        <v>11776</v>
      </c>
    </row>
    <row r="10806" spans="27:27">
      <c r="AA10806" s="158" t="s">
        <v>1091</v>
      </c>
    </row>
    <row r="10807" spans="27:27">
      <c r="AA10807" s="158" t="s">
        <v>11777</v>
      </c>
    </row>
    <row r="10808" spans="27:27">
      <c r="AA10808" s="158" t="s">
        <v>11778</v>
      </c>
    </row>
    <row r="10809" spans="27:27">
      <c r="AA10809" s="158" t="s">
        <v>11779</v>
      </c>
    </row>
    <row r="10810" spans="27:27">
      <c r="AA10810" s="158" t="s">
        <v>11780</v>
      </c>
    </row>
    <row r="10811" spans="27:27">
      <c r="AA10811" s="158" t="s">
        <v>11781</v>
      </c>
    </row>
    <row r="10812" spans="27:27">
      <c r="AA10812" s="158" t="s">
        <v>11782</v>
      </c>
    </row>
    <row r="10813" spans="27:27">
      <c r="AA10813" s="158" t="s">
        <v>11783</v>
      </c>
    </row>
    <row r="10814" spans="27:27">
      <c r="AA10814" s="158" t="s">
        <v>11784</v>
      </c>
    </row>
    <row r="10815" spans="27:27">
      <c r="AA10815" s="158" t="s">
        <v>11785</v>
      </c>
    </row>
    <row r="10816" spans="27:27">
      <c r="AA10816" s="158" t="s">
        <v>11786</v>
      </c>
    </row>
    <row r="10817" spans="27:27">
      <c r="AA10817" s="158" t="s">
        <v>11787</v>
      </c>
    </row>
    <row r="10818" spans="27:27">
      <c r="AA10818" s="158" t="s">
        <v>11788</v>
      </c>
    </row>
    <row r="10819" spans="27:27">
      <c r="AA10819" s="158" t="s">
        <v>2811</v>
      </c>
    </row>
    <row r="10820" spans="27:27">
      <c r="AA10820" s="158" t="s">
        <v>11789</v>
      </c>
    </row>
    <row r="10821" spans="27:27">
      <c r="AA10821" s="158" t="s">
        <v>11790</v>
      </c>
    </row>
    <row r="10822" spans="27:27">
      <c r="AA10822" s="158" t="s">
        <v>11791</v>
      </c>
    </row>
    <row r="10823" spans="27:27">
      <c r="AA10823" s="158" t="s">
        <v>11792</v>
      </c>
    </row>
    <row r="10824" spans="27:27">
      <c r="AA10824" s="158" t="s">
        <v>2812</v>
      </c>
    </row>
    <row r="10825" spans="27:27">
      <c r="AA10825" s="158" t="s">
        <v>11793</v>
      </c>
    </row>
    <row r="10826" spans="27:27">
      <c r="AA10826" s="158" t="s">
        <v>11794</v>
      </c>
    </row>
    <row r="10827" spans="27:27">
      <c r="AA10827" s="158" t="s">
        <v>11795</v>
      </c>
    </row>
    <row r="10828" spans="27:27">
      <c r="AA10828" s="158" t="s">
        <v>2813</v>
      </c>
    </row>
    <row r="10829" spans="27:27">
      <c r="AA10829" s="158" t="s">
        <v>11796</v>
      </c>
    </row>
    <row r="10830" spans="27:27">
      <c r="AA10830" s="158" t="s">
        <v>11797</v>
      </c>
    </row>
    <row r="10831" spans="27:27">
      <c r="AA10831" s="158" t="s">
        <v>11798</v>
      </c>
    </row>
    <row r="10832" spans="27:27">
      <c r="AA10832" s="158" t="s">
        <v>2814</v>
      </c>
    </row>
    <row r="10833" spans="27:27">
      <c r="AA10833" s="158" t="s">
        <v>11799</v>
      </c>
    </row>
    <row r="10834" spans="27:27">
      <c r="AA10834" s="158" t="s">
        <v>11800</v>
      </c>
    </row>
    <row r="10835" spans="27:27">
      <c r="AA10835" s="158" t="s">
        <v>11801</v>
      </c>
    </row>
    <row r="10836" spans="27:27">
      <c r="AA10836" s="158" t="s">
        <v>2815</v>
      </c>
    </row>
    <row r="10837" spans="27:27">
      <c r="AA10837" s="158" t="s">
        <v>11802</v>
      </c>
    </row>
    <row r="10838" spans="27:27">
      <c r="AA10838" s="158" t="s">
        <v>2816</v>
      </c>
    </row>
    <row r="10839" spans="27:27">
      <c r="AA10839" s="158" t="s">
        <v>3908</v>
      </c>
    </row>
    <row r="10840" spans="27:27">
      <c r="AA10840" s="158" t="s">
        <v>11803</v>
      </c>
    </row>
    <row r="10841" spans="27:27">
      <c r="AA10841" s="158" t="s">
        <v>11804</v>
      </c>
    </row>
    <row r="10842" spans="27:27">
      <c r="AA10842" s="158" t="s">
        <v>11805</v>
      </c>
    </row>
    <row r="10843" spans="27:27">
      <c r="AA10843" s="158" t="s">
        <v>11806</v>
      </c>
    </row>
    <row r="10844" spans="27:27">
      <c r="AA10844" s="158" t="s">
        <v>11807</v>
      </c>
    </row>
    <row r="10845" spans="27:27">
      <c r="AA10845" s="158" t="s">
        <v>11808</v>
      </c>
    </row>
    <row r="10846" spans="27:27">
      <c r="AA10846" s="158" t="s">
        <v>2817</v>
      </c>
    </row>
    <row r="10847" spans="27:27">
      <c r="AA10847" s="158" t="s">
        <v>11809</v>
      </c>
    </row>
    <row r="10848" spans="27:27">
      <c r="AA10848" s="158" t="s">
        <v>1092</v>
      </c>
    </row>
    <row r="10849" spans="27:27">
      <c r="AA10849" s="158" t="s">
        <v>11810</v>
      </c>
    </row>
    <row r="10850" spans="27:27">
      <c r="AA10850" s="158" t="s">
        <v>11811</v>
      </c>
    </row>
    <row r="10851" spans="27:27">
      <c r="AA10851" s="158" t="s">
        <v>1093</v>
      </c>
    </row>
    <row r="10852" spans="27:27">
      <c r="AA10852" s="158" t="s">
        <v>1094</v>
      </c>
    </row>
    <row r="10853" spans="27:27">
      <c r="AA10853" s="158" t="s">
        <v>11812</v>
      </c>
    </row>
    <row r="10854" spans="27:27">
      <c r="AA10854" s="158" t="s">
        <v>11813</v>
      </c>
    </row>
    <row r="10855" spans="27:27">
      <c r="AA10855" s="158" t="s">
        <v>11814</v>
      </c>
    </row>
    <row r="10856" spans="27:27">
      <c r="AA10856" s="158" t="s">
        <v>11815</v>
      </c>
    </row>
    <row r="10857" spans="27:27">
      <c r="AA10857" s="158" t="s">
        <v>11816</v>
      </c>
    </row>
    <row r="10858" spans="27:27">
      <c r="AA10858" s="158" t="s">
        <v>11817</v>
      </c>
    </row>
    <row r="10859" spans="27:27">
      <c r="AA10859" s="158" t="s">
        <v>11818</v>
      </c>
    </row>
    <row r="10860" spans="27:27">
      <c r="AA10860" s="158" t="s">
        <v>11819</v>
      </c>
    </row>
    <row r="10861" spans="27:27">
      <c r="AA10861" s="158" t="s">
        <v>11820</v>
      </c>
    </row>
    <row r="10862" spans="27:27">
      <c r="AA10862" s="158" t="s">
        <v>11821</v>
      </c>
    </row>
    <row r="10863" spans="27:27">
      <c r="AA10863" s="158" t="s">
        <v>11822</v>
      </c>
    </row>
    <row r="10864" spans="27:27">
      <c r="AA10864" s="158" t="s">
        <v>11823</v>
      </c>
    </row>
    <row r="10865" spans="27:27">
      <c r="AA10865" s="158" t="s">
        <v>11824</v>
      </c>
    </row>
    <row r="10866" spans="27:27">
      <c r="AA10866" s="158" t="s">
        <v>11825</v>
      </c>
    </row>
    <row r="10867" spans="27:27">
      <c r="AA10867" s="158" t="s">
        <v>11826</v>
      </c>
    </row>
    <row r="10868" spans="27:27">
      <c r="AA10868" s="158" t="s">
        <v>11827</v>
      </c>
    </row>
    <row r="10869" spans="27:27">
      <c r="AA10869" s="158" t="s">
        <v>11828</v>
      </c>
    </row>
    <row r="10870" spans="27:27">
      <c r="AA10870" s="158" t="s">
        <v>2818</v>
      </c>
    </row>
    <row r="10871" spans="27:27">
      <c r="AA10871" s="158" t="s">
        <v>3909</v>
      </c>
    </row>
    <row r="10872" spans="27:27">
      <c r="AA10872" s="158" t="s">
        <v>2819</v>
      </c>
    </row>
    <row r="10873" spans="27:27">
      <c r="AA10873" s="158" t="s">
        <v>11829</v>
      </c>
    </row>
    <row r="10874" spans="27:27">
      <c r="AA10874" s="158" t="s">
        <v>11830</v>
      </c>
    </row>
    <row r="10875" spans="27:27">
      <c r="AA10875" s="158" t="s">
        <v>11831</v>
      </c>
    </row>
    <row r="10876" spans="27:27">
      <c r="AA10876" s="158" t="s">
        <v>11832</v>
      </c>
    </row>
    <row r="10877" spans="27:27">
      <c r="AA10877" s="158" t="s">
        <v>11833</v>
      </c>
    </row>
    <row r="10878" spans="27:27">
      <c r="AA10878" s="158" t="s">
        <v>11834</v>
      </c>
    </row>
    <row r="10879" spans="27:27">
      <c r="AA10879" s="158" t="s">
        <v>11835</v>
      </c>
    </row>
    <row r="10880" spans="27:27">
      <c r="AA10880" s="158" t="s">
        <v>11836</v>
      </c>
    </row>
    <row r="10881" spans="27:27">
      <c r="AA10881" s="158" t="s">
        <v>2820</v>
      </c>
    </row>
    <row r="10882" spans="27:27">
      <c r="AA10882" s="158" t="s">
        <v>3910</v>
      </c>
    </row>
    <row r="10883" spans="27:27">
      <c r="AA10883" s="158" t="s">
        <v>2821</v>
      </c>
    </row>
    <row r="10884" spans="27:27">
      <c r="AA10884" s="158" t="s">
        <v>2822</v>
      </c>
    </row>
    <row r="10885" spans="27:27">
      <c r="AA10885" s="158" t="s">
        <v>2823</v>
      </c>
    </row>
    <row r="10886" spans="27:27">
      <c r="AA10886" s="158" t="s">
        <v>11837</v>
      </c>
    </row>
    <row r="10887" spans="27:27">
      <c r="AA10887" s="158" t="s">
        <v>11838</v>
      </c>
    </row>
    <row r="10888" spans="27:27">
      <c r="AA10888" s="158" t="s">
        <v>11839</v>
      </c>
    </row>
    <row r="10889" spans="27:27">
      <c r="AA10889" s="158" t="s">
        <v>11840</v>
      </c>
    </row>
    <row r="10890" spans="27:27">
      <c r="AA10890" s="158" t="s">
        <v>11841</v>
      </c>
    </row>
    <row r="10891" spans="27:27">
      <c r="AA10891" s="158" t="s">
        <v>11842</v>
      </c>
    </row>
    <row r="10892" spans="27:27">
      <c r="AA10892" s="158" t="s">
        <v>11843</v>
      </c>
    </row>
    <row r="10893" spans="27:27">
      <c r="AA10893" s="158" t="s">
        <v>11844</v>
      </c>
    </row>
    <row r="10894" spans="27:27">
      <c r="AA10894" s="158" t="s">
        <v>11845</v>
      </c>
    </row>
    <row r="10895" spans="27:27">
      <c r="AA10895" s="158" t="s">
        <v>11846</v>
      </c>
    </row>
    <row r="10896" spans="27:27">
      <c r="AA10896" s="158" t="s">
        <v>11847</v>
      </c>
    </row>
    <row r="10897" spans="27:27">
      <c r="AA10897" s="158" t="s">
        <v>11848</v>
      </c>
    </row>
    <row r="10898" spans="27:27">
      <c r="AA10898" s="158" t="s">
        <v>11849</v>
      </c>
    </row>
    <row r="10899" spans="27:27">
      <c r="AA10899" s="158" t="s">
        <v>11850</v>
      </c>
    </row>
    <row r="10900" spans="27:27">
      <c r="AA10900" s="158" t="s">
        <v>11851</v>
      </c>
    </row>
    <row r="10901" spans="27:27">
      <c r="AA10901" s="158" t="s">
        <v>11852</v>
      </c>
    </row>
    <row r="10902" spans="27:27">
      <c r="AA10902" s="158" t="s">
        <v>11853</v>
      </c>
    </row>
    <row r="10903" spans="27:27">
      <c r="AA10903" s="158" t="s">
        <v>11854</v>
      </c>
    </row>
    <row r="10904" spans="27:27">
      <c r="AA10904" s="158" t="s">
        <v>11855</v>
      </c>
    </row>
    <row r="10905" spans="27:27">
      <c r="AA10905" s="158" t="s">
        <v>11856</v>
      </c>
    </row>
    <row r="10906" spans="27:27">
      <c r="AA10906" s="158" t="s">
        <v>11857</v>
      </c>
    </row>
    <row r="10907" spans="27:27">
      <c r="AA10907" s="158" t="s">
        <v>11858</v>
      </c>
    </row>
    <row r="10908" spans="27:27">
      <c r="AA10908" s="158" t="s">
        <v>11859</v>
      </c>
    </row>
    <row r="10909" spans="27:27">
      <c r="AA10909" s="158" t="s">
        <v>11860</v>
      </c>
    </row>
    <row r="10910" spans="27:27">
      <c r="AA10910" s="158" t="s">
        <v>11861</v>
      </c>
    </row>
    <row r="10911" spans="27:27">
      <c r="AA10911" s="158" t="s">
        <v>11862</v>
      </c>
    </row>
    <row r="10912" spans="27:27">
      <c r="AA10912" s="158" t="s">
        <v>11863</v>
      </c>
    </row>
    <row r="10913" spans="27:27">
      <c r="AA10913" s="158" t="s">
        <v>11864</v>
      </c>
    </row>
    <row r="10914" spans="27:27">
      <c r="AA10914" s="158" t="s">
        <v>11865</v>
      </c>
    </row>
    <row r="10915" spans="27:27">
      <c r="AA10915" s="158" t="s">
        <v>11866</v>
      </c>
    </row>
    <row r="10916" spans="27:27">
      <c r="AA10916" s="158" t="s">
        <v>11867</v>
      </c>
    </row>
    <row r="10917" spans="27:27">
      <c r="AA10917" s="158" t="s">
        <v>11868</v>
      </c>
    </row>
    <row r="10918" spans="27:27">
      <c r="AA10918" s="158" t="s">
        <v>11869</v>
      </c>
    </row>
    <row r="10919" spans="27:27">
      <c r="AA10919" s="158" t="s">
        <v>11870</v>
      </c>
    </row>
    <row r="10920" spans="27:27">
      <c r="AA10920" s="158" t="s">
        <v>2824</v>
      </c>
    </row>
    <row r="10921" spans="27:27">
      <c r="AA10921" s="158" t="s">
        <v>2825</v>
      </c>
    </row>
    <row r="10922" spans="27:27">
      <c r="AA10922" s="158" t="s">
        <v>11871</v>
      </c>
    </row>
    <row r="10923" spans="27:27">
      <c r="AA10923" s="158" t="s">
        <v>11872</v>
      </c>
    </row>
    <row r="10924" spans="27:27">
      <c r="AA10924" s="158" t="s">
        <v>11873</v>
      </c>
    </row>
    <row r="10925" spans="27:27">
      <c r="AA10925" s="158" t="s">
        <v>11874</v>
      </c>
    </row>
    <row r="10926" spans="27:27">
      <c r="AA10926" s="158" t="s">
        <v>2826</v>
      </c>
    </row>
    <row r="10927" spans="27:27">
      <c r="AA10927" s="158" t="s">
        <v>2827</v>
      </c>
    </row>
    <row r="10928" spans="27:27">
      <c r="AA10928" s="158" t="s">
        <v>11875</v>
      </c>
    </row>
    <row r="10929" spans="27:27">
      <c r="AA10929" s="158" t="s">
        <v>11876</v>
      </c>
    </row>
    <row r="10930" spans="27:27">
      <c r="AA10930" s="158" t="s">
        <v>11877</v>
      </c>
    </row>
    <row r="10931" spans="27:27">
      <c r="AA10931" s="158" t="s">
        <v>11878</v>
      </c>
    </row>
    <row r="10932" spans="27:27">
      <c r="AA10932" s="158" t="s">
        <v>11879</v>
      </c>
    </row>
    <row r="10933" spans="27:27">
      <c r="AA10933" s="158" t="s">
        <v>11880</v>
      </c>
    </row>
    <row r="10934" spans="27:27">
      <c r="AA10934" s="158" t="s">
        <v>2828</v>
      </c>
    </row>
    <row r="10935" spans="27:27">
      <c r="AA10935" s="158" t="s">
        <v>11881</v>
      </c>
    </row>
    <row r="10936" spans="27:27">
      <c r="AA10936" s="158" t="s">
        <v>2829</v>
      </c>
    </row>
    <row r="10937" spans="27:27">
      <c r="AA10937" s="158" t="s">
        <v>11882</v>
      </c>
    </row>
    <row r="10938" spans="27:27">
      <c r="AA10938" s="158" t="s">
        <v>11883</v>
      </c>
    </row>
    <row r="10939" spans="27:27">
      <c r="AA10939" s="158" t="s">
        <v>11884</v>
      </c>
    </row>
    <row r="10940" spans="27:27">
      <c r="AA10940" s="158" t="s">
        <v>11885</v>
      </c>
    </row>
    <row r="10941" spans="27:27">
      <c r="AA10941" s="158" t="s">
        <v>11886</v>
      </c>
    </row>
    <row r="10942" spans="27:27">
      <c r="AA10942" s="158" t="s">
        <v>11887</v>
      </c>
    </row>
    <row r="10943" spans="27:27">
      <c r="AA10943" s="158" t="s">
        <v>11888</v>
      </c>
    </row>
    <row r="10944" spans="27:27">
      <c r="AA10944" s="158" t="s">
        <v>11889</v>
      </c>
    </row>
    <row r="10945" spans="27:27">
      <c r="AA10945" s="158" t="s">
        <v>11890</v>
      </c>
    </row>
    <row r="10946" spans="27:27">
      <c r="AA10946" s="158" t="s">
        <v>11891</v>
      </c>
    </row>
    <row r="10947" spans="27:27">
      <c r="AA10947" s="158" t="s">
        <v>11892</v>
      </c>
    </row>
    <row r="10948" spans="27:27">
      <c r="AA10948" s="158" t="s">
        <v>11893</v>
      </c>
    </row>
    <row r="10949" spans="27:27">
      <c r="AA10949" s="158" t="s">
        <v>11894</v>
      </c>
    </row>
    <row r="10950" spans="27:27">
      <c r="AA10950" s="158" t="s">
        <v>11895</v>
      </c>
    </row>
    <row r="10951" spans="27:27">
      <c r="AA10951" s="158" t="s">
        <v>11896</v>
      </c>
    </row>
    <row r="10952" spans="27:27">
      <c r="AA10952" s="158" t="s">
        <v>11897</v>
      </c>
    </row>
    <row r="10953" spans="27:27">
      <c r="AA10953" s="158" t="s">
        <v>11898</v>
      </c>
    </row>
    <row r="10954" spans="27:27">
      <c r="AA10954" s="158" t="s">
        <v>11899</v>
      </c>
    </row>
    <row r="10955" spans="27:27">
      <c r="AA10955" s="158" t="s">
        <v>11900</v>
      </c>
    </row>
    <row r="10956" spans="27:27">
      <c r="AA10956" s="158" t="s">
        <v>11901</v>
      </c>
    </row>
    <row r="10957" spans="27:27">
      <c r="AA10957" s="158" t="s">
        <v>11902</v>
      </c>
    </row>
    <row r="10958" spans="27:27">
      <c r="AA10958" s="158" t="s">
        <v>11903</v>
      </c>
    </row>
    <row r="10959" spans="27:27">
      <c r="AA10959" s="158" t="s">
        <v>11904</v>
      </c>
    </row>
    <row r="10960" spans="27:27">
      <c r="AA10960" s="158" t="s">
        <v>11905</v>
      </c>
    </row>
    <row r="10961" spans="27:27">
      <c r="AA10961" s="158" t="s">
        <v>11906</v>
      </c>
    </row>
    <row r="10962" spans="27:27">
      <c r="AA10962" s="158" t="s">
        <v>11907</v>
      </c>
    </row>
    <row r="10963" spans="27:27">
      <c r="AA10963" s="158" t="s">
        <v>11908</v>
      </c>
    </row>
    <row r="10964" spans="27:27">
      <c r="AA10964" s="158" t="s">
        <v>11909</v>
      </c>
    </row>
    <row r="10965" spans="27:27">
      <c r="AA10965" s="158" t="s">
        <v>11910</v>
      </c>
    </row>
    <row r="10966" spans="27:27">
      <c r="AA10966" s="158" t="s">
        <v>11911</v>
      </c>
    </row>
    <row r="10967" spans="27:27">
      <c r="AA10967" s="158" t="s">
        <v>11912</v>
      </c>
    </row>
    <row r="10968" spans="27:27">
      <c r="AA10968" s="158" t="s">
        <v>11913</v>
      </c>
    </row>
    <row r="10969" spans="27:27">
      <c r="AA10969" s="158" t="s">
        <v>11914</v>
      </c>
    </row>
    <row r="10970" spans="27:27">
      <c r="AA10970" s="158" t="s">
        <v>11915</v>
      </c>
    </row>
    <row r="10971" spans="27:27">
      <c r="AA10971" s="158" t="s">
        <v>11916</v>
      </c>
    </row>
    <row r="10972" spans="27:27">
      <c r="AA10972" s="158" t="s">
        <v>11917</v>
      </c>
    </row>
    <row r="10973" spans="27:27">
      <c r="AA10973" s="158" t="s">
        <v>11918</v>
      </c>
    </row>
    <row r="10974" spans="27:27">
      <c r="AA10974" s="158" t="s">
        <v>2830</v>
      </c>
    </row>
    <row r="10975" spans="27:27">
      <c r="AA10975" s="158" t="s">
        <v>11919</v>
      </c>
    </row>
    <row r="10976" spans="27:27">
      <c r="AA10976" s="158" t="s">
        <v>2831</v>
      </c>
    </row>
    <row r="10977" spans="27:27">
      <c r="AA10977" s="158" t="s">
        <v>11920</v>
      </c>
    </row>
    <row r="10978" spans="27:27">
      <c r="AA10978" s="158" t="s">
        <v>2832</v>
      </c>
    </row>
    <row r="10979" spans="27:27">
      <c r="AA10979" s="158" t="s">
        <v>11921</v>
      </c>
    </row>
    <row r="10980" spans="27:27">
      <c r="AA10980" s="158" t="s">
        <v>2833</v>
      </c>
    </row>
    <row r="10981" spans="27:27">
      <c r="AA10981" s="158" t="s">
        <v>3911</v>
      </c>
    </row>
    <row r="10982" spans="27:27">
      <c r="AA10982" s="158" t="s">
        <v>2834</v>
      </c>
    </row>
    <row r="10983" spans="27:27">
      <c r="AA10983" s="158" t="s">
        <v>11922</v>
      </c>
    </row>
    <row r="10984" spans="27:27">
      <c r="AA10984" s="158" t="s">
        <v>11923</v>
      </c>
    </row>
    <row r="10985" spans="27:27">
      <c r="AA10985" s="158" t="s">
        <v>11924</v>
      </c>
    </row>
    <row r="10986" spans="27:27">
      <c r="AA10986" s="158" t="s">
        <v>11925</v>
      </c>
    </row>
    <row r="10987" spans="27:27">
      <c r="AA10987" s="158" t="s">
        <v>2835</v>
      </c>
    </row>
    <row r="10988" spans="27:27">
      <c r="AA10988" s="158" t="s">
        <v>11926</v>
      </c>
    </row>
    <row r="10989" spans="27:27">
      <c r="AA10989" s="158" t="s">
        <v>2836</v>
      </c>
    </row>
    <row r="10990" spans="27:27">
      <c r="AA10990" s="158" t="s">
        <v>3912</v>
      </c>
    </row>
    <row r="10991" spans="27:27">
      <c r="AA10991" s="158" t="s">
        <v>2837</v>
      </c>
    </row>
    <row r="10992" spans="27:27">
      <c r="AA10992" s="158" t="s">
        <v>11927</v>
      </c>
    </row>
    <row r="10993" spans="27:27">
      <c r="AA10993" s="158" t="s">
        <v>2838</v>
      </c>
    </row>
    <row r="10994" spans="27:27">
      <c r="AA10994" s="158" t="s">
        <v>11928</v>
      </c>
    </row>
    <row r="10995" spans="27:27">
      <c r="AA10995" s="158" t="s">
        <v>11929</v>
      </c>
    </row>
    <row r="10996" spans="27:27">
      <c r="AA10996" s="158" t="s">
        <v>11930</v>
      </c>
    </row>
    <row r="10997" spans="27:27">
      <c r="AA10997" s="158" t="s">
        <v>11931</v>
      </c>
    </row>
    <row r="10998" spans="27:27">
      <c r="AA10998" s="158" t="s">
        <v>11932</v>
      </c>
    </row>
    <row r="10999" spans="27:27">
      <c r="AA10999" s="158" t="s">
        <v>11933</v>
      </c>
    </row>
    <row r="11000" spans="27:27">
      <c r="AA11000" s="158" t="s">
        <v>3913</v>
      </c>
    </row>
    <row r="11001" spans="27:27">
      <c r="AA11001" s="158" t="s">
        <v>2839</v>
      </c>
    </row>
    <row r="11002" spans="27:27">
      <c r="AA11002" s="158" t="s">
        <v>11934</v>
      </c>
    </row>
    <row r="11003" spans="27:27">
      <c r="AA11003" s="158" t="s">
        <v>11935</v>
      </c>
    </row>
    <row r="11004" spans="27:27">
      <c r="AA11004" s="158" t="s">
        <v>11936</v>
      </c>
    </row>
    <row r="11005" spans="27:27">
      <c r="AA11005" s="158" t="s">
        <v>11937</v>
      </c>
    </row>
    <row r="11006" spans="27:27">
      <c r="AA11006" s="158" t="s">
        <v>11938</v>
      </c>
    </row>
    <row r="11007" spans="27:27">
      <c r="AA11007" s="158" t="s">
        <v>11939</v>
      </c>
    </row>
    <row r="11008" spans="27:27">
      <c r="AA11008" s="158" t="s">
        <v>11940</v>
      </c>
    </row>
    <row r="11009" spans="27:27">
      <c r="AA11009" s="158" t="s">
        <v>11941</v>
      </c>
    </row>
    <row r="11010" spans="27:27">
      <c r="AA11010" s="158" t="s">
        <v>11942</v>
      </c>
    </row>
    <row r="11011" spans="27:27">
      <c r="AA11011" s="158" t="s">
        <v>11943</v>
      </c>
    </row>
    <row r="11012" spans="27:27">
      <c r="AA11012" s="158" t="s">
        <v>2840</v>
      </c>
    </row>
    <row r="11013" spans="27:27">
      <c r="AA11013" s="158" t="s">
        <v>11944</v>
      </c>
    </row>
    <row r="11014" spans="27:27">
      <c r="AA11014" s="158" t="s">
        <v>11945</v>
      </c>
    </row>
    <row r="11015" spans="27:27">
      <c r="AA11015" s="158" t="s">
        <v>11946</v>
      </c>
    </row>
    <row r="11016" spans="27:27">
      <c r="AA11016" s="158" t="s">
        <v>11947</v>
      </c>
    </row>
    <row r="11017" spans="27:27">
      <c r="AA11017" s="158" t="s">
        <v>11948</v>
      </c>
    </row>
    <row r="11018" spans="27:27">
      <c r="AA11018" s="158" t="s">
        <v>11949</v>
      </c>
    </row>
    <row r="11019" spans="27:27">
      <c r="AA11019" s="158" t="s">
        <v>2841</v>
      </c>
    </row>
    <row r="11020" spans="27:27">
      <c r="AA11020" s="158" t="s">
        <v>1095</v>
      </c>
    </row>
    <row r="11021" spans="27:27">
      <c r="AA11021" s="158" t="s">
        <v>11950</v>
      </c>
    </row>
    <row r="11022" spans="27:27">
      <c r="AA11022" s="158" t="s">
        <v>11951</v>
      </c>
    </row>
    <row r="11023" spans="27:27">
      <c r="AA11023" s="158" t="s">
        <v>11952</v>
      </c>
    </row>
    <row r="11024" spans="27:27">
      <c r="AA11024" s="158" t="s">
        <v>11953</v>
      </c>
    </row>
    <row r="11025" spans="27:27">
      <c r="AA11025" s="158" t="s">
        <v>1096</v>
      </c>
    </row>
    <row r="11026" spans="27:27">
      <c r="AA11026" s="158" t="s">
        <v>11954</v>
      </c>
    </row>
    <row r="11027" spans="27:27">
      <c r="AA11027" s="158" t="s">
        <v>1097</v>
      </c>
    </row>
    <row r="11028" spans="27:27">
      <c r="AA11028" s="158" t="s">
        <v>1098</v>
      </c>
    </row>
    <row r="11029" spans="27:27">
      <c r="AA11029" s="158" t="s">
        <v>11955</v>
      </c>
    </row>
    <row r="11030" spans="27:27">
      <c r="AA11030" s="158" t="s">
        <v>11956</v>
      </c>
    </row>
    <row r="11031" spans="27:27">
      <c r="AA11031" s="158" t="s">
        <v>11957</v>
      </c>
    </row>
    <row r="11032" spans="27:27">
      <c r="AA11032" s="158" t="s">
        <v>11958</v>
      </c>
    </row>
    <row r="11033" spans="27:27">
      <c r="AA11033" s="158" t="s">
        <v>11959</v>
      </c>
    </row>
    <row r="11034" spans="27:27">
      <c r="AA11034" s="158" t="s">
        <v>11960</v>
      </c>
    </row>
    <row r="11035" spans="27:27">
      <c r="AA11035" s="158" t="s">
        <v>11961</v>
      </c>
    </row>
    <row r="11036" spans="27:27">
      <c r="AA11036" s="158" t="s">
        <v>11962</v>
      </c>
    </row>
    <row r="11037" spans="27:27">
      <c r="AA11037" s="158" t="s">
        <v>11963</v>
      </c>
    </row>
    <row r="11038" spans="27:27">
      <c r="AA11038" s="158" t="s">
        <v>11964</v>
      </c>
    </row>
    <row r="11039" spans="27:27">
      <c r="AA11039" s="158" t="s">
        <v>11965</v>
      </c>
    </row>
    <row r="11040" spans="27:27">
      <c r="AA11040" s="158" t="s">
        <v>11966</v>
      </c>
    </row>
    <row r="11041" spans="27:27">
      <c r="AA11041" s="158" t="s">
        <v>11967</v>
      </c>
    </row>
    <row r="11042" spans="27:27">
      <c r="AA11042" s="158" t="s">
        <v>11968</v>
      </c>
    </row>
    <row r="11043" spans="27:27">
      <c r="AA11043" s="158" t="s">
        <v>11969</v>
      </c>
    </row>
    <row r="11044" spans="27:27">
      <c r="AA11044" s="158" t="s">
        <v>11970</v>
      </c>
    </row>
    <row r="11045" spans="27:27">
      <c r="AA11045" s="158" t="s">
        <v>11971</v>
      </c>
    </row>
    <row r="11046" spans="27:27">
      <c r="AA11046" s="158" t="s">
        <v>11972</v>
      </c>
    </row>
    <row r="11047" spans="27:27">
      <c r="AA11047" s="158" t="s">
        <v>2842</v>
      </c>
    </row>
    <row r="11048" spans="27:27">
      <c r="AA11048" s="158" t="s">
        <v>11973</v>
      </c>
    </row>
    <row r="11049" spans="27:27">
      <c r="AA11049" s="158" t="s">
        <v>11974</v>
      </c>
    </row>
    <row r="11050" spans="27:27">
      <c r="AA11050" s="158" t="s">
        <v>1099</v>
      </c>
    </row>
    <row r="11051" spans="27:27">
      <c r="AA11051" s="158" t="s">
        <v>11975</v>
      </c>
    </row>
    <row r="11052" spans="27:27">
      <c r="AA11052" s="158" t="s">
        <v>11976</v>
      </c>
    </row>
    <row r="11053" spans="27:27">
      <c r="AA11053" s="158" t="s">
        <v>11977</v>
      </c>
    </row>
    <row r="11054" spans="27:27">
      <c r="AA11054" s="158" t="s">
        <v>11978</v>
      </c>
    </row>
    <row r="11055" spans="27:27">
      <c r="AA11055" s="158" t="s">
        <v>11979</v>
      </c>
    </row>
    <row r="11056" spans="27:27">
      <c r="AA11056" s="158" t="s">
        <v>11980</v>
      </c>
    </row>
    <row r="11057" spans="27:27">
      <c r="AA11057" s="158" t="s">
        <v>11981</v>
      </c>
    </row>
    <row r="11058" spans="27:27">
      <c r="AA11058" s="158" t="s">
        <v>11982</v>
      </c>
    </row>
    <row r="11059" spans="27:27">
      <c r="AA11059" s="158" t="s">
        <v>11983</v>
      </c>
    </row>
    <row r="11060" spans="27:27">
      <c r="AA11060" s="158" t="s">
        <v>11984</v>
      </c>
    </row>
    <row r="11061" spans="27:27">
      <c r="AA11061" s="158" t="s">
        <v>11985</v>
      </c>
    </row>
    <row r="11062" spans="27:27">
      <c r="AA11062" s="158" t="s">
        <v>11986</v>
      </c>
    </row>
    <row r="11063" spans="27:27">
      <c r="AA11063" s="158" t="s">
        <v>11987</v>
      </c>
    </row>
    <row r="11064" spans="27:27">
      <c r="AA11064" s="158" t="s">
        <v>1100</v>
      </c>
    </row>
    <row r="11065" spans="27:27">
      <c r="AA11065" s="158" t="s">
        <v>1101</v>
      </c>
    </row>
    <row r="11066" spans="27:27">
      <c r="AA11066" s="158" t="s">
        <v>1102</v>
      </c>
    </row>
    <row r="11067" spans="27:27">
      <c r="AA11067" s="158" t="s">
        <v>11988</v>
      </c>
    </row>
    <row r="11068" spans="27:27">
      <c r="AA11068" s="158" t="s">
        <v>1103</v>
      </c>
    </row>
    <row r="11069" spans="27:27">
      <c r="AA11069" s="158" t="s">
        <v>11989</v>
      </c>
    </row>
    <row r="11070" spans="27:27">
      <c r="AA11070" s="158" t="s">
        <v>11990</v>
      </c>
    </row>
    <row r="11071" spans="27:27">
      <c r="AA11071" s="158" t="s">
        <v>1104</v>
      </c>
    </row>
    <row r="11072" spans="27:27">
      <c r="AA11072" s="158" t="s">
        <v>11991</v>
      </c>
    </row>
    <row r="11073" spans="27:27">
      <c r="AA11073" s="158" t="s">
        <v>11992</v>
      </c>
    </row>
    <row r="11074" spans="27:27">
      <c r="AA11074" s="158" t="s">
        <v>11993</v>
      </c>
    </row>
    <row r="11075" spans="27:27">
      <c r="AA11075" s="158" t="s">
        <v>11994</v>
      </c>
    </row>
    <row r="11076" spans="27:27">
      <c r="AA11076" s="158" t="s">
        <v>11995</v>
      </c>
    </row>
    <row r="11077" spans="27:27">
      <c r="AA11077" s="158" t="s">
        <v>11996</v>
      </c>
    </row>
    <row r="11078" spans="27:27">
      <c r="AA11078" s="158" t="s">
        <v>11997</v>
      </c>
    </row>
    <row r="11079" spans="27:27">
      <c r="AA11079" s="158" t="s">
        <v>11998</v>
      </c>
    </row>
    <row r="11080" spans="27:27">
      <c r="AA11080" s="158" t="s">
        <v>11999</v>
      </c>
    </row>
    <row r="11081" spans="27:27">
      <c r="AA11081" s="158" t="s">
        <v>12000</v>
      </c>
    </row>
    <row r="11082" spans="27:27">
      <c r="AA11082" s="158" t="s">
        <v>12001</v>
      </c>
    </row>
    <row r="11083" spans="27:27">
      <c r="AA11083" s="158" t="s">
        <v>1105</v>
      </c>
    </row>
    <row r="11084" spans="27:27">
      <c r="AA11084" s="158" t="s">
        <v>3914</v>
      </c>
    </row>
    <row r="11085" spans="27:27">
      <c r="AA11085" s="158" t="s">
        <v>12002</v>
      </c>
    </row>
    <row r="11086" spans="27:27">
      <c r="AA11086" s="158" t="s">
        <v>1106</v>
      </c>
    </row>
    <row r="11087" spans="27:27">
      <c r="AA11087" s="158" t="s">
        <v>1107</v>
      </c>
    </row>
    <row r="11088" spans="27:27">
      <c r="AA11088" s="158" t="s">
        <v>1108</v>
      </c>
    </row>
    <row r="11089" spans="27:27">
      <c r="AA11089" s="158" t="s">
        <v>12003</v>
      </c>
    </row>
    <row r="11090" spans="27:27">
      <c r="AA11090" s="158" t="s">
        <v>1109</v>
      </c>
    </row>
    <row r="11091" spans="27:27">
      <c r="AA11091" s="158" t="s">
        <v>12004</v>
      </c>
    </row>
    <row r="11092" spans="27:27">
      <c r="AA11092" s="158" t="s">
        <v>1110</v>
      </c>
    </row>
    <row r="11093" spans="27:27">
      <c r="AA11093" s="158" t="s">
        <v>12005</v>
      </c>
    </row>
    <row r="11094" spans="27:27">
      <c r="AA11094" s="158" t="s">
        <v>12006</v>
      </c>
    </row>
    <row r="11095" spans="27:27">
      <c r="AA11095" s="158" t="s">
        <v>12007</v>
      </c>
    </row>
    <row r="11096" spans="27:27">
      <c r="AA11096" s="158" t="s">
        <v>12008</v>
      </c>
    </row>
    <row r="11097" spans="27:27">
      <c r="AA11097" s="158" t="s">
        <v>12009</v>
      </c>
    </row>
    <row r="11098" spans="27:27">
      <c r="AA11098" s="158" t="s">
        <v>12010</v>
      </c>
    </row>
    <row r="11099" spans="27:27">
      <c r="AA11099" s="158" t="s">
        <v>12011</v>
      </c>
    </row>
    <row r="11100" spans="27:27">
      <c r="AA11100" s="158" t="s">
        <v>12012</v>
      </c>
    </row>
    <row r="11101" spans="27:27">
      <c r="AA11101" s="158" t="s">
        <v>12013</v>
      </c>
    </row>
    <row r="11102" spans="27:27">
      <c r="AA11102" s="158" t="s">
        <v>12014</v>
      </c>
    </row>
    <row r="11103" spans="27:27">
      <c r="AA11103" s="158" t="s">
        <v>12015</v>
      </c>
    </row>
    <row r="11104" spans="27:27">
      <c r="AA11104" s="158" t="s">
        <v>12016</v>
      </c>
    </row>
    <row r="11105" spans="27:27">
      <c r="AA11105" s="158" t="s">
        <v>12017</v>
      </c>
    </row>
    <row r="11106" spans="27:27">
      <c r="AA11106" s="158" t="s">
        <v>12018</v>
      </c>
    </row>
    <row r="11107" spans="27:27">
      <c r="AA11107" s="158" t="s">
        <v>12019</v>
      </c>
    </row>
    <row r="11108" spans="27:27">
      <c r="AA11108" s="158" t="s">
        <v>12020</v>
      </c>
    </row>
    <row r="11109" spans="27:27">
      <c r="AA11109" s="158" t="s">
        <v>1111</v>
      </c>
    </row>
    <row r="11110" spans="27:27">
      <c r="AA11110" s="158" t="s">
        <v>1112</v>
      </c>
    </row>
    <row r="11111" spans="27:27">
      <c r="AA11111" s="158" t="s">
        <v>12021</v>
      </c>
    </row>
    <row r="11112" spans="27:27">
      <c r="AA11112" s="158" t="s">
        <v>12022</v>
      </c>
    </row>
    <row r="11113" spans="27:27">
      <c r="AA11113" s="158" t="s">
        <v>12023</v>
      </c>
    </row>
    <row r="11114" spans="27:27">
      <c r="AA11114" s="158" t="s">
        <v>12024</v>
      </c>
    </row>
    <row r="11115" spans="27:27">
      <c r="AA11115" s="158" t="s">
        <v>12025</v>
      </c>
    </row>
    <row r="11116" spans="27:27">
      <c r="AA11116" s="158" t="s">
        <v>12026</v>
      </c>
    </row>
    <row r="11117" spans="27:27">
      <c r="AA11117" s="158" t="s">
        <v>12027</v>
      </c>
    </row>
    <row r="11118" spans="27:27">
      <c r="AA11118" s="158" t="s">
        <v>12028</v>
      </c>
    </row>
    <row r="11119" spans="27:27">
      <c r="AA11119" s="158" t="s">
        <v>1113</v>
      </c>
    </row>
    <row r="11120" spans="27:27">
      <c r="AA11120" s="158" t="s">
        <v>12029</v>
      </c>
    </row>
    <row r="11121" spans="27:27">
      <c r="AA11121" s="158" t="s">
        <v>12030</v>
      </c>
    </row>
    <row r="11122" spans="27:27">
      <c r="AA11122" s="158" t="s">
        <v>1114</v>
      </c>
    </row>
    <row r="11123" spans="27:27">
      <c r="AA11123" s="158" t="s">
        <v>1115</v>
      </c>
    </row>
    <row r="11124" spans="27:27">
      <c r="AA11124" s="158" t="s">
        <v>12031</v>
      </c>
    </row>
    <row r="11125" spans="27:27">
      <c r="AA11125" s="158" t="s">
        <v>1116</v>
      </c>
    </row>
    <row r="11126" spans="27:27">
      <c r="AA11126" s="158" t="s">
        <v>12032</v>
      </c>
    </row>
    <row r="11127" spans="27:27">
      <c r="AA11127" s="158" t="s">
        <v>12033</v>
      </c>
    </row>
    <row r="11128" spans="27:27">
      <c r="AA11128" s="158" t="s">
        <v>12034</v>
      </c>
    </row>
    <row r="11129" spans="27:27">
      <c r="AA11129" s="158" t="s">
        <v>12035</v>
      </c>
    </row>
    <row r="11130" spans="27:27">
      <c r="AA11130" s="158" t="s">
        <v>12036</v>
      </c>
    </row>
    <row r="11131" spans="27:27">
      <c r="AA11131" s="158" t="s">
        <v>12037</v>
      </c>
    </row>
    <row r="11132" spans="27:27">
      <c r="AA11132" s="158" t="s">
        <v>12038</v>
      </c>
    </row>
    <row r="11133" spans="27:27">
      <c r="AA11133" s="158" t="s">
        <v>12039</v>
      </c>
    </row>
    <row r="11134" spans="27:27">
      <c r="AA11134" s="158" t="s">
        <v>12040</v>
      </c>
    </row>
    <row r="11135" spans="27:27">
      <c r="AA11135" s="158" t="s">
        <v>12041</v>
      </c>
    </row>
    <row r="11136" spans="27:27">
      <c r="AA11136" s="158" t="s">
        <v>12042</v>
      </c>
    </row>
    <row r="11137" spans="27:27">
      <c r="AA11137" s="158" t="s">
        <v>12043</v>
      </c>
    </row>
    <row r="11138" spans="27:27">
      <c r="AA11138" s="158" t="s">
        <v>1117</v>
      </c>
    </row>
    <row r="11139" spans="27:27">
      <c r="AA11139" s="158" t="s">
        <v>12044</v>
      </c>
    </row>
    <row r="11140" spans="27:27">
      <c r="AA11140" s="158" t="s">
        <v>12045</v>
      </c>
    </row>
    <row r="11141" spans="27:27">
      <c r="AA11141" s="158" t="s">
        <v>12046</v>
      </c>
    </row>
    <row r="11142" spans="27:27">
      <c r="AA11142" s="158" t="s">
        <v>12047</v>
      </c>
    </row>
    <row r="11143" spans="27:27">
      <c r="AA11143" s="158" t="s">
        <v>12048</v>
      </c>
    </row>
    <row r="11144" spans="27:27">
      <c r="AA11144" s="158" t="s">
        <v>12049</v>
      </c>
    </row>
    <row r="11145" spans="27:27">
      <c r="AA11145" s="158" t="s">
        <v>12050</v>
      </c>
    </row>
    <row r="11146" spans="27:27">
      <c r="AA11146" s="158" t="s">
        <v>12051</v>
      </c>
    </row>
    <row r="11147" spans="27:27">
      <c r="AA11147" s="158" t="s">
        <v>1118</v>
      </c>
    </row>
    <row r="11148" spans="27:27">
      <c r="AA11148" s="158" t="s">
        <v>12052</v>
      </c>
    </row>
    <row r="11149" spans="27:27">
      <c r="AA11149" s="158" t="s">
        <v>12053</v>
      </c>
    </row>
    <row r="11150" spans="27:27">
      <c r="AA11150" s="158" t="s">
        <v>12054</v>
      </c>
    </row>
    <row r="11151" spans="27:27">
      <c r="AA11151" s="158" t="s">
        <v>12055</v>
      </c>
    </row>
    <row r="11152" spans="27:27">
      <c r="AA11152" s="158" t="s">
        <v>3915</v>
      </c>
    </row>
    <row r="11153" spans="27:27">
      <c r="AA11153" s="158" t="s">
        <v>1119</v>
      </c>
    </row>
    <row r="11154" spans="27:27">
      <c r="AA11154" s="158" t="s">
        <v>1120</v>
      </c>
    </row>
    <row r="11155" spans="27:27">
      <c r="AA11155" s="158" t="s">
        <v>1121</v>
      </c>
    </row>
    <row r="11156" spans="27:27">
      <c r="AA11156" s="158" t="s">
        <v>12056</v>
      </c>
    </row>
    <row r="11157" spans="27:27">
      <c r="AA11157" s="158" t="s">
        <v>2843</v>
      </c>
    </row>
    <row r="11158" spans="27:27">
      <c r="AA11158" s="158" t="s">
        <v>3916</v>
      </c>
    </row>
    <row r="11159" spans="27:27">
      <c r="AA11159" s="158" t="s">
        <v>12057</v>
      </c>
    </row>
    <row r="11160" spans="27:27">
      <c r="AA11160" s="158" t="s">
        <v>2844</v>
      </c>
    </row>
    <row r="11161" spans="27:27">
      <c r="AA11161" s="158" t="s">
        <v>1122</v>
      </c>
    </row>
    <row r="11162" spans="27:27">
      <c r="AA11162" s="158" t="s">
        <v>2845</v>
      </c>
    </row>
    <row r="11163" spans="27:27">
      <c r="AA11163" s="158" t="s">
        <v>12058</v>
      </c>
    </row>
    <row r="11164" spans="27:27">
      <c r="AA11164" s="158" t="s">
        <v>12059</v>
      </c>
    </row>
    <row r="11165" spans="27:27">
      <c r="AA11165" s="158" t="s">
        <v>12060</v>
      </c>
    </row>
    <row r="11166" spans="27:27">
      <c r="AA11166" s="158" t="s">
        <v>12061</v>
      </c>
    </row>
    <row r="11167" spans="27:27">
      <c r="AA11167" s="158" t="s">
        <v>12062</v>
      </c>
    </row>
    <row r="11168" spans="27:27">
      <c r="AA11168" s="158" t="s">
        <v>12063</v>
      </c>
    </row>
    <row r="11169" spans="27:27">
      <c r="AA11169" s="158" t="s">
        <v>12064</v>
      </c>
    </row>
    <row r="11170" spans="27:27">
      <c r="AA11170" s="158" t="s">
        <v>12065</v>
      </c>
    </row>
    <row r="11171" spans="27:27">
      <c r="AA11171" s="158" t="s">
        <v>12066</v>
      </c>
    </row>
    <row r="11172" spans="27:27">
      <c r="AA11172" s="158" t="s">
        <v>12067</v>
      </c>
    </row>
    <row r="11173" spans="27:27">
      <c r="AA11173" s="158" t="s">
        <v>12068</v>
      </c>
    </row>
    <row r="11174" spans="27:27">
      <c r="AA11174" s="158" t="s">
        <v>12069</v>
      </c>
    </row>
    <row r="11175" spans="27:27">
      <c r="AA11175" s="158" t="s">
        <v>12070</v>
      </c>
    </row>
    <row r="11176" spans="27:27">
      <c r="AA11176" s="158" t="s">
        <v>12071</v>
      </c>
    </row>
    <row r="11177" spans="27:27">
      <c r="AA11177" s="158" t="s">
        <v>12072</v>
      </c>
    </row>
    <row r="11178" spans="27:27">
      <c r="AA11178" s="158" t="s">
        <v>12073</v>
      </c>
    </row>
    <row r="11179" spans="27:27">
      <c r="AA11179" s="158" t="s">
        <v>12074</v>
      </c>
    </row>
    <row r="11180" spans="27:27">
      <c r="AA11180" s="158" t="s">
        <v>12075</v>
      </c>
    </row>
    <row r="11181" spans="27:27">
      <c r="AA11181" s="158" t="s">
        <v>12076</v>
      </c>
    </row>
    <row r="11182" spans="27:27">
      <c r="AA11182" s="158" t="s">
        <v>12077</v>
      </c>
    </row>
    <row r="11183" spans="27:27">
      <c r="AA11183" s="158" t="s">
        <v>12078</v>
      </c>
    </row>
    <row r="11184" spans="27:27">
      <c r="AA11184" s="158" t="s">
        <v>12079</v>
      </c>
    </row>
    <row r="11185" spans="27:27">
      <c r="AA11185" s="158" t="s">
        <v>12080</v>
      </c>
    </row>
    <row r="11186" spans="27:27">
      <c r="AA11186" s="158" t="s">
        <v>12081</v>
      </c>
    </row>
    <row r="11187" spans="27:27">
      <c r="AA11187" s="158" t="s">
        <v>12082</v>
      </c>
    </row>
    <row r="11188" spans="27:27">
      <c r="AA11188" s="158" t="s">
        <v>12083</v>
      </c>
    </row>
    <row r="11189" spans="27:27">
      <c r="AA11189" s="158" t="s">
        <v>1123</v>
      </c>
    </row>
    <row r="11190" spans="27:27">
      <c r="AA11190" s="158" t="s">
        <v>1124</v>
      </c>
    </row>
    <row r="11191" spans="27:27">
      <c r="AA11191" s="158" t="s">
        <v>1125</v>
      </c>
    </row>
    <row r="11192" spans="27:27">
      <c r="AA11192" s="158" t="s">
        <v>12084</v>
      </c>
    </row>
    <row r="11193" spans="27:27">
      <c r="AA11193" s="158" t="s">
        <v>1126</v>
      </c>
    </row>
    <row r="11194" spans="27:27">
      <c r="AA11194" s="158" t="s">
        <v>12085</v>
      </c>
    </row>
    <row r="11195" spans="27:27">
      <c r="AA11195" s="158" t="s">
        <v>12086</v>
      </c>
    </row>
    <row r="11196" spans="27:27">
      <c r="AA11196" s="158" t="s">
        <v>12087</v>
      </c>
    </row>
    <row r="11197" spans="27:27">
      <c r="AA11197" s="158" t="s">
        <v>12088</v>
      </c>
    </row>
    <row r="11198" spans="27:27">
      <c r="AA11198" s="158" t="s">
        <v>12089</v>
      </c>
    </row>
    <row r="11199" spans="27:27">
      <c r="AA11199" s="158" t="s">
        <v>2846</v>
      </c>
    </row>
    <row r="11200" spans="27:27">
      <c r="AA11200" s="158" t="s">
        <v>2847</v>
      </c>
    </row>
    <row r="11201" spans="27:27">
      <c r="AA11201" s="158" t="s">
        <v>1127</v>
      </c>
    </row>
    <row r="11202" spans="27:27">
      <c r="AA11202" s="158" t="s">
        <v>1128</v>
      </c>
    </row>
    <row r="11203" spans="27:27">
      <c r="AA11203" s="158" t="s">
        <v>1129</v>
      </c>
    </row>
    <row r="11204" spans="27:27">
      <c r="AA11204" s="158" t="s">
        <v>1130</v>
      </c>
    </row>
    <row r="11205" spans="27:27">
      <c r="AA11205" s="158" t="s">
        <v>1131</v>
      </c>
    </row>
    <row r="11206" spans="27:27">
      <c r="AA11206" s="158" t="s">
        <v>1132</v>
      </c>
    </row>
    <row r="11207" spans="27:27">
      <c r="AA11207" s="158" t="s">
        <v>12090</v>
      </c>
    </row>
    <row r="11208" spans="27:27">
      <c r="AA11208" s="158" t="s">
        <v>12091</v>
      </c>
    </row>
    <row r="11209" spans="27:27">
      <c r="AA11209" s="158" t="s">
        <v>12092</v>
      </c>
    </row>
    <row r="11210" spans="27:27">
      <c r="AA11210" s="158" t="s">
        <v>12093</v>
      </c>
    </row>
    <row r="11211" spans="27:27">
      <c r="AA11211" s="158" t="s">
        <v>12094</v>
      </c>
    </row>
    <row r="11212" spans="27:27">
      <c r="AA11212" s="158" t="s">
        <v>12095</v>
      </c>
    </row>
    <row r="11213" spans="27:27">
      <c r="AA11213" s="158" t="s">
        <v>12096</v>
      </c>
    </row>
    <row r="11214" spans="27:27">
      <c r="AA11214" s="158" t="s">
        <v>12097</v>
      </c>
    </row>
    <row r="11215" spans="27:27">
      <c r="AA11215" s="158" t="s">
        <v>12098</v>
      </c>
    </row>
    <row r="11216" spans="27:27">
      <c r="AA11216" s="158" t="s">
        <v>12099</v>
      </c>
    </row>
    <row r="11217" spans="27:27">
      <c r="AA11217" s="158" t="s">
        <v>1133</v>
      </c>
    </row>
    <row r="11218" spans="27:27">
      <c r="AA11218" s="158" t="s">
        <v>1134</v>
      </c>
    </row>
    <row r="11219" spans="27:27">
      <c r="AA11219" s="158" t="s">
        <v>1135</v>
      </c>
    </row>
    <row r="11220" spans="27:27">
      <c r="AA11220" s="158" t="s">
        <v>12100</v>
      </c>
    </row>
    <row r="11221" spans="27:27">
      <c r="AA11221" s="158" t="s">
        <v>12101</v>
      </c>
    </row>
    <row r="11222" spans="27:27">
      <c r="AA11222" s="158" t="s">
        <v>12102</v>
      </c>
    </row>
    <row r="11223" spans="27:27">
      <c r="AA11223" s="158" t="s">
        <v>1136</v>
      </c>
    </row>
    <row r="11224" spans="27:27">
      <c r="AA11224" s="158" t="s">
        <v>12103</v>
      </c>
    </row>
    <row r="11225" spans="27:27">
      <c r="AA11225" s="158" t="s">
        <v>12104</v>
      </c>
    </row>
    <row r="11226" spans="27:27">
      <c r="AA11226" s="158" t="s">
        <v>1137</v>
      </c>
    </row>
    <row r="11227" spans="27:27">
      <c r="AA11227" s="158" t="s">
        <v>1138</v>
      </c>
    </row>
    <row r="11228" spans="27:27">
      <c r="AA11228" s="158" t="s">
        <v>1139</v>
      </c>
    </row>
    <row r="11229" spans="27:27">
      <c r="AA11229" s="158" t="s">
        <v>12105</v>
      </c>
    </row>
    <row r="11230" spans="27:27">
      <c r="AA11230" s="158" t="s">
        <v>12106</v>
      </c>
    </row>
    <row r="11231" spans="27:27">
      <c r="AA11231" s="158" t="s">
        <v>12107</v>
      </c>
    </row>
    <row r="11232" spans="27:27">
      <c r="AA11232" s="158" t="s">
        <v>12108</v>
      </c>
    </row>
    <row r="11233" spans="27:27">
      <c r="AA11233" s="158" t="s">
        <v>12109</v>
      </c>
    </row>
    <row r="11234" spans="27:27">
      <c r="AA11234" s="158" t="s">
        <v>1140</v>
      </c>
    </row>
    <row r="11235" spans="27:27">
      <c r="AA11235" s="158" t="s">
        <v>12110</v>
      </c>
    </row>
    <row r="11236" spans="27:27">
      <c r="AA11236" s="158" t="s">
        <v>12111</v>
      </c>
    </row>
    <row r="11237" spans="27:27">
      <c r="AA11237" s="158" t="s">
        <v>12112</v>
      </c>
    </row>
    <row r="11238" spans="27:27">
      <c r="AA11238" s="158" t="s">
        <v>12113</v>
      </c>
    </row>
    <row r="11239" spans="27:27">
      <c r="AA11239" s="158" t="s">
        <v>12114</v>
      </c>
    </row>
    <row r="11240" spans="27:27">
      <c r="AA11240" s="158" t="s">
        <v>12115</v>
      </c>
    </row>
    <row r="11241" spans="27:27">
      <c r="AA11241" s="158" t="s">
        <v>3917</v>
      </c>
    </row>
    <row r="11242" spans="27:27">
      <c r="AA11242" s="158" t="s">
        <v>12116</v>
      </c>
    </row>
    <row r="11243" spans="27:27">
      <c r="AA11243" s="158" t="s">
        <v>12117</v>
      </c>
    </row>
    <row r="11244" spans="27:27">
      <c r="AA11244" s="158" t="s">
        <v>12118</v>
      </c>
    </row>
    <row r="11245" spans="27:27">
      <c r="AA11245" s="158" t="s">
        <v>12119</v>
      </c>
    </row>
    <row r="11246" spans="27:27">
      <c r="AA11246" s="158" t="s">
        <v>12120</v>
      </c>
    </row>
    <row r="11247" spans="27:27">
      <c r="AA11247" s="158" t="s">
        <v>12121</v>
      </c>
    </row>
    <row r="11248" spans="27:27">
      <c r="AA11248" s="158" t="s">
        <v>12122</v>
      </c>
    </row>
    <row r="11249" spans="27:27">
      <c r="AA11249" s="158" t="s">
        <v>12123</v>
      </c>
    </row>
    <row r="11250" spans="27:27">
      <c r="AA11250" s="158" t="s">
        <v>12124</v>
      </c>
    </row>
    <row r="11251" spans="27:27">
      <c r="AA11251" s="158" t="s">
        <v>1141</v>
      </c>
    </row>
    <row r="11252" spans="27:27">
      <c r="AA11252" s="158" t="s">
        <v>12125</v>
      </c>
    </row>
    <row r="11253" spans="27:27">
      <c r="AA11253" s="158" t="s">
        <v>12126</v>
      </c>
    </row>
    <row r="11254" spans="27:27">
      <c r="AA11254" s="158" t="s">
        <v>12127</v>
      </c>
    </row>
    <row r="11255" spans="27:27">
      <c r="AA11255" s="158" t="s">
        <v>1142</v>
      </c>
    </row>
    <row r="11256" spans="27:27">
      <c r="AA11256" s="158" t="s">
        <v>12128</v>
      </c>
    </row>
    <row r="11257" spans="27:27">
      <c r="AA11257" s="158" t="s">
        <v>12129</v>
      </c>
    </row>
    <row r="11258" spans="27:27">
      <c r="AA11258" s="158" t="s">
        <v>1143</v>
      </c>
    </row>
    <row r="11259" spans="27:27">
      <c r="AA11259" s="158" t="s">
        <v>12130</v>
      </c>
    </row>
    <row r="11260" spans="27:27">
      <c r="AA11260" s="158" t="s">
        <v>12131</v>
      </c>
    </row>
    <row r="11261" spans="27:27">
      <c r="AA11261" s="158" t="s">
        <v>1144</v>
      </c>
    </row>
    <row r="11262" spans="27:27">
      <c r="AA11262" s="158" t="s">
        <v>12132</v>
      </c>
    </row>
    <row r="11263" spans="27:27">
      <c r="AA11263" s="158" t="s">
        <v>12133</v>
      </c>
    </row>
    <row r="11264" spans="27:27">
      <c r="AA11264" s="158" t="s">
        <v>1145</v>
      </c>
    </row>
    <row r="11265" spans="27:27">
      <c r="AA11265" s="158" t="s">
        <v>3918</v>
      </c>
    </row>
    <row r="11266" spans="27:27">
      <c r="AA11266" s="158" t="s">
        <v>1146</v>
      </c>
    </row>
    <row r="11267" spans="27:27">
      <c r="AA11267" s="158" t="s">
        <v>1147</v>
      </c>
    </row>
    <row r="11268" spans="27:27">
      <c r="AA11268" s="158" t="s">
        <v>3919</v>
      </c>
    </row>
    <row r="11269" spans="27:27">
      <c r="AA11269" s="158" t="s">
        <v>1148</v>
      </c>
    </row>
    <row r="11270" spans="27:27">
      <c r="AA11270" s="158" t="s">
        <v>3920</v>
      </c>
    </row>
    <row r="11271" spans="27:27">
      <c r="AA11271" s="158" t="s">
        <v>1149</v>
      </c>
    </row>
    <row r="11272" spans="27:27">
      <c r="AA11272" s="158" t="s">
        <v>1150</v>
      </c>
    </row>
    <row r="11273" spans="27:27">
      <c r="AA11273" s="158" t="s">
        <v>12134</v>
      </c>
    </row>
    <row r="11274" spans="27:27">
      <c r="AA11274" s="158" t="s">
        <v>12135</v>
      </c>
    </row>
    <row r="11275" spans="27:27">
      <c r="AA11275" s="158" t="s">
        <v>1151</v>
      </c>
    </row>
    <row r="11276" spans="27:27">
      <c r="AA11276" s="158" t="s">
        <v>12136</v>
      </c>
    </row>
    <row r="11277" spans="27:27">
      <c r="AA11277" s="158" t="s">
        <v>12137</v>
      </c>
    </row>
    <row r="11278" spans="27:27">
      <c r="AA11278" s="158" t="s">
        <v>1152</v>
      </c>
    </row>
    <row r="11279" spans="27:27">
      <c r="AA11279" s="158" t="s">
        <v>12138</v>
      </c>
    </row>
    <row r="11280" spans="27:27">
      <c r="AA11280" s="158" t="s">
        <v>12139</v>
      </c>
    </row>
    <row r="11281" spans="27:27">
      <c r="AA11281" s="158" t="s">
        <v>1153</v>
      </c>
    </row>
    <row r="11282" spans="27:27">
      <c r="AA11282" s="158" t="s">
        <v>12140</v>
      </c>
    </row>
    <row r="11283" spans="27:27">
      <c r="AA11283" s="158" t="s">
        <v>12141</v>
      </c>
    </row>
    <row r="11284" spans="27:27">
      <c r="AA11284" s="158" t="s">
        <v>1154</v>
      </c>
    </row>
    <row r="11285" spans="27:27">
      <c r="AA11285" s="158" t="s">
        <v>2848</v>
      </c>
    </row>
    <row r="11286" spans="27:27">
      <c r="AA11286" s="158" t="s">
        <v>1155</v>
      </c>
    </row>
    <row r="11287" spans="27:27">
      <c r="AA11287" s="158" t="s">
        <v>1156</v>
      </c>
    </row>
    <row r="11288" spans="27:27">
      <c r="AA11288" s="158" t="s">
        <v>12142</v>
      </c>
    </row>
    <row r="11289" spans="27:27">
      <c r="AA11289" s="158" t="s">
        <v>12143</v>
      </c>
    </row>
    <row r="11290" spans="27:27">
      <c r="AA11290" s="158" t="s">
        <v>12144</v>
      </c>
    </row>
    <row r="11291" spans="27:27">
      <c r="AA11291" s="158" t="s">
        <v>12145</v>
      </c>
    </row>
    <row r="11292" spans="27:27">
      <c r="AA11292" s="158" t="s">
        <v>12146</v>
      </c>
    </row>
    <row r="11293" spans="27:27">
      <c r="AA11293" s="158" t="s">
        <v>12147</v>
      </c>
    </row>
    <row r="11294" spans="27:27">
      <c r="AA11294" s="158" t="s">
        <v>12148</v>
      </c>
    </row>
    <row r="11295" spans="27:27">
      <c r="AA11295" s="158" t="s">
        <v>12149</v>
      </c>
    </row>
    <row r="11296" spans="27:27">
      <c r="AA11296" s="158" t="s">
        <v>12150</v>
      </c>
    </row>
    <row r="11297" spans="27:27">
      <c r="AA11297" s="158" t="s">
        <v>12151</v>
      </c>
    </row>
    <row r="11298" spans="27:27">
      <c r="AA11298" s="158" t="s">
        <v>12152</v>
      </c>
    </row>
    <row r="11299" spans="27:27">
      <c r="AA11299" s="158" t="s">
        <v>12153</v>
      </c>
    </row>
    <row r="11300" spans="27:27">
      <c r="AA11300" s="158" t="s">
        <v>12154</v>
      </c>
    </row>
    <row r="11301" spans="27:27">
      <c r="AA11301" s="158" t="s">
        <v>12155</v>
      </c>
    </row>
    <row r="11302" spans="27:27">
      <c r="AA11302" s="158" t="s">
        <v>12156</v>
      </c>
    </row>
    <row r="11303" spans="27:27">
      <c r="AA11303" s="158" t="s">
        <v>12157</v>
      </c>
    </row>
    <row r="11304" spans="27:27">
      <c r="AA11304" s="158" t="s">
        <v>12158</v>
      </c>
    </row>
    <row r="11305" spans="27:27">
      <c r="AA11305" s="158" t="s">
        <v>2849</v>
      </c>
    </row>
    <row r="11306" spans="27:27">
      <c r="AA11306" s="158" t="s">
        <v>3921</v>
      </c>
    </row>
    <row r="11307" spans="27:27">
      <c r="AA11307" s="158" t="s">
        <v>12159</v>
      </c>
    </row>
    <row r="11308" spans="27:27">
      <c r="AA11308" s="158" t="s">
        <v>12160</v>
      </c>
    </row>
    <row r="11309" spans="27:27">
      <c r="AA11309" s="158" t="s">
        <v>12161</v>
      </c>
    </row>
    <row r="11310" spans="27:27">
      <c r="AA11310" s="158" t="s">
        <v>1157</v>
      </c>
    </row>
    <row r="11311" spans="27:27">
      <c r="AA11311" s="158" t="s">
        <v>1158</v>
      </c>
    </row>
    <row r="11312" spans="27:27">
      <c r="AA11312" s="158" t="s">
        <v>2850</v>
      </c>
    </row>
    <row r="11313" spans="27:27">
      <c r="AA11313" s="158" t="s">
        <v>2851</v>
      </c>
    </row>
    <row r="11314" spans="27:27">
      <c r="AA11314" s="158" t="s">
        <v>2852</v>
      </c>
    </row>
    <row r="11315" spans="27:27">
      <c r="AA11315" s="158" t="s">
        <v>2853</v>
      </c>
    </row>
    <row r="11316" spans="27:27">
      <c r="AA11316" s="158" t="s">
        <v>2854</v>
      </c>
    </row>
    <row r="11317" spans="27:27">
      <c r="AA11317" s="158" t="s">
        <v>2855</v>
      </c>
    </row>
    <row r="11318" spans="27:27">
      <c r="AA11318" s="158" t="s">
        <v>2856</v>
      </c>
    </row>
    <row r="11319" spans="27:27">
      <c r="AA11319" s="158" t="s">
        <v>3922</v>
      </c>
    </row>
    <row r="11320" spans="27:27">
      <c r="AA11320" s="158" t="s">
        <v>12162</v>
      </c>
    </row>
    <row r="11321" spans="27:27">
      <c r="AA11321" s="158" t="s">
        <v>12163</v>
      </c>
    </row>
    <row r="11322" spans="27:27">
      <c r="AA11322" s="158" t="s">
        <v>12164</v>
      </c>
    </row>
    <row r="11323" spans="27:27">
      <c r="AA11323" s="158" t="s">
        <v>2857</v>
      </c>
    </row>
    <row r="11324" spans="27:27">
      <c r="AA11324" s="158" t="s">
        <v>2858</v>
      </c>
    </row>
    <row r="11325" spans="27:27">
      <c r="AA11325" s="158" t="s">
        <v>12165</v>
      </c>
    </row>
    <row r="11326" spans="27:27">
      <c r="AA11326" s="158" t="s">
        <v>12166</v>
      </c>
    </row>
    <row r="11327" spans="27:27">
      <c r="AA11327" s="158" t="s">
        <v>12167</v>
      </c>
    </row>
    <row r="11328" spans="27:27">
      <c r="AA11328" s="158" t="s">
        <v>12168</v>
      </c>
    </row>
    <row r="11329" spans="27:27">
      <c r="AA11329" s="158" t="s">
        <v>2859</v>
      </c>
    </row>
    <row r="11330" spans="27:27">
      <c r="AA11330" s="158" t="s">
        <v>3923</v>
      </c>
    </row>
    <row r="11331" spans="27:27">
      <c r="AA11331" s="158" t="s">
        <v>12169</v>
      </c>
    </row>
    <row r="11332" spans="27:27">
      <c r="AA11332" s="158" t="s">
        <v>12170</v>
      </c>
    </row>
    <row r="11333" spans="27:27">
      <c r="AA11333" s="158" t="s">
        <v>2860</v>
      </c>
    </row>
    <row r="11334" spans="27:27">
      <c r="AA11334" s="158" t="s">
        <v>2861</v>
      </c>
    </row>
    <row r="11335" spans="27:27">
      <c r="AA11335" s="158" t="s">
        <v>2862</v>
      </c>
    </row>
    <row r="11336" spans="27:27">
      <c r="AA11336" s="158" t="s">
        <v>2863</v>
      </c>
    </row>
    <row r="11337" spans="27:27">
      <c r="AA11337" s="158" t="s">
        <v>2864</v>
      </c>
    </row>
    <row r="11338" spans="27:27">
      <c r="AA11338" s="158" t="s">
        <v>2865</v>
      </c>
    </row>
    <row r="11339" spans="27:27">
      <c r="AA11339" s="158" t="s">
        <v>3924</v>
      </c>
    </row>
    <row r="11340" spans="27:27">
      <c r="AA11340" s="158" t="s">
        <v>12171</v>
      </c>
    </row>
    <row r="11341" spans="27:27">
      <c r="AA11341" s="158" t="s">
        <v>12172</v>
      </c>
    </row>
    <row r="11342" spans="27:27">
      <c r="AA11342" s="158" t="s">
        <v>12173</v>
      </c>
    </row>
    <row r="11343" spans="27:27">
      <c r="AA11343" s="158" t="s">
        <v>2866</v>
      </c>
    </row>
    <row r="11344" spans="27:27">
      <c r="AA11344" s="158" t="s">
        <v>2867</v>
      </c>
    </row>
    <row r="11345" spans="27:27">
      <c r="AA11345" s="158" t="s">
        <v>12174</v>
      </c>
    </row>
    <row r="11346" spans="27:27">
      <c r="AA11346" s="158" t="s">
        <v>12175</v>
      </c>
    </row>
    <row r="11347" spans="27:27">
      <c r="AA11347" s="158" t="s">
        <v>12176</v>
      </c>
    </row>
    <row r="11348" spans="27:27">
      <c r="AA11348" s="158" t="s">
        <v>12177</v>
      </c>
    </row>
    <row r="11349" spans="27:27">
      <c r="AA11349" s="158" t="s">
        <v>2868</v>
      </c>
    </row>
    <row r="11350" spans="27:27">
      <c r="AA11350" s="158" t="s">
        <v>3925</v>
      </c>
    </row>
    <row r="11351" spans="27:27">
      <c r="AA11351" s="158" t="s">
        <v>2869</v>
      </c>
    </row>
    <row r="11352" spans="27:27">
      <c r="AA11352" s="158" t="s">
        <v>3926</v>
      </c>
    </row>
    <row r="11353" spans="27:27">
      <c r="AA11353" s="158" t="s">
        <v>12178</v>
      </c>
    </row>
    <row r="11354" spans="27:27">
      <c r="AA11354" s="158" t="s">
        <v>12179</v>
      </c>
    </row>
    <row r="11355" spans="27:27">
      <c r="AA11355" s="158" t="s">
        <v>12180</v>
      </c>
    </row>
    <row r="11356" spans="27:27">
      <c r="AA11356" s="158" t="s">
        <v>12181</v>
      </c>
    </row>
    <row r="11357" spans="27:27">
      <c r="AA11357" s="158" t="s">
        <v>12182</v>
      </c>
    </row>
    <row r="11358" spans="27:27">
      <c r="AA11358" s="158" t="s">
        <v>12183</v>
      </c>
    </row>
    <row r="11359" spans="27:27">
      <c r="AA11359" s="158" t="s">
        <v>12184</v>
      </c>
    </row>
    <row r="11360" spans="27:27">
      <c r="AA11360" s="158" t="s">
        <v>12185</v>
      </c>
    </row>
    <row r="11361" spans="27:27">
      <c r="AA11361" s="158" t="s">
        <v>12186</v>
      </c>
    </row>
    <row r="11362" spans="27:27">
      <c r="AA11362" s="158" t="s">
        <v>12187</v>
      </c>
    </row>
    <row r="11363" spans="27:27">
      <c r="AA11363" s="158" t="s">
        <v>12188</v>
      </c>
    </row>
    <row r="11364" spans="27:27">
      <c r="AA11364" s="158" t="s">
        <v>12189</v>
      </c>
    </row>
    <row r="11365" spans="27:27">
      <c r="AA11365" s="158" t="s">
        <v>2870</v>
      </c>
    </row>
    <row r="11366" spans="27:27">
      <c r="AA11366" s="158" t="s">
        <v>12190</v>
      </c>
    </row>
    <row r="11367" spans="27:27">
      <c r="AA11367" s="158" t="s">
        <v>12191</v>
      </c>
    </row>
    <row r="11368" spans="27:27">
      <c r="AA11368" s="158" t="s">
        <v>12192</v>
      </c>
    </row>
    <row r="11369" spans="27:27">
      <c r="AA11369" s="158" t="s">
        <v>12193</v>
      </c>
    </row>
    <row r="11370" spans="27:27">
      <c r="AA11370" s="158" t="s">
        <v>2871</v>
      </c>
    </row>
    <row r="11371" spans="27:27">
      <c r="AA11371" s="158" t="s">
        <v>12194</v>
      </c>
    </row>
    <row r="11372" spans="27:27">
      <c r="AA11372" s="158" t="s">
        <v>12195</v>
      </c>
    </row>
    <row r="11373" spans="27:27">
      <c r="AA11373" s="158" t="s">
        <v>12196</v>
      </c>
    </row>
    <row r="11374" spans="27:27">
      <c r="AA11374" s="158" t="s">
        <v>12197</v>
      </c>
    </row>
    <row r="11375" spans="27:27">
      <c r="AA11375" s="158" t="s">
        <v>12198</v>
      </c>
    </row>
    <row r="11376" spans="27:27">
      <c r="AA11376" s="158" t="s">
        <v>12199</v>
      </c>
    </row>
    <row r="11377" spans="27:27">
      <c r="AA11377" s="158" t="s">
        <v>2872</v>
      </c>
    </row>
    <row r="11378" spans="27:27">
      <c r="AA11378" s="158" t="s">
        <v>2873</v>
      </c>
    </row>
    <row r="11379" spans="27:27">
      <c r="AA11379" s="158" t="s">
        <v>2874</v>
      </c>
    </row>
    <row r="11380" spans="27:27">
      <c r="AA11380" s="158" t="s">
        <v>3927</v>
      </c>
    </row>
    <row r="11381" spans="27:27">
      <c r="AA11381" s="158" t="s">
        <v>12200</v>
      </c>
    </row>
    <row r="11382" spans="27:27">
      <c r="AA11382" s="158" t="s">
        <v>12201</v>
      </c>
    </row>
    <row r="11383" spans="27:27">
      <c r="AA11383" s="158" t="s">
        <v>2875</v>
      </c>
    </row>
    <row r="11384" spans="27:27">
      <c r="AA11384" s="158" t="s">
        <v>12202</v>
      </c>
    </row>
    <row r="11385" spans="27:27">
      <c r="AA11385" s="158" t="s">
        <v>12203</v>
      </c>
    </row>
    <row r="11386" spans="27:27">
      <c r="AA11386" s="158" t="s">
        <v>2876</v>
      </c>
    </row>
    <row r="11387" spans="27:27">
      <c r="AA11387" s="158" t="s">
        <v>12204</v>
      </c>
    </row>
    <row r="11388" spans="27:27">
      <c r="AA11388" s="158" t="s">
        <v>2877</v>
      </c>
    </row>
    <row r="11389" spans="27:27">
      <c r="AA11389" s="158" t="s">
        <v>2878</v>
      </c>
    </row>
    <row r="11390" spans="27:27">
      <c r="AA11390" s="158" t="s">
        <v>2879</v>
      </c>
    </row>
    <row r="11391" spans="27:27">
      <c r="AA11391" s="158" t="s">
        <v>12205</v>
      </c>
    </row>
    <row r="11392" spans="27:27">
      <c r="AA11392" s="158" t="s">
        <v>12206</v>
      </c>
    </row>
    <row r="11393" spans="27:27">
      <c r="AA11393" s="158" t="s">
        <v>12207</v>
      </c>
    </row>
    <row r="11394" spans="27:27">
      <c r="AA11394" s="158" t="s">
        <v>12208</v>
      </c>
    </row>
    <row r="11395" spans="27:27">
      <c r="AA11395" s="158" t="s">
        <v>12209</v>
      </c>
    </row>
    <row r="11396" spans="27:27">
      <c r="AA11396" s="158" t="s">
        <v>2880</v>
      </c>
    </row>
    <row r="11397" spans="27:27">
      <c r="AA11397" s="158" t="s">
        <v>12210</v>
      </c>
    </row>
    <row r="11398" spans="27:27">
      <c r="AA11398" s="158" t="s">
        <v>12211</v>
      </c>
    </row>
    <row r="11399" spans="27:27">
      <c r="AA11399" s="158" t="s">
        <v>2881</v>
      </c>
    </row>
    <row r="11400" spans="27:27">
      <c r="AA11400" s="158" t="s">
        <v>2882</v>
      </c>
    </row>
    <row r="11401" spans="27:27">
      <c r="AA11401" s="158" t="s">
        <v>12212</v>
      </c>
    </row>
    <row r="11402" spans="27:27">
      <c r="AA11402" s="158" t="s">
        <v>2883</v>
      </c>
    </row>
    <row r="11403" spans="27:27">
      <c r="AA11403" s="158" t="s">
        <v>3928</v>
      </c>
    </row>
    <row r="11404" spans="27:27">
      <c r="AA11404" s="158" t="s">
        <v>12213</v>
      </c>
    </row>
    <row r="11405" spans="27:27">
      <c r="AA11405" s="158" t="s">
        <v>2884</v>
      </c>
    </row>
    <row r="11406" spans="27:27">
      <c r="AA11406" s="158" t="s">
        <v>2885</v>
      </c>
    </row>
    <row r="11407" spans="27:27">
      <c r="AA11407" s="158" t="s">
        <v>3929</v>
      </c>
    </row>
    <row r="11408" spans="27:27">
      <c r="AA11408" s="158" t="s">
        <v>12214</v>
      </c>
    </row>
    <row r="11409" spans="27:27">
      <c r="AA11409" s="158" t="s">
        <v>12215</v>
      </c>
    </row>
    <row r="11410" spans="27:27">
      <c r="AA11410" s="158" t="s">
        <v>12216</v>
      </c>
    </row>
    <row r="11411" spans="27:27">
      <c r="AA11411" s="158" t="s">
        <v>12217</v>
      </c>
    </row>
    <row r="11412" spans="27:27">
      <c r="AA11412" s="158" t="s">
        <v>12218</v>
      </c>
    </row>
    <row r="11413" spans="27:27">
      <c r="AA11413" s="158" t="s">
        <v>12219</v>
      </c>
    </row>
    <row r="11414" spans="27:27">
      <c r="AA11414" s="158" t="s">
        <v>2886</v>
      </c>
    </row>
    <row r="11415" spans="27:27">
      <c r="AA11415" s="158" t="s">
        <v>12220</v>
      </c>
    </row>
    <row r="11416" spans="27:27">
      <c r="AA11416" s="158" t="s">
        <v>12221</v>
      </c>
    </row>
    <row r="11417" spans="27:27">
      <c r="AA11417" s="158" t="s">
        <v>12222</v>
      </c>
    </row>
    <row r="11418" spans="27:27">
      <c r="AA11418" s="158" t="s">
        <v>12223</v>
      </c>
    </row>
    <row r="11419" spans="27:27">
      <c r="AA11419" s="158" t="s">
        <v>12224</v>
      </c>
    </row>
    <row r="11420" spans="27:27">
      <c r="AA11420" s="158" t="s">
        <v>12225</v>
      </c>
    </row>
    <row r="11421" spans="27:27">
      <c r="AA11421" s="158" t="s">
        <v>12226</v>
      </c>
    </row>
    <row r="11422" spans="27:27">
      <c r="AA11422" s="158" t="s">
        <v>2887</v>
      </c>
    </row>
    <row r="11423" spans="27:27">
      <c r="AA11423" s="158" t="s">
        <v>12227</v>
      </c>
    </row>
    <row r="11424" spans="27:27">
      <c r="AA11424" s="158" t="s">
        <v>12228</v>
      </c>
    </row>
    <row r="11425" spans="27:27">
      <c r="AA11425" s="158" t="s">
        <v>12229</v>
      </c>
    </row>
    <row r="11426" spans="27:27">
      <c r="AA11426" s="158" t="s">
        <v>2888</v>
      </c>
    </row>
    <row r="11427" spans="27:27">
      <c r="AA11427" s="158" t="s">
        <v>12230</v>
      </c>
    </row>
    <row r="11428" spans="27:27">
      <c r="AA11428" s="158" t="s">
        <v>12231</v>
      </c>
    </row>
    <row r="11429" spans="27:27">
      <c r="AA11429" s="158" t="s">
        <v>12232</v>
      </c>
    </row>
    <row r="11430" spans="27:27">
      <c r="AA11430" s="158" t="s">
        <v>12233</v>
      </c>
    </row>
    <row r="11431" spans="27:27">
      <c r="AA11431" s="158" t="s">
        <v>12234</v>
      </c>
    </row>
    <row r="11432" spans="27:27">
      <c r="AA11432" s="158" t="s">
        <v>12235</v>
      </c>
    </row>
    <row r="11433" spans="27:27">
      <c r="AA11433" s="158" t="s">
        <v>12236</v>
      </c>
    </row>
    <row r="11434" spans="27:27">
      <c r="AA11434" s="158" t="s">
        <v>12237</v>
      </c>
    </row>
    <row r="11435" spans="27:27">
      <c r="AA11435" s="158" t="s">
        <v>2889</v>
      </c>
    </row>
    <row r="11436" spans="27:27">
      <c r="AA11436" s="158" t="s">
        <v>12238</v>
      </c>
    </row>
    <row r="11437" spans="27:27">
      <c r="AA11437" s="158" t="s">
        <v>12239</v>
      </c>
    </row>
    <row r="11438" spans="27:27">
      <c r="AA11438" s="158" t="s">
        <v>12240</v>
      </c>
    </row>
    <row r="11439" spans="27:27">
      <c r="AA11439" s="158" t="s">
        <v>12241</v>
      </c>
    </row>
    <row r="11440" spans="27:27">
      <c r="AA11440" s="158" t="s">
        <v>12242</v>
      </c>
    </row>
    <row r="11441" spans="27:27">
      <c r="AA11441" s="158" t="s">
        <v>12243</v>
      </c>
    </row>
    <row r="11442" spans="27:27">
      <c r="AA11442" s="158" t="s">
        <v>12244</v>
      </c>
    </row>
    <row r="11443" spans="27:27">
      <c r="AA11443" s="158" t="s">
        <v>12245</v>
      </c>
    </row>
    <row r="11444" spans="27:27">
      <c r="AA11444" s="158" t="s">
        <v>2890</v>
      </c>
    </row>
    <row r="11445" spans="27:27">
      <c r="AA11445" s="158" t="s">
        <v>3930</v>
      </c>
    </row>
    <row r="11446" spans="27:27">
      <c r="AA11446" s="158" t="s">
        <v>2891</v>
      </c>
    </row>
    <row r="11447" spans="27:27">
      <c r="AA11447" s="158" t="s">
        <v>12246</v>
      </c>
    </row>
    <row r="11448" spans="27:27">
      <c r="AA11448" s="158" t="s">
        <v>12247</v>
      </c>
    </row>
    <row r="11449" spans="27:27">
      <c r="AA11449" s="158" t="s">
        <v>12248</v>
      </c>
    </row>
    <row r="11450" spans="27:27">
      <c r="AA11450" s="158" t="s">
        <v>12249</v>
      </c>
    </row>
    <row r="11451" spans="27:27">
      <c r="AA11451" s="158" t="s">
        <v>12250</v>
      </c>
    </row>
    <row r="11452" spans="27:27">
      <c r="AA11452" s="158" t="s">
        <v>12251</v>
      </c>
    </row>
    <row r="11453" spans="27:27">
      <c r="AA11453" s="158" t="s">
        <v>12252</v>
      </c>
    </row>
    <row r="11454" spans="27:27">
      <c r="AA11454" s="158" t="s">
        <v>12253</v>
      </c>
    </row>
    <row r="11455" spans="27:27">
      <c r="AA11455" s="158" t="s">
        <v>12254</v>
      </c>
    </row>
    <row r="11456" spans="27:27">
      <c r="AA11456" s="158" t="s">
        <v>12255</v>
      </c>
    </row>
    <row r="11457" spans="27:27">
      <c r="AA11457" s="158" t="s">
        <v>2892</v>
      </c>
    </row>
    <row r="11458" spans="27:27">
      <c r="AA11458" s="158" t="s">
        <v>2893</v>
      </c>
    </row>
    <row r="11459" spans="27:27">
      <c r="AA11459" s="158" t="s">
        <v>12256</v>
      </c>
    </row>
    <row r="11460" spans="27:27">
      <c r="AA11460" s="158" t="s">
        <v>3931</v>
      </c>
    </row>
    <row r="11461" spans="27:27">
      <c r="AA11461" s="158" t="s">
        <v>12257</v>
      </c>
    </row>
    <row r="11462" spans="27:27">
      <c r="AA11462" s="158" t="s">
        <v>12258</v>
      </c>
    </row>
    <row r="11463" spans="27:27">
      <c r="AA11463" s="158" t="s">
        <v>2894</v>
      </c>
    </row>
    <row r="11464" spans="27:27">
      <c r="AA11464" s="158" t="s">
        <v>12259</v>
      </c>
    </row>
    <row r="11465" spans="27:27">
      <c r="AA11465" s="158" t="s">
        <v>12260</v>
      </c>
    </row>
    <row r="11466" spans="27:27">
      <c r="AA11466" s="158" t="s">
        <v>12261</v>
      </c>
    </row>
    <row r="11467" spans="27:27">
      <c r="AA11467" s="158" t="s">
        <v>12262</v>
      </c>
    </row>
    <row r="11468" spans="27:27">
      <c r="AA11468" s="158" t="s">
        <v>12263</v>
      </c>
    </row>
    <row r="11469" spans="27:27">
      <c r="AA11469" s="158" t="s">
        <v>12264</v>
      </c>
    </row>
    <row r="11470" spans="27:27">
      <c r="AA11470" s="158" t="s">
        <v>12265</v>
      </c>
    </row>
    <row r="11471" spans="27:27">
      <c r="AA11471" s="158" t="s">
        <v>12266</v>
      </c>
    </row>
    <row r="11472" spans="27:27">
      <c r="AA11472" s="158" t="s">
        <v>12267</v>
      </c>
    </row>
    <row r="11473" spans="27:27">
      <c r="AA11473" s="158" t="s">
        <v>12268</v>
      </c>
    </row>
    <row r="11474" spans="27:27">
      <c r="AA11474" s="158" t="s">
        <v>12269</v>
      </c>
    </row>
    <row r="11475" spans="27:27">
      <c r="AA11475" s="158" t="s">
        <v>12270</v>
      </c>
    </row>
    <row r="11476" spans="27:27">
      <c r="AA11476" s="158" t="s">
        <v>12271</v>
      </c>
    </row>
    <row r="11477" spans="27:27">
      <c r="AA11477" s="158" t="s">
        <v>12272</v>
      </c>
    </row>
    <row r="11478" spans="27:27">
      <c r="AA11478" s="158" t="s">
        <v>12273</v>
      </c>
    </row>
    <row r="11479" spans="27:27">
      <c r="AA11479" s="158" t="s">
        <v>2895</v>
      </c>
    </row>
    <row r="11480" spans="27:27">
      <c r="AA11480" s="158" t="s">
        <v>3932</v>
      </c>
    </row>
    <row r="11481" spans="27:27">
      <c r="AA11481" s="158" t="s">
        <v>12274</v>
      </c>
    </row>
    <row r="11482" spans="27:27">
      <c r="AA11482" s="158" t="s">
        <v>12275</v>
      </c>
    </row>
    <row r="11483" spans="27:27">
      <c r="AA11483" s="158" t="s">
        <v>12276</v>
      </c>
    </row>
    <row r="11484" spans="27:27">
      <c r="AA11484" s="158" t="s">
        <v>2896</v>
      </c>
    </row>
    <row r="11485" spans="27:27">
      <c r="AA11485" s="158" t="s">
        <v>12277</v>
      </c>
    </row>
    <row r="11486" spans="27:27">
      <c r="AA11486" s="158" t="s">
        <v>12278</v>
      </c>
    </row>
    <row r="11487" spans="27:27">
      <c r="AA11487" s="158" t="s">
        <v>12279</v>
      </c>
    </row>
    <row r="11488" spans="27:27">
      <c r="AA11488" s="158" t="s">
        <v>12280</v>
      </c>
    </row>
    <row r="11489" spans="27:27">
      <c r="AA11489" s="158" t="s">
        <v>12281</v>
      </c>
    </row>
    <row r="11490" spans="27:27">
      <c r="AA11490" s="158" t="s">
        <v>12282</v>
      </c>
    </row>
    <row r="11491" spans="27:27">
      <c r="AA11491" s="158" t="s">
        <v>12283</v>
      </c>
    </row>
    <row r="11492" spans="27:27">
      <c r="AA11492" s="158" t="s">
        <v>12284</v>
      </c>
    </row>
    <row r="11493" spans="27:27">
      <c r="AA11493" s="158" t="s">
        <v>12285</v>
      </c>
    </row>
    <row r="11494" spans="27:27">
      <c r="AA11494" s="158" t="s">
        <v>12286</v>
      </c>
    </row>
    <row r="11495" spans="27:27">
      <c r="AA11495" s="158" t="s">
        <v>2897</v>
      </c>
    </row>
    <row r="11496" spans="27:27">
      <c r="AA11496" s="158" t="s">
        <v>2898</v>
      </c>
    </row>
    <row r="11497" spans="27:27">
      <c r="AA11497" s="158" t="s">
        <v>2899</v>
      </c>
    </row>
    <row r="11498" spans="27:27">
      <c r="AA11498" s="158" t="s">
        <v>2900</v>
      </c>
    </row>
    <row r="11499" spans="27:27">
      <c r="AA11499" s="158" t="s">
        <v>2901</v>
      </c>
    </row>
    <row r="11500" spans="27:27">
      <c r="AA11500" s="158" t="s">
        <v>2902</v>
      </c>
    </row>
    <row r="11501" spans="27:27">
      <c r="AA11501" s="158" t="s">
        <v>2903</v>
      </c>
    </row>
    <row r="11502" spans="27:27">
      <c r="AA11502" s="158" t="s">
        <v>2904</v>
      </c>
    </row>
    <row r="11503" spans="27:27">
      <c r="AA11503" s="158" t="s">
        <v>2905</v>
      </c>
    </row>
    <row r="11504" spans="27:27">
      <c r="AA11504" s="158" t="s">
        <v>2906</v>
      </c>
    </row>
    <row r="11505" spans="27:27">
      <c r="AA11505" s="158" t="s">
        <v>2907</v>
      </c>
    </row>
    <row r="11506" spans="27:27">
      <c r="AA11506" s="158" t="s">
        <v>2908</v>
      </c>
    </row>
    <row r="11507" spans="27:27">
      <c r="AA11507" s="158" t="s">
        <v>2909</v>
      </c>
    </row>
    <row r="11508" spans="27:27">
      <c r="AA11508" s="158" t="s">
        <v>12287</v>
      </c>
    </row>
    <row r="11509" spans="27:27">
      <c r="AA11509" s="158" t="s">
        <v>12288</v>
      </c>
    </row>
    <row r="11510" spans="27:27">
      <c r="AA11510" s="158" t="s">
        <v>12289</v>
      </c>
    </row>
    <row r="11511" spans="27:27">
      <c r="AA11511" s="158" t="s">
        <v>12290</v>
      </c>
    </row>
    <row r="11512" spans="27:27">
      <c r="AA11512" s="158" t="s">
        <v>12291</v>
      </c>
    </row>
    <row r="11513" spans="27:27">
      <c r="AA11513" s="158" t="s">
        <v>12292</v>
      </c>
    </row>
    <row r="11514" spans="27:27">
      <c r="AA11514" s="158" t="s">
        <v>12293</v>
      </c>
    </row>
    <row r="11515" spans="27:27">
      <c r="AA11515" s="158" t="s">
        <v>12294</v>
      </c>
    </row>
    <row r="11516" spans="27:27">
      <c r="AA11516" s="158" t="s">
        <v>12295</v>
      </c>
    </row>
    <row r="11517" spans="27:27">
      <c r="AA11517" s="158" t="s">
        <v>12296</v>
      </c>
    </row>
    <row r="11518" spans="27:27">
      <c r="AA11518" s="158" t="s">
        <v>12297</v>
      </c>
    </row>
    <row r="11519" spans="27:27">
      <c r="AA11519" s="158" t="s">
        <v>2910</v>
      </c>
    </row>
    <row r="11520" spans="27:27">
      <c r="AA11520" s="158" t="s">
        <v>2911</v>
      </c>
    </row>
    <row r="11521" spans="27:27">
      <c r="AA11521" s="158" t="s">
        <v>2912</v>
      </c>
    </row>
    <row r="11522" spans="27:27">
      <c r="AA11522" s="158" t="s">
        <v>2913</v>
      </c>
    </row>
    <row r="11523" spans="27:27">
      <c r="AA11523" s="158" t="s">
        <v>2914</v>
      </c>
    </row>
    <row r="11524" spans="27:27">
      <c r="AA11524" s="158" t="s">
        <v>2915</v>
      </c>
    </row>
    <row r="11525" spans="27:27">
      <c r="AA11525" s="158" t="s">
        <v>2916</v>
      </c>
    </row>
    <row r="11526" spans="27:27">
      <c r="AA11526" s="158" t="s">
        <v>2917</v>
      </c>
    </row>
    <row r="11527" spans="27:27">
      <c r="AA11527" s="158" t="s">
        <v>2918</v>
      </c>
    </row>
    <row r="11528" spans="27:27">
      <c r="AA11528" s="158" t="s">
        <v>2919</v>
      </c>
    </row>
    <row r="11529" spans="27:27">
      <c r="AA11529" s="158" t="s">
        <v>2920</v>
      </c>
    </row>
    <row r="11530" spans="27:27">
      <c r="AA11530" s="158" t="s">
        <v>2921</v>
      </c>
    </row>
    <row r="11531" spans="27:27">
      <c r="AA11531" s="158" t="s">
        <v>2922</v>
      </c>
    </row>
    <row r="11532" spans="27:27">
      <c r="AA11532" s="158" t="s">
        <v>2923</v>
      </c>
    </row>
    <row r="11533" spans="27:27">
      <c r="AA11533" s="158" t="s">
        <v>2924</v>
      </c>
    </row>
    <row r="11534" spans="27:27">
      <c r="AA11534" s="158" t="s">
        <v>2925</v>
      </c>
    </row>
    <row r="11535" spans="27:27">
      <c r="AA11535" s="158" t="s">
        <v>2926</v>
      </c>
    </row>
    <row r="11536" spans="27:27">
      <c r="AA11536" s="158" t="s">
        <v>2927</v>
      </c>
    </row>
    <row r="11537" spans="27:27">
      <c r="AA11537" s="158" t="s">
        <v>2928</v>
      </c>
    </row>
    <row r="11538" spans="27:27">
      <c r="AA11538" s="158" t="s">
        <v>2929</v>
      </c>
    </row>
    <row r="11539" spans="27:27">
      <c r="AA11539" s="158" t="s">
        <v>2930</v>
      </c>
    </row>
    <row r="11540" spans="27:27">
      <c r="AA11540" s="158" t="s">
        <v>2931</v>
      </c>
    </row>
    <row r="11541" spans="27:27">
      <c r="AA11541" s="158" t="s">
        <v>2932</v>
      </c>
    </row>
    <row r="11542" spans="27:27">
      <c r="AA11542" s="158" t="s">
        <v>2933</v>
      </c>
    </row>
    <row r="11543" spans="27:27">
      <c r="AA11543" s="158" t="s">
        <v>2934</v>
      </c>
    </row>
    <row r="11544" spans="27:27">
      <c r="AA11544" s="158" t="s">
        <v>2935</v>
      </c>
    </row>
    <row r="11545" spans="27:27">
      <c r="AA11545" s="158" t="s">
        <v>2936</v>
      </c>
    </row>
    <row r="11546" spans="27:27">
      <c r="AA11546" s="158" t="s">
        <v>2937</v>
      </c>
    </row>
    <row r="11547" spans="27:27">
      <c r="AA11547" s="158" t="s">
        <v>2938</v>
      </c>
    </row>
    <row r="11548" spans="27:27">
      <c r="AA11548" s="158" t="s">
        <v>2939</v>
      </c>
    </row>
    <row r="11549" spans="27:27">
      <c r="AA11549" s="158" t="s">
        <v>2940</v>
      </c>
    </row>
    <row r="11550" spans="27:27">
      <c r="AA11550" s="158" t="s">
        <v>2941</v>
      </c>
    </row>
    <row r="11551" spans="27:27">
      <c r="AA11551" s="158" t="s">
        <v>2942</v>
      </c>
    </row>
    <row r="11552" spans="27:27">
      <c r="AA11552" s="158" t="s">
        <v>2943</v>
      </c>
    </row>
    <row r="11553" spans="27:27">
      <c r="AA11553" s="158" t="s">
        <v>2944</v>
      </c>
    </row>
    <row r="11554" spans="27:27">
      <c r="AA11554" s="158" t="s">
        <v>3933</v>
      </c>
    </row>
    <row r="11555" spans="27:27">
      <c r="AA11555" s="158" t="s">
        <v>12298</v>
      </c>
    </row>
    <row r="11556" spans="27:27">
      <c r="AA11556" s="158" t="s">
        <v>12299</v>
      </c>
    </row>
    <row r="11557" spans="27:27">
      <c r="AA11557" s="158" t="s">
        <v>12300</v>
      </c>
    </row>
    <row r="11558" spans="27:27">
      <c r="AA11558" s="158" t="s">
        <v>12301</v>
      </c>
    </row>
    <row r="11559" spans="27:27">
      <c r="AA11559" s="158" t="s">
        <v>3934</v>
      </c>
    </row>
    <row r="11560" spans="27:27">
      <c r="AA11560" s="158" t="s">
        <v>12302</v>
      </c>
    </row>
    <row r="11561" spans="27:27">
      <c r="AA11561" s="158" t="s">
        <v>3935</v>
      </c>
    </row>
    <row r="11562" spans="27:27">
      <c r="AA11562" s="158" t="s">
        <v>12303</v>
      </c>
    </row>
    <row r="11563" spans="27:27">
      <c r="AA11563" s="158" t="s">
        <v>3936</v>
      </c>
    </row>
    <row r="11564" spans="27:27">
      <c r="AA11564" s="158" t="s">
        <v>2945</v>
      </c>
    </row>
    <row r="11565" spans="27:27">
      <c r="AA11565" s="158" t="s">
        <v>2946</v>
      </c>
    </row>
    <row r="11566" spans="27:27">
      <c r="AA11566" s="158" t="s">
        <v>2947</v>
      </c>
    </row>
    <row r="11567" spans="27:27">
      <c r="AA11567" s="158" t="s">
        <v>12304</v>
      </c>
    </row>
    <row r="11568" spans="27:27">
      <c r="AA11568" s="158" t="s">
        <v>2948</v>
      </c>
    </row>
    <row r="11569" spans="27:27">
      <c r="AA11569" s="158" t="s">
        <v>2949</v>
      </c>
    </row>
    <row r="11570" spans="27:27">
      <c r="AA11570" s="158" t="s">
        <v>2950</v>
      </c>
    </row>
    <row r="11571" spans="27:27">
      <c r="AA11571" s="158" t="s">
        <v>2951</v>
      </c>
    </row>
    <row r="11572" spans="27:27">
      <c r="AA11572" s="158" t="s">
        <v>2952</v>
      </c>
    </row>
    <row r="11573" spans="27:27">
      <c r="AA11573" s="158" t="s">
        <v>2953</v>
      </c>
    </row>
    <row r="11574" spans="27:27">
      <c r="AA11574" s="158" t="s">
        <v>2954</v>
      </c>
    </row>
    <row r="11575" spans="27:27">
      <c r="AA11575" s="158" t="s">
        <v>2955</v>
      </c>
    </row>
    <row r="11576" spans="27:27">
      <c r="AA11576" s="158" t="s">
        <v>2956</v>
      </c>
    </row>
    <row r="11577" spans="27:27">
      <c r="AA11577" s="158" t="s">
        <v>2957</v>
      </c>
    </row>
    <row r="11578" spans="27:27">
      <c r="AA11578" s="158" t="s">
        <v>3937</v>
      </c>
    </row>
    <row r="11579" spans="27:27">
      <c r="AA11579" s="158" t="s">
        <v>2958</v>
      </c>
    </row>
    <row r="11580" spans="27:27">
      <c r="AA11580" s="158" t="s">
        <v>2959</v>
      </c>
    </row>
    <row r="11581" spans="27:27">
      <c r="AA11581" s="158" t="s">
        <v>12305</v>
      </c>
    </row>
    <row r="11582" spans="27:27">
      <c r="AA11582" s="158" t="s">
        <v>2960</v>
      </c>
    </row>
    <row r="11583" spans="27:27">
      <c r="AA11583" s="158" t="s">
        <v>12306</v>
      </c>
    </row>
    <row r="11584" spans="27:27">
      <c r="AA11584" s="158" t="s">
        <v>12307</v>
      </c>
    </row>
    <row r="11585" spans="27:27">
      <c r="AA11585" s="158" t="s">
        <v>12308</v>
      </c>
    </row>
    <row r="11586" spans="27:27">
      <c r="AA11586" s="158" t="s">
        <v>12309</v>
      </c>
    </row>
    <row r="11587" spans="27:27">
      <c r="AA11587" s="158" t="s">
        <v>3938</v>
      </c>
    </row>
    <row r="11588" spans="27:27">
      <c r="AA11588" s="158" t="s">
        <v>2961</v>
      </c>
    </row>
    <row r="11589" spans="27:27">
      <c r="AA11589" s="158" t="s">
        <v>3939</v>
      </c>
    </row>
    <row r="11590" spans="27:27">
      <c r="AA11590" s="158" t="s">
        <v>2962</v>
      </c>
    </row>
    <row r="11591" spans="27:27">
      <c r="AA11591" s="158" t="s">
        <v>2963</v>
      </c>
    </row>
    <row r="11592" spans="27:27">
      <c r="AA11592" s="158" t="s">
        <v>2964</v>
      </c>
    </row>
    <row r="11593" spans="27:27">
      <c r="AA11593" s="158" t="s">
        <v>12310</v>
      </c>
    </row>
    <row r="11594" spans="27:27">
      <c r="AA11594" s="158" t="s">
        <v>2965</v>
      </c>
    </row>
    <row r="11595" spans="27:27">
      <c r="AA11595" s="158" t="s">
        <v>3940</v>
      </c>
    </row>
    <row r="11596" spans="27:27">
      <c r="AA11596" s="158" t="s">
        <v>12311</v>
      </c>
    </row>
    <row r="11597" spans="27:27">
      <c r="AA11597" s="158" t="s">
        <v>2966</v>
      </c>
    </row>
    <row r="11598" spans="27:27">
      <c r="AA11598" s="158" t="s">
        <v>3941</v>
      </c>
    </row>
    <row r="11599" spans="27:27">
      <c r="AA11599" s="158" t="s">
        <v>12312</v>
      </c>
    </row>
    <row r="11600" spans="27:27">
      <c r="AA11600" s="158" t="s">
        <v>2967</v>
      </c>
    </row>
    <row r="11601" spans="27:27">
      <c r="AA11601" s="158" t="s">
        <v>3942</v>
      </c>
    </row>
    <row r="11602" spans="27:27">
      <c r="AA11602" s="158" t="s">
        <v>2968</v>
      </c>
    </row>
    <row r="11603" spans="27:27">
      <c r="AA11603" s="158" t="s">
        <v>3943</v>
      </c>
    </row>
    <row r="11604" spans="27:27">
      <c r="AA11604" s="158" t="s">
        <v>2969</v>
      </c>
    </row>
    <row r="11605" spans="27:27">
      <c r="AA11605" s="158" t="s">
        <v>2970</v>
      </c>
    </row>
    <row r="11606" spans="27:27">
      <c r="AA11606" s="158" t="s">
        <v>1159</v>
      </c>
    </row>
    <row r="11607" spans="27:27">
      <c r="AA11607" s="158" t="s">
        <v>1160</v>
      </c>
    </row>
    <row r="11608" spans="27:27">
      <c r="AA11608" s="158" t="s">
        <v>1161</v>
      </c>
    </row>
    <row r="11609" spans="27:27">
      <c r="AA11609" s="158" t="s">
        <v>1162</v>
      </c>
    </row>
    <row r="11610" spans="27:27">
      <c r="AA11610" s="158" t="s">
        <v>2971</v>
      </c>
    </row>
    <row r="11611" spans="27:27">
      <c r="AA11611" s="158" t="s">
        <v>3944</v>
      </c>
    </row>
    <row r="11612" spans="27:27">
      <c r="AA11612" s="158" t="s">
        <v>2972</v>
      </c>
    </row>
    <row r="11613" spans="27:27">
      <c r="AA11613" s="158" t="s">
        <v>3945</v>
      </c>
    </row>
    <row r="11614" spans="27:27">
      <c r="AA11614" s="158" t="s">
        <v>2973</v>
      </c>
    </row>
    <row r="11615" spans="27:27">
      <c r="AA11615" s="158" t="s">
        <v>3946</v>
      </c>
    </row>
    <row r="11616" spans="27:27">
      <c r="AA11616" s="158" t="s">
        <v>2974</v>
      </c>
    </row>
    <row r="11617" spans="27:27">
      <c r="AA11617" s="158" t="s">
        <v>12313</v>
      </c>
    </row>
    <row r="11618" spans="27:27">
      <c r="AA11618" s="158" t="s">
        <v>12314</v>
      </c>
    </row>
    <row r="11619" spans="27:27">
      <c r="AA11619" s="158" t="s">
        <v>12315</v>
      </c>
    </row>
    <row r="11620" spans="27:27">
      <c r="AA11620" s="158" t="s">
        <v>3947</v>
      </c>
    </row>
    <row r="11621" spans="27:27">
      <c r="AA11621" s="158" t="s">
        <v>2975</v>
      </c>
    </row>
    <row r="11622" spans="27:27">
      <c r="AA11622" s="158" t="s">
        <v>3948</v>
      </c>
    </row>
    <row r="11623" spans="27:27">
      <c r="AA11623" s="158" t="s">
        <v>2976</v>
      </c>
    </row>
    <row r="11624" spans="27:27">
      <c r="AA11624" s="158" t="s">
        <v>2977</v>
      </c>
    </row>
    <row r="11625" spans="27:27">
      <c r="AA11625" s="158" t="s">
        <v>2978</v>
      </c>
    </row>
    <row r="11626" spans="27:27">
      <c r="AA11626" s="158" t="s">
        <v>2979</v>
      </c>
    </row>
    <row r="11627" spans="27:27">
      <c r="AA11627" s="158" t="s">
        <v>2980</v>
      </c>
    </row>
    <row r="11628" spans="27:27">
      <c r="AA11628" s="158" t="s">
        <v>2981</v>
      </c>
    </row>
    <row r="11629" spans="27:27">
      <c r="AA11629" s="158" t="s">
        <v>12316</v>
      </c>
    </row>
    <row r="11630" spans="27:27">
      <c r="AA11630" s="158" t="s">
        <v>12317</v>
      </c>
    </row>
    <row r="11631" spans="27:27">
      <c r="AA11631" s="158" t="s">
        <v>12318</v>
      </c>
    </row>
    <row r="11632" spans="27:27">
      <c r="AA11632" s="158" t="s">
        <v>12319</v>
      </c>
    </row>
    <row r="11633" spans="27:27">
      <c r="AA11633" s="158" t="s">
        <v>2982</v>
      </c>
    </row>
    <row r="11634" spans="27:27">
      <c r="AA11634" s="158" t="s">
        <v>12320</v>
      </c>
    </row>
    <row r="11635" spans="27:27">
      <c r="AA11635" s="158" t="s">
        <v>12321</v>
      </c>
    </row>
    <row r="11636" spans="27:27">
      <c r="AA11636" s="158" t="s">
        <v>12322</v>
      </c>
    </row>
    <row r="11637" spans="27:27">
      <c r="AA11637" s="158" t="s">
        <v>3949</v>
      </c>
    </row>
    <row r="11638" spans="27:27">
      <c r="AA11638" s="158" t="s">
        <v>2983</v>
      </c>
    </row>
    <row r="11639" spans="27:27">
      <c r="AA11639" s="158" t="s">
        <v>3950</v>
      </c>
    </row>
    <row r="11640" spans="27:27">
      <c r="AA11640" s="158" t="s">
        <v>12323</v>
      </c>
    </row>
    <row r="11641" spans="27:27">
      <c r="AA11641" s="158" t="s">
        <v>12324</v>
      </c>
    </row>
    <row r="11642" spans="27:27">
      <c r="AA11642" s="158" t="s">
        <v>12325</v>
      </c>
    </row>
    <row r="11643" spans="27:27">
      <c r="AA11643" s="158" t="s">
        <v>3951</v>
      </c>
    </row>
    <row r="11644" spans="27:27">
      <c r="AA11644" s="158" t="s">
        <v>12326</v>
      </c>
    </row>
    <row r="11645" spans="27:27">
      <c r="AA11645" s="158" t="s">
        <v>12327</v>
      </c>
    </row>
    <row r="11646" spans="27:27">
      <c r="AA11646" s="158" t="s">
        <v>2984</v>
      </c>
    </row>
    <row r="11647" spans="27:27">
      <c r="AA11647" s="158" t="s">
        <v>12328</v>
      </c>
    </row>
    <row r="11648" spans="27:27">
      <c r="AA11648" s="158" t="s">
        <v>3952</v>
      </c>
    </row>
    <row r="11649" spans="27:27">
      <c r="AA11649" s="158" t="s">
        <v>12329</v>
      </c>
    </row>
    <row r="11650" spans="27:27">
      <c r="AA11650" s="158" t="s">
        <v>12330</v>
      </c>
    </row>
    <row r="11651" spans="27:27">
      <c r="AA11651" s="158" t="s">
        <v>2985</v>
      </c>
    </row>
    <row r="11652" spans="27:27">
      <c r="AA11652" s="158" t="s">
        <v>12331</v>
      </c>
    </row>
    <row r="11653" spans="27:27">
      <c r="AA11653" s="158" t="s">
        <v>3953</v>
      </c>
    </row>
    <row r="11654" spans="27:27">
      <c r="AA11654" s="158" t="s">
        <v>12332</v>
      </c>
    </row>
    <row r="11655" spans="27:27">
      <c r="AA11655" s="158" t="s">
        <v>12333</v>
      </c>
    </row>
    <row r="11656" spans="27:27">
      <c r="AA11656" s="158" t="s">
        <v>2986</v>
      </c>
    </row>
    <row r="11657" spans="27:27">
      <c r="AA11657" s="158" t="s">
        <v>12334</v>
      </c>
    </row>
    <row r="11658" spans="27:27">
      <c r="AA11658" s="158" t="s">
        <v>3954</v>
      </c>
    </row>
    <row r="11659" spans="27:27">
      <c r="AA11659" s="158" t="s">
        <v>12335</v>
      </c>
    </row>
    <row r="11660" spans="27:27">
      <c r="AA11660" s="158" t="s">
        <v>12336</v>
      </c>
    </row>
    <row r="11661" spans="27:27">
      <c r="AA11661" s="158" t="s">
        <v>2987</v>
      </c>
    </row>
    <row r="11662" spans="27:27">
      <c r="AA11662" s="158" t="s">
        <v>12337</v>
      </c>
    </row>
    <row r="11663" spans="27:27">
      <c r="AA11663" s="158" t="s">
        <v>3955</v>
      </c>
    </row>
    <row r="11664" spans="27:27">
      <c r="AA11664" s="158" t="s">
        <v>12338</v>
      </c>
    </row>
    <row r="11665" spans="27:27">
      <c r="AA11665" s="158" t="s">
        <v>12339</v>
      </c>
    </row>
    <row r="11666" spans="27:27">
      <c r="AA11666" s="158" t="s">
        <v>2988</v>
      </c>
    </row>
    <row r="11667" spans="27:27">
      <c r="AA11667" s="158" t="s">
        <v>12340</v>
      </c>
    </row>
    <row r="11668" spans="27:27">
      <c r="AA11668" s="158" t="s">
        <v>3956</v>
      </c>
    </row>
    <row r="11669" spans="27:27">
      <c r="AA11669" s="158" t="s">
        <v>12341</v>
      </c>
    </row>
    <row r="11670" spans="27:27">
      <c r="AA11670" s="158" t="s">
        <v>12342</v>
      </c>
    </row>
    <row r="11671" spans="27:27">
      <c r="AA11671" s="158" t="s">
        <v>12343</v>
      </c>
    </row>
    <row r="11672" spans="27:27">
      <c r="AA11672" s="158" t="s">
        <v>3957</v>
      </c>
    </row>
    <row r="11673" spans="27:27">
      <c r="AA11673" s="158" t="s">
        <v>12344</v>
      </c>
    </row>
    <row r="11674" spans="27:27">
      <c r="AA11674" s="158" t="s">
        <v>12345</v>
      </c>
    </row>
    <row r="11675" spans="27:27">
      <c r="AA11675" s="158" t="s">
        <v>2989</v>
      </c>
    </row>
    <row r="11676" spans="27:27">
      <c r="AA11676" s="158" t="s">
        <v>12346</v>
      </c>
    </row>
    <row r="11677" spans="27:27">
      <c r="AA11677" s="158" t="s">
        <v>12347</v>
      </c>
    </row>
    <row r="11678" spans="27:27">
      <c r="AA11678" s="158" t="s">
        <v>2990</v>
      </c>
    </row>
    <row r="11679" spans="27:27">
      <c r="AA11679" s="158" t="s">
        <v>12348</v>
      </c>
    </row>
    <row r="11680" spans="27:27">
      <c r="AA11680" s="158" t="s">
        <v>12349</v>
      </c>
    </row>
    <row r="11681" spans="27:27">
      <c r="AA11681" s="158" t="s">
        <v>12350</v>
      </c>
    </row>
    <row r="11682" spans="27:27">
      <c r="AA11682" s="158" t="s">
        <v>12351</v>
      </c>
    </row>
    <row r="11683" spans="27:27">
      <c r="AA11683" s="158" t="s">
        <v>12352</v>
      </c>
    </row>
    <row r="11684" spans="27:27">
      <c r="AA11684" s="158" t="s">
        <v>12353</v>
      </c>
    </row>
    <row r="11685" spans="27:27">
      <c r="AA11685" s="158" t="s">
        <v>3958</v>
      </c>
    </row>
    <row r="11686" spans="27:27">
      <c r="AA11686" s="158" t="s">
        <v>2991</v>
      </c>
    </row>
    <row r="11687" spans="27:27">
      <c r="AA11687" s="158" t="s">
        <v>3959</v>
      </c>
    </row>
    <row r="11688" spans="27:27">
      <c r="AA11688" s="158" t="s">
        <v>12354</v>
      </c>
    </row>
    <row r="11689" spans="27:27">
      <c r="AA11689" s="158" t="s">
        <v>12355</v>
      </c>
    </row>
    <row r="11690" spans="27:27">
      <c r="AA11690" s="158" t="s">
        <v>12356</v>
      </c>
    </row>
    <row r="11691" spans="27:27">
      <c r="AA11691" s="158" t="s">
        <v>2992</v>
      </c>
    </row>
    <row r="11692" spans="27:27">
      <c r="AA11692" s="158" t="s">
        <v>3960</v>
      </c>
    </row>
    <row r="11693" spans="27:27">
      <c r="AA11693" s="158" t="s">
        <v>12357</v>
      </c>
    </row>
    <row r="11694" spans="27:27">
      <c r="AA11694" s="158" t="s">
        <v>12358</v>
      </c>
    </row>
    <row r="11695" spans="27:27">
      <c r="AA11695" s="158" t="s">
        <v>2993</v>
      </c>
    </row>
    <row r="11696" spans="27:27">
      <c r="AA11696" s="158" t="s">
        <v>12359</v>
      </c>
    </row>
    <row r="11697" spans="27:27">
      <c r="AA11697" s="158" t="s">
        <v>3961</v>
      </c>
    </row>
    <row r="11698" spans="27:27">
      <c r="AA11698" s="158" t="s">
        <v>12360</v>
      </c>
    </row>
    <row r="11699" spans="27:27">
      <c r="AA11699" s="158" t="s">
        <v>12361</v>
      </c>
    </row>
    <row r="11700" spans="27:27">
      <c r="AA11700" s="158" t="s">
        <v>2994</v>
      </c>
    </row>
    <row r="11701" spans="27:27">
      <c r="AA11701" s="158" t="s">
        <v>12362</v>
      </c>
    </row>
    <row r="11702" spans="27:27">
      <c r="AA11702" s="158" t="s">
        <v>3962</v>
      </c>
    </row>
    <row r="11703" spans="27:27">
      <c r="AA11703" s="158" t="s">
        <v>12363</v>
      </c>
    </row>
    <row r="11704" spans="27:27">
      <c r="AA11704" s="158" t="s">
        <v>12364</v>
      </c>
    </row>
    <row r="11705" spans="27:27">
      <c r="AA11705" s="158" t="s">
        <v>2995</v>
      </c>
    </row>
    <row r="11706" spans="27:27">
      <c r="AA11706" s="158" t="s">
        <v>12365</v>
      </c>
    </row>
    <row r="11707" spans="27:27">
      <c r="AA11707" s="158" t="s">
        <v>3963</v>
      </c>
    </row>
    <row r="11708" spans="27:27">
      <c r="AA11708" s="158" t="s">
        <v>12366</v>
      </c>
    </row>
    <row r="11709" spans="27:27">
      <c r="AA11709" s="158" t="s">
        <v>12367</v>
      </c>
    </row>
    <row r="11710" spans="27:27">
      <c r="AA11710" s="158" t="s">
        <v>2996</v>
      </c>
    </row>
    <row r="11711" spans="27:27">
      <c r="AA11711" s="158" t="s">
        <v>2997</v>
      </c>
    </row>
    <row r="11712" spans="27:27">
      <c r="AA11712" s="158" t="s">
        <v>2998</v>
      </c>
    </row>
    <row r="11713" spans="27:27">
      <c r="AA11713" s="158" t="s">
        <v>3964</v>
      </c>
    </row>
    <row r="11714" spans="27:27">
      <c r="AA11714" s="158" t="s">
        <v>12368</v>
      </c>
    </row>
    <row r="11715" spans="27:27">
      <c r="AA11715" s="158" t="s">
        <v>3357</v>
      </c>
    </row>
    <row r="11716" spans="27:27">
      <c r="AA11716" s="158" t="s">
        <v>12369</v>
      </c>
    </row>
    <row r="11717" spans="27:27">
      <c r="AA11717" s="158" t="s">
        <v>2999</v>
      </c>
    </row>
    <row r="11718" spans="27:27">
      <c r="AA11718" s="158" t="s">
        <v>12370</v>
      </c>
    </row>
    <row r="11719" spans="27:27">
      <c r="AA11719" s="158" t="s">
        <v>12371</v>
      </c>
    </row>
    <row r="11720" spans="27:27">
      <c r="AA11720" s="158" t="s">
        <v>12372</v>
      </c>
    </row>
    <row r="11721" spans="27:27">
      <c r="AA11721" s="158" t="s">
        <v>12373</v>
      </c>
    </row>
    <row r="11722" spans="27:27">
      <c r="AA11722" s="158" t="s">
        <v>12374</v>
      </c>
    </row>
    <row r="11723" spans="27:27">
      <c r="AA11723" s="158" t="s">
        <v>3000</v>
      </c>
    </row>
    <row r="11724" spans="27:27">
      <c r="AA11724" s="158" t="s">
        <v>3001</v>
      </c>
    </row>
    <row r="11725" spans="27:27">
      <c r="AA11725" s="158" t="s">
        <v>3002</v>
      </c>
    </row>
    <row r="11726" spans="27:27">
      <c r="AA11726" s="158" t="s">
        <v>12375</v>
      </c>
    </row>
    <row r="11727" spans="27:27">
      <c r="AA11727" s="158" t="s">
        <v>12376</v>
      </c>
    </row>
    <row r="11728" spans="27:27">
      <c r="AA11728" s="158" t="s">
        <v>3003</v>
      </c>
    </row>
    <row r="11729" spans="27:27">
      <c r="AA11729" s="158" t="s">
        <v>12377</v>
      </c>
    </row>
    <row r="11730" spans="27:27">
      <c r="AA11730" s="158" t="s">
        <v>3004</v>
      </c>
    </row>
    <row r="11731" spans="27:27">
      <c r="AA11731" s="158" t="s">
        <v>3005</v>
      </c>
    </row>
    <row r="11732" spans="27:27">
      <c r="AA11732" s="158" t="s">
        <v>3006</v>
      </c>
    </row>
    <row r="11733" spans="27:27">
      <c r="AA11733" s="158" t="s">
        <v>1163</v>
      </c>
    </row>
    <row r="11734" spans="27:27">
      <c r="AA11734" s="158" t="s">
        <v>3007</v>
      </c>
    </row>
    <row r="11735" spans="27:27">
      <c r="AA11735" s="158" t="s">
        <v>3965</v>
      </c>
    </row>
    <row r="11736" spans="27:27">
      <c r="AA11736" s="158" t="s">
        <v>12378</v>
      </c>
    </row>
    <row r="11737" spans="27:27">
      <c r="AA11737" s="158" t="s">
        <v>12379</v>
      </c>
    </row>
    <row r="11738" spans="27:27">
      <c r="AA11738" s="158" t="s">
        <v>12380</v>
      </c>
    </row>
    <row r="11739" spans="27:27">
      <c r="AA11739" s="158" t="s">
        <v>3008</v>
      </c>
    </row>
    <row r="11740" spans="27:27">
      <c r="AA11740" s="158" t="s">
        <v>3966</v>
      </c>
    </row>
    <row r="11741" spans="27:27">
      <c r="AA11741" s="158" t="s">
        <v>12381</v>
      </c>
    </row>
    <row r="11742" spans="27:27">
      <c r="AA11742" s="158" t="s">
        <v>12382</v>
      </c>
    </row>
    <row r="11743" spans="27:27">
      <c r="AA11743" s="158" t="s">
        <v>12383</v>
      </c>
    </row>
    <row r="11744" spans="27:27">
      <c r="AA11744" s="158" t="s">
        <v>3009</v>
      </c>
    </row>
    <row r="11745" spans="27:27">
      <c r="AA11745" s="158" t="s">
        <v>12384</v>
      </c>
    </row>
    <row r="11746" spans="27:27">
      <c r="AA11746" s="158" t="s">
        <v>12385</v>
      </c>
    </row>
    <row r="11747" spans="27:27">
      <c r="AA11747" s="158" t="s">
        <v>12386</v>
      </c>
    </row>
    <row r="11748" spans="27:27">
      <c r="AA11748" s="158" t="s">
        <v>12387</v>
      </c>
    </row>
    <row r="11749" spans="27:27">
      <c r="AA11749" s="158" t="s">
        <v>3010</v>
      </c>
    </row>
    <row r="11750" spans="27:27">
      <c r="AA11750" s="158" t="s">
        <v>3967</v>
      </c>
    </row>
    <row r="11751" spans="27:27">
      <c r="AA11751" s="158" t="s">
        <v>12388</v>
      </c>
    </row>
    <row r="11752" spans="27:27">
      <c r="AA11752" s="158" t="s">
        <v>12389</v>
      </c>
    </row>
    <row r="11753" spans="27:27">
      <c r="AA11753" s="158" t="s">
        <v>12390</v>
      </c>
    </row>
    <row r="11754" spans="27:27">
      <c r="AA11754" s="158" t="s">
        <v>12391</v>
      </c>
    </row>
    <row r="11755" spans="27:27">
      <c r="AA11755" s="158" t="s">
        <v>3011</v>
      </c>
    </row>
    <row r="11756" spans="27:27">
      <c r="AA11756" s="158" t="s">
        <v>3968</v>
      </c>
    </row>
    <row r="11757" spans="27:27">
      <c r="AA11757" s="158" t="s">
        <v>12392</v>
      </c>
    </row>
    <row r="11758" spans="27:27">
      <c r="AA11758" s="158" t="s">
        <v>12393</v>
      </c>
    </row>
    <row r="11759" spans="27:27">
      <c r="AA11759" s="158" t="s">
        <v>12394</v>
      </c>
    </row>
    <row r="11760" spans="27:27">
      <c r="AA11760" s="158" t="s">
        <v>3012</v>
      </c>
    </row>
    <row r="11761" spans="27:27">
      <c r="AA11761" s="158" t="s">
        <v>12395</v>
      </c>
    </row>
    <row r="11762" spans="27:27">
      <c r="AA11762" s="158" t="s">
        <v>12396</v>
      </c>
    </row>
    <row r="11763" spans="27:27">
      <c r="AA11763" s="158" t="s">
        <v>12397</v>
      </c>
    </row>
    <row r="11764" spans="27:27">
      <c r="AA11764" s="158" t="s">
        <v>3013</v>
      </c>
    </row>
    <row r="11765" spans="27:27">
      <c r="AA11765" s="158" t="s">
        <v>3014</v>
      </c>
    </row>
    <row r="11766" spans="27:27">
      <c r="AA11766" s="158" t="s">
        <v>12398</v>
      </c>
    </row>
    <row r="11767" spans="27:27">
      <c r="AA11767" s="158" t="s">
        <v>12399</v>
      </c>
    </row>
    <row r="11768" spans="27:27">
      <c r="AA11768" s="158" t="s">
        <v>12400</v>
      </c>
    </row>
    <row r="11769" spans="27:27">
      <c r="AA11769" s="158" t="s">
        <v>12401</v>
      </c>
    </row>
    <row r="11770" spans="27:27">
      <c r="AA11770" s="158" t="s">
        <v>12402</v>
      </c>
    </row>
    <row r="11771" spans="27:27">
      <c r="AA11771" s="158" t="s">
        <v>12403</v>
      </c>
    </row>
    <row r="11772" spans="27:27">
      <c r="AA11772" s="158" t="s">
        <v>3015</v>
      </c>
    </row>
    <row r="11773" spans="27:27">
      <c r="AA11773" s="158" t="s">
        <v>12404</v>
      </c>
    </row>
    <row r="11774" spans="27:27">
      <c r="AA11774" s="158" t="s">
        <v>3016</v>
      </c>
    </row>
    <row r="11775" spans="27:27">
      <c r="AA11775" s="158" t="s">
        <v>3017</v>
      </c>
    </row>
    <row r="11776" spans="27:27">
      <c r="AA11776" s="158" t="s">
        <v>3018</v>
      </c>
    </row>
    <row r="11777" spans="27:27">
      <c r="AA11777" s="158" t="s">
        <v>12405</v>
      </c>
    </row>
    <row r="11778" spans="27:27">
      <c r="AA11778" s="158" t="s">
        <v>12406</v>
      </c>
    </row>
    <row r="11779" spans="27:27">
      <c r="AA11779" s="158" t="s">
        <v>12407</v>
      </c>
    </row>
    <row r="11780" spans="27:27">
      <c r="AA11780" s="158" t="s">
        <v>12408</v>
      </c>
    </row>
    <row r="11781" spans="27:27">
      <c r="AA11781" s="158" t="s">
        <v>12409</v>
      </c>
    </row>
    <row r="11782" spans="27:27">
      <c r="AA11782" s="158" t="s">
        <v>3019</v>
      </c>
    </row>
    <row r="11783" spans="27:27">
      <c r="AA11783" s="158" t="s">
        <v>3358</v>
      </c>
    </row>
    <row r="11784" spans="27:27">
      <c r="AA11784" s="158" t="s">
        <v>12410</v>
      </c>
    </row>
    <row r="11785" spans="27:27">
      <c r="AA11785" s="158" t="s">
        <v>12411</v>
      </c>
    </row>
    <row r="11786" spans="27:27">
      <c r="AA11786" s="158" t="s">
        <v>12412</v>
      </c>
    </row>
    <row r="11787" spans="27:27">
      <c r="AA11787" s="158" t="s">
        <v>12413</v>
      </c>
    </row>
    <row r="11788" spans="27:27">
      <c r="AA11788" s="158" t="s">
        <v>3020</v>
      </c>
    </row>
    <row r="11789" spans="27:27">
      <c r="AA11789" s="158" t="s">
        <v>3021</v>
      </c>
    </row>
    <row r="11790" spans="27:27">
      <c r="AA11790" s="158" t="s">
        <v>3969</v>
      </c>
    </row>
    <row r="11791" spans="27:27">
      <c r="AA11791" s="158" t="s">
        <v>3022</v>
      </c>
    </row>
    <row r="11792" spans="27:27">
      <c r="AA11792" s="158" t="s">
        <v>12414</v>
      </c>
    </row>
    <row r="11793" spans="27:27">
      <c r="AA11793" s="158" t="s">
        <v>12415</v>
      </c>
    </row>
    <row r="11794" spans="27:27">
      <c r="AA11794" s="158" t="s">
        <v>3023</v>
      </c>
    </row>
    <row r="11795" spans="27:27">
      <c r="AA11795" s="158" t="s">
        <v>12416</v>
      </c>
    </row>
    <row r="11796" spans="27:27">
      <c r="AA11796" s="158" t="s">
        <v>12417</v>
      </c>
    </row>
    <row r="11797" spans="27:27">
      <c r="AA11797" s="158" t="s">
        <v>12418</v>
      </c>
    </row>
    <row r="11798" spans="27:27">
      <c r="AA11798" s="158" t="s">
        <v>3024</v>
      </c>
    </row>
    <row r="11799" spans="27:27">
      <c r="AA11799" s="158" t="s">
        <v>12419</v>
      </c>
    </row>
    <row r="11800" spans="27:27">
      <c r="AA11800" s="158" t="s">
        <v>12420</v>
      </c>
    </row>
    <row r="11801" spans="27:27">
      <c r="AA11801" s="158" t="s">
        <v>12421</v>
      </c>
    </row>
    <row r="11802" spans="27:27">
      <c r="AA11802" s="158" t="s">
        <v>12422</v>
      </c>
    </row>
    <row r="11803" spans="27:27">
      <c r="AA11803" s="158" t="s">
        <v>12423</v>
      </c>
    </row>
    <row r="11804" spans="27:27">
      <c r="AA11804" s="158" t="s">
        <v>12424</v>
      </c>
    </row>
    <row r="11805" spans="27:27">
      <c r="AA11805" s="158" t="s">
        <v>12425</v>
      </c>
    </row>
    <row r="11806" spans="27:27">
      <c r="AA11806" s="158" t="s">
        <v>12426</v>
      </c>
    </row>
    <row r="11807" spans="27:27">
      <c r="AA11807" s="158" t="s">
        <v>12427</v>
      </c>
    </row>
    <row r="11808" spans="27:27">
      <c r="AA11808" s="158" t="s">
        <v>12428</v>
      </c>
    </row>
    <row r="11809" spans="27:27">
      <c r="AA11809" s="158" t="s">
        <v>12429</v>
      </c>
    </row>
    <row r="11810" spans="27:27">
      <c r="AA11810" s="158" t="s">
        <v>12430</v>
      </c>
    </row>
    <row r="11811" spans="27:27">
      <c r="AA11811" s="158" t="s">
        <v>12431</v>
      </c>
    </row>
    <row r="11812" spans="27:27">
      <c r="AA11812" s="158" t="s">
        <v>12432</v>
      </c>
    </row>
    <row r="11813" spans="27:27">
      <c r="AA11813" s="158" t="s">
        <v>3025</v>
      </c>
    </row>
    <row r="11814" spans="27:27">
      <c r="AA11814" s="158" t="s">
        <v>12433</v>
      </c>
    </row>
    <row r="11815" spans="27:27">
      <c r="AA11815" s="158" t="s">
        <v>12434</v>
      </c>
    </row>
    <row r="11816" spans="27:27">
      <c r="AA11816" s="158" t="s">
        <v>12435</v>
      </c>
    </row>
    <row r="11817" spans="27:27">
      <c r="AA11817" s="158" t="s">
        <v>12436</v>
      </c>
    </row>
    <row r="11818" spans="27:27">
      <c r="AA11818" s="158" t="s">
        <v>12437</v>
      </c>
    </row>
    <row r="11819" spans="27:27">
      <c r="AA11819" s="158" t="s">
        <v>12438</v>
      </c>
    </row>
    <row r="11820" spans="27:27">
      <c r="AA11820" s="158" t="s">
        <v>12439</v>
      </c>
    </row>
    <row r="11821" spans="27:27">
      <c r="AA11821" s="158" t="s">
        <v>12440</v>
      </c>
    </row>
    <row r="11822" spans="27:27">
      <c r="AA11822" s="158" t="s">
        <v>12441</v>
      </c>
    </row>
    <row r="11823" spans="27:27">
      <c r="AA11823" s="158" t="s">
        <v>12442</v>
      </c>
    </row>
    <row r="11824" spans="27:27">
      <c r="AA11824" s="158" t="s">
        <v>12443</v>
      </c>
    </row>
    <row r="11825" spans="27:27">
      <c r="AA11825" s="158" t="s">
        <v>12444</v>
      </c>
    </row>
    <row r="11826" spans="27:27">
      <c r="AA11826" s="158" t="s">
        <v>12445</v>
      </c>
    </row>
    <row r="11827" spans="27:27">
      <c r="AA11827" s="158" t="s">
        <v>12446</v>
      </c>
    </row>
    <row r="11828" spans="27:27">
      <c r="AA11828" s="158" t="s">
        <v>12447</v>
      </c>
    </row>
    <row r="11829" spans="27:27">
      <c r="AA11829" s="158" t="s">
        <v>12448</v>
      </c>
    </row>
    <row r="11830" spans="27:27">
      <c r="AA11830" s="158" t="s">
        <v>3026</v>
      </c>
    </row>
    <row r="11831" spans="27:27">
      <c r="AA11831" s="158" t="s">
        <v>3027</v>
      </c>
    </row>
    <row r="11832" spans="27:27">
      <c r="AA11832" s="158" t="s">
        <v>3028</v>
      </c>
    </row>
    <row r="11833" spans="27:27">
      <c r="AA11833" s="158" t="s">
        <v>3029</v>
      </c>
    </row>
    <row r="11834" spans="27:27">
      <c r="AA11834" s="158" t="s">
        <v>12449</v>
      </c>
    </row>
    <row r="11835" spans="27:27">
      <c r="AA11835" s="158" t="s">
        <v>12450</v>
      </c>
    </row>
    <row r="11836" spans="27:27">
      <c r="AA11836" s="158" t="s">
        <v>12451</v>
      </c>
    </row>
    <row r="11837" spans="27:27">
      <c r="AA11837" s="158" t="s">
        <v>12452</v>
      </c>
    </row>
    <row r="11838" spans="27:27">
      <c r="AA11838" s="158" t="s">
        <v>12453</v>
      </c>
    </row>
    <row r="11839" spans="27:27">
      <c r="AA11839" s="158" t="s">
        <v>12454</v>
      </c>
    </row>
    <row r="11840" spans="27:27">
      <c r="AA11840" s="158" t="s">
        <v>12455</v>
      </c>
    </row>
    <row r="11841" spans="27:27">
      <c r="AA11841" s="158" t="s">
        <v>12456</v>
      </c>
    </row>
    <row r="11842" spans="27:27">
      <c r="AA11842" s="158" t="s">
        <v>12457</v>
      </c>
    </row>
    <row r="11843" spans="27:27">
      <c r="AA11843" s="158" t="s">
        <v>12458</v>
      </c>
    </row>
    <row r="11844" spans="27:27">
      <c r="AA11844" s="158" t="s">
        <v>12459</v>
      </c>
    </row>
    <row r="11845" spans="27:27">
      <c r="AA11845" s="158" t="s">
        <v>12460</v>
      </c>
    </row>
    <row r="11846" spans="27:27">
      <c r="AA11846" s="158" t="s">
        <v>12461</v>
      </c>
    </row>
    <row r="11847" spans="27:27">
      <c r="AA11847" s="158" t="s">
        <v>12462</v>
      </c>
    </row>
    <row r="11848" spans="27:27">
      <c r="AA11848" s="158" t="s">
        <v>12463</v>
      </c>
    </row>
    <row r="11849" spans="27:27">
      <c r="AA11849" s="158" t="s">
        <v>12464</v>
      </c>
    </row>
    <row r="11850" spans="27:27">
      <c r="AA11850" s="158" t="s">
        <v>12465</v>
      </c>
    </row>
    <row r="11851" spans="27:27">
      <c r="AA11851" s="158" t="s">
        <v>12466</v>
      </c>
    </row>
    <row r="11852" spans="27:27">
      <c r="AA11852" s="158" t="s">
        <v>12467</v>
      </c>
    </row>
    <row r="11853" spans="27:27">
      <c r="AA11853" s="158" t="s">
        <v>12468</v>
      </c>
    </row>
    <row r="11854" spans="27:27">
      <c r="AA11854" s="158" t="s">
        <v>12469</v>
      </c>
    </row>
    <row r="11855" spans="27:27">
      <c r="AA11855" s="158" t="s">
        <v>12470</v>
      </c>
    </row>
    <row r="11856" spans="27:27">
      <c r="AA11856" s="158" t="s">
        <v>12471</v>
      </c>
    </row>
    <row r="11857" spans="27:27">
      <c r="AA11857" s="158" t="s">
        <v>12472</v>
      </c>
    </row>
    <row r="11858" spans="27:27">
      <c r="AA11858" s="158" t="s">
        <v>12473</v>
      </c>
    </row>
    <row r="11859" spans="27:27">
      <c r="AA11859" s="158" t="s">
        <v>12474</v>
      </c>
    </row>
    <row r="11860" spans="27:27">
      <c r="AA11860" s="158" t="s">
        <v>12475</v>
      </c>
    </row>
    <row r="11861" spans="27:27">
      <c r="AA11861" s="158" t="s">
        <v>12476</v>
      </c>
    </row>
    <row r="11862" spans="27:27">
      <c r="AA11862" s="158" t="s">
        <v>12477</v>
      </c>
    </row>
    <row r="11863" spans="27:27">
      <c r="AA11863" s="158" t="s">
        <v>12478</v>
      </c>
    </row>
    <row r="11864" spans="27:27">
      <c r="AA11864" s="158" t="s">
        <v>12479</v>
      </c>
    </row>
    <row r="11865" spans="27:27">
      <c r="AA11865" s="158" t="s">
        <v>12480</v>
      </c>
    </row>
    <row r="11866" spans="27:27">
      <c r="AA11866" s="158" t="s">
        <v>12481</v>
      </c>
    </row>
    <row r="11867" spans="27:27">
      <c r="AA11867" s="158" t="s">
        <v>12482</v>
      </c>
    </row>
    <row r="11868" spans="27:27">
      <c r="AA11868" s="158" t="s">
        <v>12483</v>
      </c>
    </row>
    <row r="11869" spans="27:27">
      <c r="AA11869" s="158" t="s">
        <v>3030</v>
      </c>
    </row>
    <row r="11870" spans="27:27">
      <c r="AA11870" s="158" t="s">
        <v>12484</v>
      </c>
    </row>
    <row r="11871" spans="27:27">
      <c r="AA11871" s="158" t="s">
        <v>12485</v>
      </c>
    </row>
    <row r="11872" spans="27:27">
      <c r="AA11872" s="158" t="s">
        <v>12486</v>
      </c>
    </row>
    <row r="11873" spans="27:27">
      <c r="AA11873" s="158" t="s">
        <v>12487</v>
      </c>
    </row>
    <row r="11874" spans="27:27">
      <c r="AA11874" s="158" t="s">
        <v>12488</v>
      </c>
    </row>
    <row r="11875" spans="27:27">
      <c r="AA11875" s="158" t="s">
        <v>12489</v>
      </c>
    </row>
    <row r="11876" spans="27:27">
      <c r="AA11876" s="158" t="s">
        <v>3031</v>
      </c>
    </row>
    <row r="11877" spans="27:27">
      <c r="AA11877" s="158" t="s">
        <v>12490</v>
      </c>
    </row>
    <row r="11878" spans="27:27">
      <c r="AA11878" s="158" t="s">
        <v>3032</v>
      </c>
    </row>
    <row r="11879" spans="27:27">
      <c r="AA11879" s="158" t="s">
        <v>12491</v>
      </c>
    </row>
    <row r="11880" spans="27:27">
      <c r="AA11880" s="158" t="s">
        <v>12492</v>
      </c>
    </row>
    <row r="11881" spans="27:27">
      <c r="AA11881" s="158" t="s">
        <v>12493</v>
      </c>
    </row>
    <row r="11882" spans="27:27">
      <c r="AA11882" s="158" t="s">
        <v>12494</v>
      </c>
    </row>
    <row r="11883" spans="27:27">
      <c r="AA11883" s="158" t="s">
        <v>12495</v>
      </c>
    </row>
    <row r="11884" spans="27:27">
      <c r="AA11884" s="158" t="s">
        <v>3033</v>
      </c>
    </row>
    <row r="11885" spans="27:27">
      <c r="AA11885" s="158" t="s">
        <v>12496</v>
      </c>
    </row>
    <row r="11886" spans="27:27">
      <c r="AA11886" s="158" t="s">
        <v>3034</v>
      </c>
    </row>
    <row r="11887" spans="27:27">
      <c r="AA11887" s="158" t="s">
        <v>12497</v>
      </c>
    </row>
    <row r="11888" spans="27:27">
      <c r="AA11888" s="158" t="s">
        <v>12498</v>
      </c>
    </row>
    <row r="11889" spans="27:27">
      <c r="AA11889" s="158" t="s">
        <v>12499</v>
      </c>
    </row>
    <row r="11890" spans="27:27">
      <c r="AA11890" s="158" t="s">
        <v>12500</v>
      </c>
    </row>
    <row r="11891" spans="27:27">
      <c r="AA11891" s="158" t="s">
        <v>3035</v>
      </c>
    </row>
    <row r="11892" spans="27:27">
      <c r="AA11892" s="158" t="s">
        <v>3036</v>
      </c>
    </row>
    <row r="11893" spans="27:27">
      <c r="AA11893" s="158" t="s">
        <v>12501</v>
      </c>
    </row>
    <row r="11894" spans="27:27">
      <c r="AA11894" s="158" t="s">
        <v>3037</v>
      </c>
    </row>
    <row r="11895" spans="27:27">
      <c r="AA11895" s="158" t="s">
        <v>12502</v>
      </c>
    </row>
    <row r="11896" spans="27:27">
      <c r="AA11896" s="158" t="s">
        <v>3038</v>
      </c>
    </row>
    <row r="11897" spans="27:27">
      <c r="AA11897" s="158" t="s">
        <v>3039</v>
      </c>
    </row>
    <row r="11898" spans="27:27">
      <c r="AA11898" s="158" t="s">
        <v>12503</v>
      </c>
    </row>
    <row r="11899" spans="27:27">
      <c r="AA11899" s="158" t="s">
        <v>12504</v>
      </c>
    </row>
    <row r="11900" spans="27:27">
      <c r="AA11900" s="158" t="s">
        <v>12505</v>
      </c>
    </row>
    <row r="11901" spans="27:27">
      <c r="AA11901" s="158" t="s">
        <v>12506</v>
      </c>
    </row>
    <row r="11902" spans="27:27">
      <c r="AA11902" s="158" t="s">
        <v>12507</v>
      </c>
    </row>
    <row r="11903" spans="27:27">
      <c r="AA11903" s="158" t="s">
        <v>3040</v>
      </c>
    </row>
    <row r="11904" spans="27:27">
      <c r="AA11904" s="158" t="s">
        <v>12508</v>
      </c>
    </row>
    <row r="11905" spans="27:27">
      <c r="AA11905" s="158" t="s">
        <v>12509</v>
      </c>
    </row>
    <row r="11906" spans="27:27">
      <c r="AA11906" s="158" t="s">
        <v>12510</v>
      </c>
    </row>
    <row r="11907" spans="27:27">
      <c r="AA11907" s="158" t="s">
        <v>12511</v>
      </c>
    </row>
    <row r="11908" spans="27:27">
      <c r="AA11908" s="158" t="s">
        <v>12512</v>
      </c>
    </row>
    <row r="11909" spans="27:27">
      <c r="AA11909" s="158" t="s">
        <v>12513</v>
      </c>
    </row>
    <row r="11910" spans="27:27">
      <c r="AA11910" s="158" t="s">
        <v>3041</v>
      </c>
    </row>
    <row r="11911" spans="27:27">
      <c r="AA11911" s="158" t="s">
        <v>12514</v>
      </c>
    </row>
    <row r="11912" spans="27:27">
      <c r="AA11912" s="158" t="s">
        <v>3042</v>
      </c>
    </row>
    <row r="11913" spans="27:27">
      <c r="AA11913" s="158" t="s">
        <v>12515</v>
      </c>
    </row>
    <row r="11914" spans="27:27">
      <c r="AA11914" s="158" t="s">
        <v>12516</v>
      </c>
    </row>
    <row r="11915" spans="27:27">
      <c r="AA11915" s="158" t="s">
        <v>12517</v>
      </c>
    </row>
    <row r="11916" spans="27:27">
      <c r="AA11916" s="158" t="s">
        <v>12518</v>
      </c>
    </row>
    <row r="11917" spans="27:27">
      <c r="AA11917" s="158" t="s">
        <v>12519</v>
      </c>
    </row>
    <row r="11918" spans="27:27">
      <c r="AA11918" s="158" t="s">
        <v>12520</v>
      </c>
    </row>
    <row r="11919" spans="27:27">
      <c r="AA11919" s="158" t="s">
        <v>12521</v>
      </c>
    </row>
    <row r="11920" spans="27:27">
      <c r="AA11920" s="158" t="s">
        <v>12522</v>
      </c>
    </row>
    <row r="11921" spans="27:27">
      <c r="AA11921" s="158" t="s">
        <v>12523</v>
      </c>
    </row>
    <row r="11922" spans="27:27">
      <c r="AA11922" s="158" t="s">
        <v>12524</v>
      </c>
    </row>
    <row r="11923" spans="27:27">
      <c r="AA11923" s="158" t="s">
        <v>3043</v>
      </c>
    </row>
    <row r="11924" spans="27:27">
      <c r="AA11924" s="158" t="s">
        <v>12525</v>
      </c>
    </row>
    <row r="11925" spans="27:27">
      <c r="AA11925" s="158" t="s">
        <v>12526</v>
      </c>
    </row>
    <row r="11926" spans="27:27">
      <c r="AA11926" s="158" t="s">
        <v>12527</v>
      </c>
    </row>
    <row r="11927" spans="27:27">
      <c r="AA11927" s="158" t="s">
        <v>12528</v>
      </c>
    </row>
    <row r="11928" spans="27:27">
      <c r="AA11928" s="158" t="s">
        <v>3044</v>
      </c>
    </row>
    <row r="11929" spans="27:27">
      <c r="AA11929" s="158" t="s">
        <v>3045</v>
      </c>
    </row>
    <row r="11930" spans="27:27">
      <c r="AA11930" s="158" t="s">
        <v>3046</v>
      </c>
    </row>
    <row r="11931" spans="27:27">
      <c r="AA11931" s="158" t="s">
        <v>12529</v>
      </c>
    </row>
    <row r="11932" spans="27:27">
      <c r="AA11932" s="158" t="s">
        <v>12530</v>
      </c>
    </row>
    <row r="11933" spans="27:27">
      <c r="AA11933" s="158" t="s">
        <v>12531</v>
      </c>
    </row>
    <row r="11934" spans="27:27">
      <c r="AA11934" s="158" t="s">
        <v>12532</v>
      </c>
    </row>
    <row r="11935" spans="27:27">
      <c r="AA11935" s="158" t="s">
        <v>12533</v>
      </c>
    </row>
    <row r="11936" spans="27:27">
      <c r="AA11936" s="158" t="s">
        <v>12534</v>
      </c>
    </row>
    <row r="11937" spans="27:27">
      <c r="AA11937" s="158" t="s">
        <v>12535</v>
      </c>
    </row>
    <row r="11938" spans="27:27">
      <c r="AA11938" s="158" t="s">
        <v>3047</v>
      </c>
    </row>
    <row r="11939" spans="27:27">
      <c r="AA11939" s="158" t="s">
        <v>12536</v>
      </c>
    </row>
    <row r="11940" spans="27:27">
      <c r="AA11940" s="158" t="s">
        <v>3048</v>
      </c>
    </row>
    <row r="11941" spans="27:27">
      <c r="AA11941" s="158" t="s">
        <v>12537</v>
      </c>
    </row>
    <row r="11942" spans="27:27">
      <c r="AA11942" s="158" t="s">
        <v>12538</v>
      </c>
    </row>
    <row r="11943" spans="27:27">
      <c r="AA11943" s="158" t="s">
        <v>3049</v>
      </c>
    </row>
    <row r="11944" spans="27:27">
      <c r="AA11944" s="158" t="s">
        <v>12539</v>
      </c>
    </row>
    <row r="11945" spans="27:27">
      <c r="AA11945" s="158" t="s">
        <v>12540</v>
      </c>
    </row>
    <row r="11946" spans="27:27">
      <c r="AA11946" s="158" t="s">
        <v>3050</v>
      </c>
    </row>
    <row r="11947" spans="27:27">
      <c r="AA11947" s="158" t="s">
        <v>3051</v>
      </c>
    </row>
    <row r="11948" spans="27:27">
      <c r="AA11948" s="158" t="s">
        <v>3052</v>
      </c>
    </row>
    <row r="11949" spans="27:27">
      <c r="AA11949" s="158" t="s">
        <v>3053</v>
      </c>
    </row>
    <row r="11950" spans="27:27">
      <c r="AA11950" s="158" t="s">
        <v>3054</v>
      </c>
    </row>
    <row r="11951" spans="27:27">
      <c r="AA11951" s="158" t="s">
        <v>3359</v>
      </c>
    </row>
    <row r="11952" spans="27:27">
      <c r="AA11952" s="158" t="s">
        <v>12541</v>
      </c>
    </row>
    <row r="11953" spans="27:27">
      <c r="AA11953" s="158" t="s">
        <v>3055</v>
      </c>
    </row>
    <row r="11954" spans="27:27">
      <c r="AA11954" s="158" t="s">
        <v>3056</v>
      </c>
    </row>
    <row r="11955" spans="27:27">
      <c r="AA11955" s="158" t="s">
        <v>3057</v>
      </c>
    </row>
    <row r="11956" spans="27:27">
      <c r="AA11956" s="158" t="s">
        <v>12542</v>
      </c>
    </row>
    <row r="11957" spans="27:27">
      <c r="AA11957" s="158" t="s">
        <v>12543</v>
      </c>
    </row>
    <row r="11958" spans="27:27">
      <c r="AA11958" s="158" t="s">
        <v>3058</v>
      </c>
    </row>
    <row r="11959" spans="27:27">
      <c r="AA11959" s="158" t="s">
        <v>12544</v>
      </c>
    </row>
    <row r="11960" spans="27:27">
      <c r="AA11960" s="158" t="s">
        <v>12545</v>
      </c>
    </row>
    <row r="11961" spans="27:27">
      <c r="AA11961" s="158" t="s">
        <v>3059</v>
      </c>
    </row>
    <row r="11962" spans="27:27">
      <c r="AA11962" s="158" t="s">
        <v>12546</v>
      </c>
    </row>
    <row r="11963" spans="27:27">
      <c r="AA11963" s="158" t="s">
        <v>12547</v>
      </c>
    </row>
    <row r="11964" spans="27:27">
      <c r="AA11964" s="158" t="s">
        <v>3060</v>
      </c>
    </row>
    <row r="11965" spans="27:27">
      <c r="AA11965" s="158" t="s">
        <v>12548</v>
      </c>
    </row>
    <row r="11966" spans="27:27">
      <c r="AA11966" s="158" t="s">
        <v>12549</v>
      </c>
    </row>
    <row r="11967" spans="27:27">
      <c r="AA11967" s="158" t="s">
        <v>12550</v>
      </c>
    </row>
    <row r="11968" spans="27:27">
      <c r="AA11968" s="158" t="s">
        <v>12551</v>
      </c>
    </row>
    <row r="11969" spans="27:27">
      <c r="AA11969" s="158" t="s">
        <v>12552</v>
      </c>
    </row>
    <row r="11970" spans="27:27">
      <c r="AA11970" s="158" t="s">
        <v>12553</v>
      </c>
    </row>
    <row r="11971" spans="27:27">
      <c r="AA11971" s="158" t="s">
        <v>12554</v>
      </c>
    </row>
    <row r="11972" spans="27:27">
      <c r="AA11972" s="158" t="s">
        <v>3061</v>
      </c>
    </row>
    <row r="11973" spans="27:27">
      <c r="AA11973" s="158" t="s">
        <v>12555</v>
      </c>
    </row>
    <row r="11974" spans="27:27">
      <c r="AA11974" s="158" t="s">
        <v>12556</v>
      </c>
    </row>
    <row r="11975" spans="27:27">
      <c r="AA11975" s="158" t="s">
        <v>3062</v>
      </c>
    </row>
    <row r="11976" spans="27:27">
      <c r="AA11976" s="158" t="s">
        <v>12557</v>
      </c>
    </row>
    <row r="11977" spans="27:27">
      <c r="AA11977" s="158" t="s">
        <v>12558</v>
      </c>
    </row>
    <row r="11978" spans="27:27">
      <c r="AA11978" s="158" t="s">
        <v>12559</v>
      </c>
    </row>
    <row r="11979" spans="27:27">
      <c r="AA11979" s="158" t="s">
        <v>12560</v>
      </c>
    </row>
    <row r="11980" spans="27:27">
      <c r="AA11980" s="158" t="s">
        <v>3063</v>
      </c>
    </row>
    <row r="11981" spans="27:27">
      <c r="AA11981" s="158" t="s">
        <v>12561</v>
      </c>
    </row>
    <row r="11982" spans="27:27">
      <c r="AA11982" s="158" t="s">
        <v>12562</v>
      </c>
    </row>
    <row r="11983" spans="27:27">
      <c r="AA11983" s="158" t="s">
        <v>3064</v>
      </c>
    </row>
    <row r="11984" spans="27:27">
      <c r="AA11984" s="158" t="s">
        <v>12563</v>
      </c>
    </row>
    <row r="11985" spans="27:27">
      <c r="AA11985" s="158" t="s">
        <v>12564</v>
      </c>
    </row>
    <row r="11986" spans="27:27">
      <c r="AA11986" s="158" t="s">
        <v>3065</v>
      </c>
    </row>
    <row r="11987" spans="27:27">
      <c r="AA11987" s="158" t="s">
        <v>12565</v>
      </c>
    </row>
    <row r="11988" spans="27:27">
      <c r="AA11988" s="158" t="s">
        <v>12566</v>
      </c>
    </row>
    <row r="11989" spans="27:27">
      <c r="AA11989" s="158" t="s">
        <v>3066</v>
      </c>
    </row>
    <row r="11990" spans="27:27">
      <c r="AA11990" s="158" t="s">
        <v>3067</v>
      </c>
    </row>
    <row r="11991" spans="27:27">
      <c r="AA11991" s="158" t="s">
        <v>3068</v>
      </c>
    </row>
    <row r="11992" spans="27:27">
      <c r="AA11992" s="158" t="s">
        <v>12567</v>
      </c>
    </row>
    <row r="11993" spans="27:27">
      <c r="AA11993" s="158" t="s">
        <v>12568</v>
      </c>
    </row>
    <row r="11994" spans="27:27">
      <c r="AA11994" s="158" t="s">
        <v>3069</v>
      </c>
    </row>
    <row r="11995" spans="27:27">
      <c r="AA11995" s="158" t="s">
        <v>12569</v>
      </c>
    </row>
    <row r="11996" spans="27:27">
      <c r="AA11996" s="158" t="s">
        <v>12570</v>
      </c>
    </row>
    <row r="11997" spans="27:27">
      <c r="AA11997" s="158" t="s">
        <v>3070</v>
      </c>
    </row>
    <row r="11998" spans="27:27">
      <c r="AA11998" s="158" t="s">
        <v>12571</v>
      </c>
    </row>
    <row r="11999" spans="27:27">
      <c r="AA11999" s="158" t="s">
        <v>12572</v>
      </c>
    </row>
    <row r="12000" spans="27:27">
      <c r="AA12000" s="158" t="s">
        <v>3071</v>
      </c>
    </row>
    <row r="12001" spans="27:27">
      <c r="AA12001" s="158" t="s">
        <v>12573</v>
      </c>
    </row>
    <row r="12002" spans="27:27">
      <c r="AA12002" s="158" t="s">
        <v>12574</v>
      </c>
    </row>
    <row r="12003" spans="27:27">
      <c r="AA12003" s="158" t="s">
        <v>3072</v>
      </c>
    </row>
    <row r="12004" spans="27:27">
      <c r="AA12004" s="158" t="s">
        <v>3073</v>
      </c>
    </row>
    <row r="12005" spans="27:27">
      <c r="AA12005" s="158" t="s">
        <v>12575</v>
      </c>
    </row>
    <row r="12006" spans="27:27">
      <c r="AA12006" s="158" t="s">
        <v>1164</v>
      </c>
    </row>
    <row r="12007" spans="27:27">
      <c r="AA12007" s="158" t="s">
        <v>12576</v>
      </c>
    </row>
    <row r="12008" spans="27:27">
      <c r="AA12008" s="158" t="s">
        <v>12577</v>
      </c>
    </row>
    <row r="12009" spans="27:27">
      <c r="AA12009" s="158" t="s">
        <v>1165</v>
      </c>
    </row>
    <row r="12010" spans="27:27">
      <c r="AA12010" s="158" t="s">
        <v>12578</v>
      </c>
    </row>
    <row r="12011" spans="27:27">
      <c r="AA12011" s="158" t="s">
        <v>12579</v>
      </c>
    </row>
    <row r="12012" spans="27:27">
      <c r="AA12012" s="158" t="s">
        <v>12580</v>
      </c>
    </row>
    <row r="12013" spans="27:27">
      <c r="AA12013" s="158" t="s">
        <v>12581</v>
      </c>
    </row>
    <row r="12014" spans="27:27">
      <c r="AA12014" s="158" t="s">
        <v>12582</v>
      </c>
    </row>
    <row r="12015" spans="27:27">
      <c r="AA12015" s="158" t="s">
        <v>12583</v>
      </c>
    </row>
    <row r="12016" spans="27:27">
      <c r="AA12016" s="158" t="s">
        <v>12584</v>
      </c>
    </row>
    <row r="12017" spans="27:27">
      <c r="AA12017" s="158" t="s">
        <v>12585</v>
      </c>
    </row>
    <row r="12018" spans="27:27">
      <c r="AA12018" s="158" t="s">
        <v>12586</v>
      </c>
    </row>
    <row r="12019" spans="27:27">
      <c r="AA12019" s="158" t="s">
        <v>1166</v>
      </c>
    </row>
    <row r="12020" spans="27:27">
      <c r="AA12020" s="158" t="s">
        <v>1167</v>
      </c>
    </row>
    <row r="12021" spans="27:27">
      <c r="AA12021" s="158" t="s">
        <v>12587</v>
      </c>
    </row>
    <row r="12022" spans="27:27">
      <c r="AA12022" s="158" t="s">
        <v>12588</v>
      </c>
    </row>
    <row r="12023" spans="27:27">
      <c r="AA12023" s="158" t="s">
        <v>3074</v>
      </c>
    </row>
    <row r="12024" spans="27:27">
      <c r="AA12024" s="158" t="s">
        <v>12589</v>
      </c>
    </row>
    <row r="12025" spans="27:27">
      <c r="AA12025" s="158" t="s">
        <v>12590</v>
      </c>
    </row>
    <row r="12026" spans="27:27">
      <c r="AA12026" s="158" t="s">
        <v>12591</v>
      </c>
    </row>
    <row r="12027" spans="27:27">
      <c r="AA12027" s="158" t="s">
        <v>12592</v>
      </c>
    </row>
    <row r="12028" spans="27:27">
      <c r="AA12028" s="158" t="s">
        <v>12593</v>
      </c>
    </row>
    <row r="12029" spans="27:27">
      <c r="AA12029" s="158" t="s">
        <v>12594</v>
      </c>
    </row>
    <row r="12030" spans="27:27">
      <c r="AA12030" s="158" t="s">
        <v>12595</v>
      </c>
    </row>
    <row r="12031" spans="27:27">
      <c r="AA12031" s="158" t="s">
        <v>12596</v>
      </c>
    </row>
    <row r="12032" spans="27:27">
      <c r="AA12032" s="158" t="s">
        <v>12597</v>
      </c>
    </row>
    <row r="12033" spans="27:27">
      <c r="AA12033" s="158" t="s">
        <v>3075</v>
      </c>
    </row>
    <row r="12034" spans="27:27">
      <c r="AA12034" s="158" t="s">
        <v>3076</v>
      </c>
    </row>
    <row r="12035" spans="27:27">
      <c r="AA12035" s="158" t="s">
        <v>12598</v>
      </c>
    </row>
    <row r="12036" spans="27:27">
      <c r="AA12036" s="158" t="s">
        <v>3077</v>
      </c>
    </row>
    <row r="12037" spans="27:27">
      <c r="AA12037" s="158" t="s">
        <v>12599</v>
      </c>
    </row>
    <row r="12038" spans="27:27">
      <c r="AA12038" s="158" t="s">
        <v>3078</v>
      </c>
    </row>
    <row r="12039" spans="27:27">
      <c r="AA12039" s="158" t="s">
        <v>12600</v>
      </c>
    </row>
    <row r="12040" spans="27:27">
      <c r="AA12040" s="158" t="s">
        <v>12601</v>
      </c>
    </row>
    <row r="12041" spans="27:27">
      <c r="AA12041" s="158" t="s">
        <v>12602</v>
      </c>
    </row>
    <row r="12042" spans="27:27">
      <c r="AA12042" s="158" t="s">
        <v>12603</v>
      </c>
    </row>
    <row r="12043" spans="27:27">
      <c r="AA12043" s="158" t="s">
        <v>12604</v>
      </c>
    </row>
    <row r="12044" spans="27:27">
      <c r="AA12044" s="158" t="s">
        <v>12605</v>
      </c>
    </row>
    <row r="12045" spans="27:27">
      <c r="AA12045" s="158" t="s">
        <v>12606</v>
      </c>
    </row>
    <row r="12046" spans="27:27">
      <c r="AA12046" s="158" t="s">
        <v>12607</v>
      </c>
    </row>
    <row r="12047" spans="27:27">
      <c r="AA12047" s="158" t="s">
        <v>12608</v>
      </c>
    </row>
    <row r="12048" spans="27:27">
      <c r="AA12048" s="158" t="s">
        <v>3079</v>
      </c>
    </row>
    <row r="12049" spans="27:27">
      <c r="AA12049" s="158" t="s">
        <v>12609</v>
      </c>
    </row>
    <row r="12050" spans="27:27">
      <c r="AA12050" s="158" t="s">
        <v>3080</v>
      </c>
    </row>
    <row r="12051" spans="27:27">
      <c r="AA12051" s="158" t="s">
        <v>12610</v>
      </c>
    </row>
    <row r="12052" spans="27:27">
      <c r="AA12052" s="158" t="s">
        <v>3081</v>
      </c>
    </row>
    <row r="12053" spans="27:27">
      <c r="AA12053" s="158" t="s">
        <v>12611</v>
      </c>
    </row>
    <row r="12054" spans="27:27">
      <c r="AA12054" s="158" t="s">
        <v>12612</v>
      </c>
    </row>
    <row r="12055" spans="27:27">
      <c r="AA12055" s="158" t="s">
        <v>12613</v>
      </c>
    </row>
    <row r="12056" spans="27:27">
      <c r="AA12056" s="158" t="s">
        <v>12614</v>
      </c>
    </row>
    <row r="12057" spans="27:27">
      <c r="AA12057" s="158" t="s">
        <v>12615</v>
      </c>
    </row>
    <row r="12058" spans="27:27">
      <c r="AA12058" s="158" t="s">
        <v>12616</v>
      </c>
    </row>
    <row r="12059" spans="27:27">
      <c r="AA12059" s="158" t="s">
        <v>12617</v>
      </c>
    </row>
    <row r="12060" spans="27:27">
      <c r="AA12060" s="158" t="s">
        <v>12618</v>
      </c>
    </row>
    <row r="12061" spans="27:27">
      <c r="AA12061" s="158" t="s">
        <v>3082</v>
      </c>
    </row>
    <row r="12062" spans="27:27">
      <c r="AA12062" s="158" t="s">
        <v>12619</v>
      </c>
    </row>
    <row r="12063" spans="27:27">
      <c r="AA12063" s="158" t="s">
        <v>12620</v>
      </c>
    </row>
    <row r="12064" spans="27:27">
      <c r="AA12064" s="158" t="s">
        <v>12621</v>
      </c>
    </row>
    <row r="12065" spans="27:27">
      <c r="AA12065" s="158" t="s">
        <v>12622</v>
      </c>
    </row>
    <row r="12066" spans="27:27">
      <c r="AA12066" s="158" t="s">
        <v>3083</v>
      </c>
    </row>
    <row r="12067" spans="27:27">
      <c r="AA12067" s="158" t="s">
        <v>12623</v>
      </c>
    </row>
    <row r="12068" spans="27:27">
      <c r="AA12068" s="158" t="s">
        <v>12624</v>
      </c>
    </row>
    <row r="12069" spans="27:27">
      <c r="AA12069" s="158" t="s">
        <v>3084</v>
      </c>
    </row>
    <row r="12070" spans="27:27">
      <c r="AA12070" s="158" t="s">
        <v>3085</v>
      </c>
    </row>
    <row r="12071" spans="27:27">
      <c r="AA12071" s="158" t="s">
        <v>12625</v>
      </c>
    </row>
    <row r="12072" spans="27:27">
      <c r="AA12072" s="158" t="s">
        <v>12626</v>
      </c>
    </row>
    <row r="12073" spans="27:27">
      <c r="AA12073" s="158" t="s">
        <v>3086</v>
      </c>
    </row>
    <row r="12074" spans="27:27">
      <c r="AA12074" s="158" t="s">
        <v>12627</v>
      </c>
    </row>
    <row r="12075" spans="27:27">
      <c r="AA12075" s="158" t="s">
        <v>12628</v>
      </c>
    </row>
    <row r="12076" spans="27:27">
      <c r="AA12076" s="158" t="s">
        <v>12629</v>
      </c>
    </row>
    <row r="12077" spans="27:27">
      <c r="AA12077" s="158" t="s">
        <v>12630</v>
      </c>
    </row>
    <row r="12078" spans="27:27">
      <c r="AA12078" s="158" t="s">
        <v>12631</v>
      </c>
    </row>
    <row r="12079" spans="27:27">
      <c r="AA12079" s="158" t="s">
        <v>12632</v>
      </c>
    </row>
    <row r="12080" spans="27:27">
      <c r="AA12080" s="158" t="s">
        <v>12633</v>
      </c>
    </row>
    <row r="12081" spans="27:27">
      <c r="AA12081" s="158" t="s">
        <v>12634</v>
      </c>
    </row>
    <row r="12082" spans="27:27">
      <c r="AA12082" s="158" t="s">
        <v>12635</v>
      </c>
    </row>
    <row r="12083" spans="27:27">
      <c r="AA12083" s="158" t="s">
        <v>12636</v>
      </c>
    </row>
    <row r="12084" spans="27:27">
      <c r="AA12084" s="158" t="s">
        <v>12637</v>
      </c>
    </row>
    <row r="12085" spans="27:27">
      <c r="AA12085" s="158" t="s">
        <v>12638</v>
      </c>
    </row>
    <row r="12086" spans="27:27">
      <c r="AA12086" s="158" t="s">
        <v>12639</v>
      </c>
    </row>
    <row r="12087" spans="27:27">
      <c r="AA12087" s="158" t="s">
        <v>12640</v>
      </c>
    </row>
    <row r="12088" spans="27:27">
      <c r="AA12088" s="158" t="s">
        <v>3087</v>
      </c>
    </row>
    <row r="12089" spans="27:27">
      <c r="AA12089" s="158" t="s">
        <v>12641</v>
      </c>
    </row>
    <row r="12090" spans="27:27">
      <c r="AA12090" s="158" t="s">
        <v>12642</v>
      </c>
    </row>
    <row r="12091" spans="27:27">
      <c r="AA12091" s="158" t="s">
        <v>1168</v>
      </c>
    </row>
    <row r="12092" spans="27:27">
      <c r="AA12092" s="158" t="s">
        <v>3088</v>
      </c>
    </row>
    <row r="12093" spans="27:27">
      <c r="AA12093" s="158" t="s">
        <v>12643</v>
      </c>
    </row>
    <row r="12094" spans="27:27">
      <c r="AA12094" s="158" t="s">
        <v>3089</v>
      </c>
    </row>
    <row r="12095" spans="27:27">
      <c r="AA12095" s="158" t="s">
        <v>3090</v>
      </c>
    </row>
    <row r="12096" spans="27:27">
      <c r="AA12096" s="158" t="s">
        <v>12644</v>
      </c>
    </row>
    <row r="12097" spans="27:27">
      <c r="AA12097" s="158" t="s">
        <v>3091</v>
      </c>
    </row>
    <row r="12098" spans="27:27">
      <c r="AA12098" s="158" t="s">
        <v>12645</v>
      </c>
    </row>
    <row r="12099" spans="27:27">
      <c r="AA12099" s="158" t="s">
        <v>12646</v>
      </c>
    </row>
    <row r="12100" spans="27:27">
      <c r="AA12100" s="158" t="s">
        <v>3092</v>
      </c>
    </row>
    <row r="12101" spans="27:27">
      <c r="AA12101" s="158" t="s">
        <v>3093</v>
      </c>
    </row>
    <row r="12102" spans="27:27">
      <c r="AA12102" s="158" t="s">
        <v>3094</v>
      </c>
    </row>
    <row r="12103" spans="27:27">
      <c r="AA12103" s="158" t="s">
        <v>12647</v>
      </c>
    </row>
    <row r="12104" spans="27:27">
      <c r="AA12104" s="158" t="s">
        <v>12648</v>
      </c>
    </row>
    <row r="12105" spans="27:27">
      <c r="AA12105" s="158" t="s">
        <v>12649</v>
      </c>
    </row>
    <row r="12106" spans="27:27">
      <c r="AA12106" s="158" t="s">
        <v>12650</v>
      </c>
    </row>
    <row r="12107" spans="27:27">
      <c r="AA12107" s="158" t="s">
        <v>12651</v>
      </c>
    </row>
    <row r="12108" spans="27:27">
      <c r="AA12108" s="158" t="s">
        <v>12652</v>
      </c>
    </row>
    <row r="12109" spans="27:27">
      <c r="AA12109" s="158" t="s">
        <v>3095</v>
      </c>
    </row>
    <row r="12110" spans="27:27">
      <c r="AA12110" s="158" t="s">
        <v>12653</v>
      </c>
    </row>
    <row r="12111" spans="27:27">
      <c r="AA12111" s="158" t="s">
        <v>3096</v>
      </c>
    </row>
    <row r="12112" spans="27:27">
      <c r="AA12112" s="158" t="s">
        <v>3097</v>
      </c>
    </row>
    <row r="12113" spans="27:27">
      <c r="AA12113" s="158" t="s">
        <v>3098</v>
      </c>
    </row>
    <row r="12114" spans="27:27">
      <c r="AA12114" s="158" t="s">
        <v>12654</v>
      </c>
    </row>
    <row r="12115" spans="27:27">
      <c r="AA12115" s="158" t="s">
        <v>3099</v>
      </c>
    </row>
    <row r="12116" spans="27:27">
      <c r="AA12116" s="158" t="s">
        <v>12655</v>
      </c>
    </row>
    <row r="12117" spans="27:27">
      <c r="AA12117" s="158" t="s">
        <v>12656</v>
      </c>
    </row>
    <row r="12118" spans="27:27">
      <c r="AA12118" s="158" t="s">
        <v>12657</v>
      </c>
    </row>
    <row r="12119" spans="27:27">
      <c r="AA12119" s="158" t="s">
        <v>12658</v>
      </c>
    </row>
    <row r="12120" spans="27:27">
      <c r="AA12120" s="158" t="s">
        <v>12659</v>
      </c>
    </row>
    <row r="12121" spans="27:27">
      <c r="AA12121" s="158" t="s">
        <v>12660</v>
      </c>
    </row>
    <row r="12122" spans="27:27">
      <c r="AA12122" s="158" t="s">
        <v>3100</v>
      </c>
    </row>
    <row r="12123" spans="27:27">
      <c r="AA12123" s="158" t="s">
        <v>12661</v>
      </c>
    </row>
    <row r="12124" spans="27:27">
      <c r="AA12124" s="158" t="s">
        <v>12662</v>
      </c>
    </row>
    <row r="12125" spans="27:27">
      <c r="AA12125" s="158" t="s">
        <v>12663</v>
      </c>
    </row>
    <row r="12126" spans="27:27">
      <c r="AA12126" s="158" t="s">
        <v>3101</v>
      </c>
    </row>
    <row r="12127" spans="27:27">
      <c r="AA12127" s="158" t="s">
        <v>3102</v>
      </c>
    </row>
    <row r="12128" spans="27:27">
      <c r="AA12128" s="158" t="s">
        <v>3103</v>
      </c>
    </row>
    <row r="12129" spans="27:27">
      <c r="AA12129" s="158" t="s">
        <v>3104</v>
      </c>
    </row>
    <row r="12130" spans="27:27">
      <c r="AA12130" s="158" t="s">
        <v>12664</v>
      </c>
    </row>
    <row r="12131" spans="27:27">
      <c r="AA12131" s="158" t="s">
        <v>3105</v>
      </c>
    </row>
    <row r="12132" spans="27:27">
      <c r="AA12132" s="158" t="s">
        <v>12665</v>
      </c>
    </row>
    <row r="12133" spans="27:27">
      <c r="AA12133" s="158" t="s">
        <v>3106</v>
      </c>
    </row>
    <row r="12134" spans="27:27">
      <c r="AA12134" s="158" t="s">
        <v>12666</v>
      </c>
    </row>
    <row r="12135" spans="27:27">
      <c r="AA12135" s="158" t="s">
        <v>12667</v>
      </c>
    </row>
    <row r="12136" spans="27:27">
      <c r="AA12136" s="158" t="s">
        <v>12668</v>
      </c>
    </row>
    <row r="12137" spans="27:27">
      <c r="AA12137" s="158" t="s">
        <v>12669</v>
      </c>
    </row>
    <row r="12138" spans="27:27">
      <c r="AA12138" s="158" t="s">
        <v>12670</v>
      </c>
    </row>
    <row r="12139" spans="27:27">
      <c r="AA12139" s="158" t="s">
        <v>12671</v>
      </c>
    </row>
    <row r="12140" spans="27:27">
      <c r="AA12140" s="158" t="s">
        <v>12672</v>
      </c>
    </row>
    <row r="12141" spans="27:27">
      <c r="AA12141" s="158" t="s">
        <v>12673</v>
      </c>
    </row>
    <row r="12142" spans="27:27">
      <c r="AA12142" s="158" t="s">
        <v>3107</v>
      </c>
    </row>
    <row r="12143" spans="27:27">
      <c r="AA12143" s="158" t="s">
        <v>3108</v>
      </c>
    </row>
    <row r="12144" spans="27:27">
      <c r="AA12144" s="158" t="s">
        <v>3109</v>
      </c>
    </row>
    <row r="12145" spans="27:27">
      <c r="AA12145" s="158" t="s">
        <v>3110</v>
      </c>
    </row>
    <row r="12146" spans="27:27">
      <c r="AA12146" s="158" t="s">
        <v>3970</v>
      </c>
    </row>
    <row r="12147" spans="27:27">
      <c r="AA12147" s="158" t="s">
        <v>3111</v>
      </c>
    </row>
    <row r="12148" spans="27:27">
      <c r="AA12148" s="158" t="s">
        <v>12674</v>
      </c>
    </row>
    <row r="12149" spans="27:27">
      <c r="AA12149" s="158" t="s">
        <v>12675</v>
      </c>
    </row>
    <row r="12150" spans="27:27">
      <c r="AA12150" s="158" t="s">
        <v>12676</v>
      </c>
    </row>
    <row r="12151" spans="27:27">
      <c r="AA12151" s="158" t="s">
        <v>12677</v>
      </c>
    </row>
    <row r="12152" spans="27:27">
      <c r="AA12152" s="158" t="s">
        <v>12678</v>
      </c>
    </row>
    <row r="12153" spans="27:27">
      <c r="AA12153" s="158" t="s">
        <v>12679</v>
      </c>
    </row>
    <row r="12154" spans="27:27">
      <c r="AA12154" s="158" t="s">
        <v>3971</v>
      </c>
    </row>
    <row r="12155" spans="27:27">
      <c r="AA12155" s="158" t="s">
        <v>3112</v>
      </c>
    </row>
    <row r="12156" spans="27:27">
      <c r="AA12156" s="158" t="s">
        <v>12680</v>
      </c>
    </row>
    <row r="12157" spans="27:27">
      <c r="AA12157" s="158" t="s">
        <v>12681</v>
      </c>
    </row>
    <row r="12158" spans="27:27">
      <c r="AA12158" s="158" t="s">
        <v>12682</v>
      </c>
    </row>
    <row r="12159" spans="27:27">
      <c r="AA12159" s="158" t="s">
        <v>12683</v>
      </c>
    </row>
    <row r="12160" spans="27:27">
      <c r="AA12160" s="158" t="s">
        <v>3113</v>
      </c>
    </row>
    <row r="12161" spans="27:27">
      <c r="AA12161" s="158" t="s">
        <v>3972</v>
      </c>
    </row>
    <row r="12162" spans="27:27">
      <c r="AA12162" s="158" t="s">
        <v>3114</v>
      </c>
    </row>
    <row r="12163" spans="27:27">
      <c r="AA12163" s="158" t="s">
        <v>12684</v>
      </c>
    </row>
    <row r="12164" spans="27:27">
      <c r="AA12164" s="158" t="s">
        <v>3115</v>
      </c>
    </row>
    <row r="12165" spans="27:27">
      <c r="AA12165" s="158" t="s">
        <v>12685</v>
      </c>
    </row>
    <row r="12166" spans="27:27">
      <c r="AA12166" s="158" t="s">
        <v>3116</v>
      </c>
    </row>
    <row r="12167" spans="27:27">
      <c r="AA12167" s="158" t="s">
        <v>12686</v>
      </c>
    </row>
    <row r="12168" spans="27:27">
      <c r="AA12168" s="158" t="s">
        <v>12687</v>
      </c>
    </row>
    <row r="12169" spans="27:27">
      <c r="AA12169" s="158" t="s">
        <v>12688</v>
      </c>
    </row>
    <row r="12170" spans="27:27">
      <c r="AA12170" s="158" t="s">
        <v>12689</v>
      </c>
    </row>
    <row r="12171" spans="27:27">
      <c r="AA12171" s="158" t="s">
        <v>12690</v>
      </c>
    </row>
    <row r="12172" spans="27:27">
      <c r="AA12172" s="158" t="s">
        <v>12691</v>
      </c>
    </row>
    <row r="12173" spans="27:27">
      <c r="AA12173" s="158" t="s">
        <v>3117</v>
      </c>
    </row>
    <row r="12174" spans="27:27">
      <c r="AA12174" s="158" t="s">
        <v>12692</v>
      </c>
    </row>
    <row r="12175" spans="27:27">
      <c r="AA12175" s="158" t="s">
        <v>12693</v>
      </c>
    </row>
    <row r="12176" spans="27:27">
      <c r="AA12176" s="158" t="s">
        <v>3118</v>
      </c>
    </row>
    <row r="12177" spans="27:27">
      <c r="AA12177" s="158" t="s">
        <v>12694</v>
      </c>
    </row>
    <row r="12178" spans="27:27">
      <c r="AA12178" s="158" t="s">
        <v>12695</v>
      </c>
    </row>
    <row r="12179" spans="27:27">
      <c r="AA12179" s="158" t="s">
        <v>12696</v>
      </c>
    </row>
    <row r="12180" spans="27:27">
      <c r="AA12180" s="158" t="s">
        <v>12697</v>
      </c>
    </row>
    <row r="12181" spans="27:27">
      <c r="AA12181" s="158" t="s">
        <v>3119</v>
      </c>
    </row>
    <row r="12182" spans="27:27">
      <c r="AA12182" s="158" t="s">
        <v>12698</v>
      </c>
    </row>
    <row r="12183" spans="27:27">
      <c r="AA12183" s="158" t="s">
        <v>12699</v>
      </c>
    </row>
    <row r="12184" spans="27:27">
      <c r="AA12184" s="158" t="s">
        <v>12700</v>
      </c>
    </row>
    <row r="12185" spans="27:27">
      <c r="AA12185" s="158" t="s">
        <v>12701</v>
      </c>
    </row>
    <row r="12186" spans="27:27">
      <c r="AA12186" s="158" t="s">
        <v>12702</v>
      </c>
    </row>
    <row r="12187" spans="27:27">
      <c r="AA12187" s="158" t="s">
        <v>12703</v>
      </c>
    </row>
    <row r="12188" spans="27:27">
      <c r="AA12188" s="158" t="s">
        <v>3120</v>
      </c>
    </row>
    <row r="12189" spans="27:27">
      <c r="AA12189" s="158" t="s">
        <v>12704</v>
      </c>
    </row>
    <row r="12190" spans="27:27">
      <c r="AA12190" s="158" t="s">
        <v>3121</v>
      </c>
    </row>
    <row r="12191" spans="27:27">
      <c r="AA12191" s="158" t="s">
        <v>12705</v>
      </c>
    </row>
    <row r="12192" spans="27:27">
      <c r="AA12192" s="158" t="s">
        <v>3122</v>
      </c>
    </row>
    <row r="12193" spans="27:27">
      <c r="AA12193" s="158" t="s">
        <v>12706</v>
      </c>
    </row>
    <row r="12194" spans="27:27">
      <c r="AA12194" s="158" t="s">
        <v>12707</v>
      </c>
    </row>
    <row r="12195" spans="27:27">
      <c r="AA12195" s="158" t="s">
        <v>12708</v>
      </c>
    </row>
    <row r="12196" spans="27:27">
      <c r="AA12196" s="158" t="s">
        <v>12709</v>
      </c>
    </row>
    <row r="12197" spans="27:27">
      <c r="AA12197" s="158" t="s">
        <v>3123</v>
      </c>
    </row>
    <row r="12198" spans="27:27">
      <c r="AA12198" s="158" t="s">
        <v>12710</v>
      </c>
    </row>
    <row r="12199" spans="27:27">
      <c r="AA12199" s="158" t="s">
        <v>12711</v>
      </c>
    </row>
    <row r="12200" spans="27:27">
      <c r="AA12200" s="158" t="s">
        <v>12712</v>
      </c>
    </row>
    <row r="12201" spans="27:27">
      <c r="AA12201" s="158" t="s">
        <v>12713</v>
      </c>
    </row>
    <row r="12202" spans="27:27">
      <c r="AA12202" s="158" t="s">
        <v>12714</v>
      </c>
    </row>
    <row r="12203" spans="27:27">
      <c r="AA12203" s="158" t="s">
        <v>12715</v>
      </c>
    </row>
    <row r="12204" spans="27:27">
      <c r="AA12204" s="158" t="s">
        <v>12716</v>
      </c>
    </row>
    <row r="12205" spans="27:27">
      <c r="AA12205" s="158" t="s">
        <v>12717</v>
      </c>
    </row>
    <row r="12206" spans="27:27">
      <c r="AA12206" s="158" t="s">
        <v>3124</v>
      </c>
    </row>
    <row r="12207" spans="27:27">
      <c r="AA12207" s="158" t="s">
        <v>12718</v>
      </c>
    </row>
    <row r="12208" spans="27:27">
      <c r="AA12208" s="158" t="s">
        <v>3125</v>
      </c>
    </row>
    <row r="12209" spans="27:27">
      <c r="AA12209" s="158" t="s">
        <v>12719</v>
      </c>
    </row>
    <row r="12210" spans="27:27">
      <c r="AA12210" s="158" t="s">
        <v>12720</v>
      </c>
    </row>
    <row r="12211" spans="27:27">
      <c r="AA12211" s="158" t="s">
        <v>12721</v>
      </c>
    </row>
    <row r="12212" spans="27:27">
      <c r="AA12212" s="158" t="s">
        <v>12722</v>
      </c>
    </row>
    <row r="12213" spans="27:27">
      <c r="AA12213" s="158" t="s">
        <v>12723</v>
      </c>
    </row>
    <row r="12214" spans="27:27">
      <c r="AA12214" s="158" t="s">
        <v>12724</v>
      </c>
    </row>
    <row r="12215" spans="27:27">
      <c r="AA12215" s="158" t="s">
        <v>12725</v>
      </c>
    </row>
    <row r="12216" spans="27:27">
      <c r="AA12216" s="158" t="s">
        <v>12726</v>
      </c>
    </row>
    <row r="12217" spans="27:27">
      <c r="AA12217" s="158" t="s">
        <v>12727</v>
      </c>
    </row>
    <row r="12218" spans="27:27">
      <c r="AA12218" s="158" t="s">
        <v>12728</v>
      </c>
    </row>
    <row r="12219" spans="27:27">
      <c r="AA12219" s="158" t="s">
        <v>3126</v>
      </c>
    </row>
    <row r="12220" spans="27:27">
      <c r="AA12220" s="158" t="s">
        <v>12729</v>
      </c>
    </row>
    <row r="12221" spans="27:27">
      <c r="AA12221" s="158" t="s">
        <v>3127</v>
      </c>
    </row>
    <row r="12222" spans="27:27">
      <c r="AA12222" s="158" t="s">
        <v>12730</v>
      </c>
    </row>
    <row r="12223" spans="27:27">
      <c r="AA12223" s="158" t="s">
        <v>3128</v>
      </c>
    </row>
    <row r="12224" spans="27:27">
      <c r="AA12224" s="158" t="s">
        <v>12731</v>
      </c>
    </row>
    <row r="12225" spans="27:27">
      <c r="AA12225" s="158" t="s">
        <v>12732</v>
      </c>
    </row>
    <row r="12226" spans="27:27">
      <c r="AA12226" s="158" t="s">
        <v>12733</v>
      </c>
    </row>
    <row r="12227" spans="27:27">
      <c r="AA12227" s="158" t="s">
        <v>12734</v>
      </c>
    </row>
    <row r="12228" spans="27:27">
      <c r="AA12228" s="158" t="s">
        <v>3129</v>
      </c>
    </row>
    <row r="12229" spans="27:27">
      <c r="AA12229" s="158" t="s">
        <v>12735</v>
      </c>
    </row>
    <row r="12230" spans="27:27">
      <c r="AA12230" s="158" t="s">
        <v>12736</v>
      </c>
    </row>
    <row r="12231" spans="27:27">
      <c r="AA12231" s="158" t="s">
        <v>12737</v>
      </c>
    </row>
    <row r="12232" spans="27:27">
      <c r="AA12232" s="158" t="s">
        <v>12738</v>
      </c>
    </row>
    <row r="12233" spans="27:27">
      <c r="AA12233" s="158" t="s">
        <v>3130</v>
      </c>
    </row>
    <row r="12234" spans="27:27">
      <c r="AA12234" s="158" t="s">
        <v>12739</v>
      </c>
    </row>
    <row r="12235" spans="27:27">
      <c r="AA12235" s="158" t="s">
        <v>12740</v>
      </c>
    </row>
    <row r="12236" spans="27:27">
      <c r="AA12236" s="158" t="s">
        <v>3131</v>
      </c>
    </row>
    <row r="12237" spans="27:27">
      <c r="AA12237" s="158" t="s">
        <v>12741</v>
      </c>
    </row>
    <row r="12238" spans="27:27">
      <c r="AA12238" s="158" t="s">
        <v>3132</v>
      </c>
    </row>
    <row r="12239" spans="27:27">
      <c r="AA12239" s="158" t="s">
        <v>12742</v>
      </c>
    </row>
    <row r="12240" spans="27:27">
      <c r="AA12240" s="158" t="s">
        <v>3133</v>
      </c>
    </row>
    <row r="12241" spans="27:27">
      <c r="AA12241" s="158" t="s">
        <v>12743</v>
      </c>
    </row>
    <row r="12242" spans="27:27">
      <c r="AA12242" s="158" t="s">
        <v>12744</v>
      </c>
    </row>
    <row r="12243" spans="27:27">
      <c r="AA12243" s="158" t="s">
        <v>12745</v>
      </c>
    </row>
    <row r="12244" spans="27:27">
      <c r="AA12244" s="158" t="s">
        <v>12746</v>
      </c>
    </row>
    <row r="12245" spans="27:27">
      <c r="AA12245" s="158" t="s">
        <v>3134</v>
      </c>
    </row>
    <row r="12246" spans="27:27">
      <c r="AA12246" s="158" t="s">
        <v>3135</v>
      </c>
    </row>
    <row r="12247" spans="27:27">
      <c r="AA12247" s="158" t="s">
        <v>12747</v>
      </c>
    </row>
    <row r="12248" spans="27:27">
      <c r="AA12248" s="158" t="s">
        <v>12748</v>
      </c>
    </row>
    <row r="12249" spans="27:27">
      <c r="AA12249" s="158" t="s">
        <v>12749</v>
      </c>
    </row>
    <row r="12250" spans="27:27">
      <c r="AA12250" s="158" t="s">
        <v>12750</v>
      </c>
    </row>
    <row r="12251" spans="27:27">
      <c r="AA12251" s="158" t="s">
        <v>3136</v>
      </c>
    </row>
    <row r="12252" spans="27:27">
      <c r="AA12252" s="158" t="s">
        <v>12751</v>
      </c>
    </row>
    <row r="12253" spans="27:27">
      <c r="AA12253" s="158" t="s">
        <v>12752</v>
      </c>
    </row>
    <row r="12254" spans="27:27">
      <c r="AA12254" s="158" t="s">
        <v>3137</v>
      </c>
    </row>
    <row r="12255" spans="27:27">
      <c r="AA12255" s="158" t="s">
        <v>3138</v>
      </c>
    </row>
    <row r="12256" spans="27:27">
      <c r="AA12256" s="158" t="s">
        <v>3973</v>
      </c>
    </row>
    <row r="12257" spans="27:27">
      <c r="AA12257" s="158" t="s">
        <v>12753</v>
      </c>
    </row>
    <row r="12258" spans="27:27">
      <c r="AA12258" s="158" t="s">
        <v>12754</v>
      </c>
    </row>
    <row r="12259" spans="27:27">
      <c r="AA12259" s="158" t="s">
        <v>3139</v>
      </c>
    </row>
    <row r="12260" spans="27:27">
      <c r="AA12260" s="158" t="s">
        <v>3140</v>
      </c>
    </row>
    <row r="12261" spans="27:27">
      <c r="AA12261" s="158" t="s">
        <v>12755</v>
      </c>
    </row>
    <row r="12262" spans="27:27">
      <c r="AA12262" s="158" t="s">
        <v>3141</v>
      </c>
    </row>
    <row r="12263" spans="27:27">
      <c r="AA12263" s="158" t="s">
        <v>3142</v>
      </c>
    </row>
    <row r="12264" spans="27:27">
      <c r="AA12264" s="158" t="s">
        <v>3143</v>
      </c>
    </row>
    <row r="12265" spans="27:27">
      <c r="AA12265" s="158" t="s">
        <v>12756</v>
      </c>
    </row>
    <row r="12266" spans="27:27">
      <c r="AA12266" s="158" t="s">
        <v>3144</v>
      </c>
    </row>
    <row r="12267" spans="27:27">
      <c r="AA12267" s="158" t="s">
        <v>12757</v>
      </c>
    </row>
    <row r="12268" spans="27:27">
      <c r="AA12268" s="158" t="s">
        <v>3974</v>
      </c>
    </row>
    <row r="12269" spans="27:27">
      <c r="AA12269" s="158" t="s">
        <v>12758</v>
      </c>
    </row>
    <row r="12270" spans="27:27">
      <c r="AA12270" s="158" t="s">
        <v>12759</v>
      </c>
    </row>
    <row r="12271" spans="27:27">
      <c r="AA12271" s="158" t="s">
        <v>3145</v>
      </c>
    </row>
    <row r="12272" spans="27:27">
      <c r="AA12272" s="158" t="s">
        <v>3146</v>
      </c>
    </row>
    <row r="12273" spans="27:27">
      <c r="AA12273" s="158" t="s">
        <v>3147</v>
      </c>
    </row>
    <row r="12274" spans="27:27">
      <c r="AA12274" s="158" t="s">
        <v>3148</v>
      </c>
    </row>
    <row r="12275" spans="27:27">
      <c r="AA12275" s="158" t="s">
        <v>12760</v>
      </c>
    </row>
    <row r="12276" spans="27:27">
      <c r="AA12276" s="158" t="s">
        <v>3149</v>
      </c>
    </row>
    <row r="12277" spans="27:27">
      <c r="AA12277" s="158" t="s">
        <v>12761</v>
      </c>
    </row>
    <row r="12278" spans="27:27">
      <c r="AA12278" s="158" t="s">
        <v>12762</v>
      </c>
    </row>
    <row r="12279" spans="27:27">
      <c r="AA12279" s="158" t="s">
        <v>3150</v>
      </c>
    </row>
    <row r="12280" spans="27:27">
      <c r="AA12280" s="158" t="s">
        <v>3151</v>
      </c>
    </row>
    <row r="12281" spans="27:27">
      <c r="AA12281" s="158" t="s">
        <v>12763</v>
      </c>
    </row>
    <row r="12282" spans="27:27">
      <c r="AA12282" s="158" t="s">
        <v>12764</v>
      </c>
    </row>
    <row r="12283" spans="27:27">
      <c r="AA12283" s="158" t="s">
        <v>3152</v>
      </c>
    </row>
    <row r="12284" spans="27:27">
      <c r="AA12284" s="158" t="s">
        <v>12765</v>
      </c>
    </row>
    <row r="12285" spans="27:27">
      <c r="AA12285" s="158" t="s">
        <v>3153</v>
      </c>
    </row>
    <row r="12286" spans="27:27">
      <c r="AA12286" s="158" t="s">
        <v>12766</v>
      </c>
    </row>
    <row r="12287" spans="27:27">
      <c r="AA12287" s="158" t="s">
        <v>3154</v>
      </c>
    </row>
    <row r="12288" spans="27:27">
      <c r="AA12288" s="158" t="s">
        <v>12767</v>
      </c>
    </row>
    <row r="12289" spans="27:27">
      <c r="AA12289" s="158" t="s">
        <v>12768</v>
      </c>
    </row>
    <row r="12290" spans="27:27">
      <c r="AA12290" s="158" t="s">
        <v>12769</v>
      </c>
    </row>
    <row r="12291" spans="27:27">
      <c r="AA12291" s="158" t="s">
        <v>12770</v>
      </c>
    </row>
    <row r="12292" spans="27:27">
      <c r="AA12292" s="158" t="s">
        <v>3155</v>
      </c>
    </row>
    <row r="12293" spans="27:27">
      <c r="AA12293" s="158" t="s">
        <v>3156</v>
      </c>
    </row>
    <row r="12294" spans="27:27">
      <c r="AA12294" s="158" t="s">
        <v>3157</v>
      </c>
    </row>
    <row r="12295" spans="27:27">
      <c r="AA12295" s="158" t="s">
        <v>3158</v>
      </c>
    </row>
    <row r="12296" spans="27:27">
      <c r="AA12296" s="158" t="s">
        <v>12771</v>
      </c>
    </row>
    <row r="12297" spans="27:27">
      <c r="AA12297" s="158" t="s">
        <v>3159</v>
      </c>
    </row>
    <row r="12298" spans="27:27">
      <c r="AA12298" s="158" t="s">
        <v>12772</v>
      </c>
    </row>
    <row r="12299" spans="27:27">
      <c r="AA12299" s="158" t="s">
        <v>1169</v>
      </c>
    </row>
    <row r="12300" spans="27:27">
      <c r="AA12300" s="158" t="s">
        <v>12773</v>
      </c>
    </row>
    <row r="12301" spans="27:27">
      <c r="AA12301" s="158" t="s">
        <v>12774</v>
      </c>
    </row>
    <row r="12302" spans="27:27">
      <c r="AA12302" s="158" t="s">
        <v>3160</v>
      </c>
    </row>
    <row r="12303" spans="27:27">
      <c r="AA12303" s="158" t="s">
        <v>12775</v>
      </c>
    </row>
    <row r="12304" spans="27:27">
      <c r="AA12304" s="158" t="s">
        <v>3161</v>
      </c>
    </row>
    <row r="12305" spans="27:27">
      <c r="AA12305" s="158" t="s">
        <v>3162</v>
      </c>
    </row>
    <row r="12306" spans="27:27">
      <c r="AA12306" s="158" t="s">
        <v>3163</v>
      </c>
    </row>
    <row r="12307" spans="27:27">
      <c r="AA12307" s="158" t="s">
        <v>12776</v>
      </c>
    </row>
    <row r="12308" spans="27:27">
      <c r="AA12308" s="158" t="s">
        <v>3164</v>
      </c>
    </row>
    <row r="12309" spans="27:27">
      <c r="AA12309" s="158" t="s">
        <v>12777</v>
      </c>
    </row>
    <row r="12310" spans="27:27">
      <c r="AA12310" s="158" t="s">
        <v>12778</v>
      </c>
    </row>
    <row r="12311" spans="27:27">
      <c r="AA12311" s="158" t="s">
        <v>3165</v>
      </c>
    </row>
    <row r="12312" spans="27:27">
      <c r="AA12312" s="158" t="s">
        <v>12779</v>
      </c>
    </row>
    <row r="12313" spans="27:27">
      <c r="AA12313" s="158" t="s">
        <v>3166</v>
      </c>
    </row>
    <row r="12314" spans="27:27">
      <c r="AA12314" s="158" t="s">
        <v>12780</v>
      </c>
    </row>
    <row r="12315" spans="27:27">
      <c r="AA12315" s="158" t="s">
        <v>12781</v>
      </c>
    </row>
    <row r="12316" spans="27:27">
      <c r="AA12316" s="158" t="s">
        <v>3167</v>
      </c>
    </row>
    <row r="12317" spans="27:27">
      <c r="AA12317" s="158" t="s">
        <v>3168</v>
      </c>
    </row>
    <row r="12318" spans="27:27">
      <c r="AA12318" s="158" t="s">
        <v>3169</v>
      </c>
    </row>
    <row r="12319" spans="27:27">
      <c r="AA12319" s="158" t="s">
        <v>12782</v>
      </c>
    </row>
    <row r="12320" spans="27:27">
      <c r="AA12320" s="158" t="s">
        <v>12783</v>
      </c>
    </row>
    <row r="12321" spans="27:27">
      <c r="AA12321" s="158" t="s">
        <v>3170</v>
      </c>
    </row>
    <row r="12322" spans="27:27">
      <c r="AA12322" s="158" t="s">
        <v>12784</v>
      </c>
    </row>
    <row r="12323" spans="27:27">
      <c r="AA12323" s="158" t="s">
        <v>12785</v>
      </c>
    </row>
    <row r="12324" spans="27:27">
      <c r="AA12324" s="158" t="s">
        <v>1170</v>
      </c>
    </row>
    <row r="12325" spans="27:27">
      <c r="AA12325" s="158" t="s">
        <v>12786</v>
      </c>
    </row>
    <row r="12326" spans="27:27">
      <c r="AA12326" s="158" t="s">
        <v>1171</v>
      </c>
    </row>
    <row r="12327" spans="27:27">
      <c r="AA12327" s="158" t="s">
        <v>12787</v>
      </c>
    </row>
    <row r="12328" spans="27:27">
      <c r="AA12328" s="158" t="s">
        <v>12788</v>
      </c>
    </row>
    <row r="12329" spans="27:27">
      <c r="AA12329" s="158" t="s">
        <v>12789</v>
      </c>
    </row>
    <row r="12330" spans="27:27">
      <c r="AA12330" s="158" t="s">
        <v>3171</v>
      </c>
    </row>
    <row r="12331" spans="27:27">
      <c r="AA12331" s="158" t="s">
        <v>12790</v>
      </c>
    </row>
    <row r="12332" spans="27:27">
      <c r="AA12332" s="158" t="s">
        <v>12791</v>
      </c>
    </row>
    <row r="12333" spans="27:27">
      <c r="AA12333" s="158" t="s">
        <v>3172</v>
      </c>
    </row>
    <row r="12334" spans="27:27">
      <c r="AA12334" s="158" t="s">
        <v>12792</v>
      </c>
    </row>
    <row r="12335" spans="27:27">
      <c r="AA12335" s="158" t="s">
        <v>3173</v>
      </c>
    </row>
    <row r="12336" spans="27:27">
      <c r="AA12336" s="158" t="s">
        <v>12793</v>
      </c>
    </row>
    <row r="12337" spans="27:27">
      <c r="AA12337" s="158" t="s">
        <v>12794</v>
      </c>
    </row>
    <row r="12338" spans="27:27">
      <c r="AA12338" s="158" t="s">
        <v>12795</v>
      </c>
    </row>
    <row r="12339" spans="27:27">
      <c r="AA12339" s="158" t="s">
        <v>12796</v>
      </c>
    </row>
    <row r="12340" spans="27:27">
      <c r="AA12340" s="158" t="s">
        <v>12797</v>
      </c>
    </row>
    <row r="12341" spans="27:27">
      <c r="AA12341" s="158" t="s">
        <v>12798</v>
      </c>
    </row>
    <row r="12342" spans="27:27">
      <c r="AA12342" s="158" t="s">
        <v>12799</v>
      </c>
    </row>
    <row r="12343" spans="27:27">
      <c r="AA12343" s="158" t="s">
        <v>12800</v>
      </c>
    </row>
    <row r="12344" spans="27:27">
      <c r="AA12344" s="158" t="s">
        <v>12801</v>
      </c>
    </row>
    <row r="12345" spans="27:27">
      <c r="AA12345" s="158" t="s">
        <v>12802</v>
      </c>
    </row>
    <row r="12346" spans="27:27">
      <c r="AA12346" s="158" t="s">
        <v>12803</v>
      </c>
    </row>
    <row r="12347" spans="27:27">
      <c r="AA12347" s="158" t="s">
        <v>12804</v>
      </c>
    </row>
    <row r="12348" spans="27:27">
      <c r="AA12348" s="158" t="s">
        <v>12805</v>
      </c>
    </row>
    <row r="12349" spans="27:27">
      <c r="AA12349" s="158" t="s">
        <v>3174</v>
      </c>
    </row>
    <row r="12350" spans="27:27">
      <c r="AA12350" s="158" t="s">
        <v>12806</v>
      </c>
    </row>
    <row r="12351" spans="27:27">
      <c r="AA12351" s="158" t="s">
        <v>12807</v>
      </c>
    </row>
    <row r="12352" spans="27:27">
      <c r="AA12352" s="158" t="s">
        <v>12808</v>
      </c>
    </row>
    <row r="12353" spans="27:27">
      <c r="AA12353" s="158" t="s">
        <v>12809</v>
      </c>
    </row>
    <row r="12354" spans="27:27">
      <c r="AA12354" s="158" t="s">
        <v>12810</v>
      </c>
    </row>
    <row r="12355" spans="27:27">
      <c r="AA12355" s="158" t="s">
        <v>12811</v>
      </c>
    </row>
    <row r="12356" spans="27:27">
      <c r="AA12356" s="158" t="s">
        <v>12812</v>
      </c>
    </row>
    <row r="12357" spans="27:27">
      <c r="AA12357" s="158" t="s">
        <v>12813</v>
      </c>
    </row>
    <row r="12358" spans="27:27">
      <c r="AA12358" s="158" t="s">
        <v>12814</v>
      </c>
    </row>
    <row r="12359" spans="27:27">
      <c r="AA12359" s="158" t="s">
        <v>12815</v>
      </c>
    </row>
    <row r="12360" spans="27:27">
      <c r="AA12360" s="158" t="s">
        <v>12816</v>
      </c>
    </row>
    <row r="12361" spans="27:27">
      <c r="AA12361" s="158" t="s">
        <v>3175</v>
      </c>
    </row>
    <row r="12362" spans="27:27">
      <c r="AA12362" s="158" t="s">
        <v>3176</v>
      </c>
    </row>
    <row r="12363" spans="27:27">
      <c r="AA12363" s="158" t="s">
        <v>3177</v>
      </c>
    </row>
    <row r="12364" spans="27:27">
      <c r="AA12364" s="158" t="s">
        <v>12817</v>
      </c>
    </row>
    <row r="12365" spans="27:27">
      <c r="AA12365" s="158" t="s">
        <v>12818</v>
      </c>
    </row>
    <row r="12366" spans="27:27">
      <c r="AA12366" s="158" t="s">
        <v>3178</v>
      </c>
    </row>
    <row r="12367" spans="27:27">
      <c r="AA12367" s="158" t="s">
        <v>12819</v>
      </c>
    </row>
    <row r="12368" spans="27:27">
      <c r="AA12368" s="158" t="s">
        <v>3179</v>
      </c>
    </row>
    <row r="12369" spans="27:27">
      <c r="AA12369" s="158" t="s">
        <v>12820</v>
      </c>
    </row>
    <row r="12370" spans="27:27">
      <c r="AA12370" s="158" t="s">
        <v>3180</v>
      </c>
    </row>
    <row r="12371" spans="27:27">
      <c r="AA12371" s="158" t="s">
        <v>1172</v>
      </c>
    </row>
    <row r="12372" spans="27:27">
      <c r="AA12372" s="158" t="s">
        <v>1173</v>
      </c>
    </row>
    <row r="12373" spans="27:27">
      <c r="AA12373" s="158" t="s">
        <v>3360</v>
      </c>
    </row>
    <row r="12374" spans="27:27">
      <c r="AA12374" s="158" t="s">
        <v>12821</v>
      </c>
    </row>
    <row r="12375" spans="27:27">
      <c r="AA12375" s="158" t="s">
        <v>12822</v>
      </c>
    </row>
    <row r="12376" spans="27:27">
      <c r="AA12376" s="158" t="s">
        <v>12823</v>
      </c>
    </row>
    <row r="12377" spans="27:27">
      <c r="AA12377" s="158" t="s">
        <v>3181</v>
      </c>
    </row>
    <row r="12378" spans="27:27">
      <c r="AA12378" s="158" t="s">
        <v>12824</v>
      </c>
    </row>
    <row r="12379" spans="27:27">
      <c r="AA12379" s="158" t="s">
        <v>12825</v>
      </c>
    </row>
    <row r="12380" spans="27:27">
      <c r="AA12380" s="158" t="s">
        <v>12826</v>
      </c>
    </row>
    <row r="12381" spans="27:27">
      <c r="AA12381" s="158" t="s">
        <v>3182</v>
      </c>
    </row>
    <row r="12382" spans="27:27">
      <c r="AA12382" s="158" t="s">
        <v>12827</v>
      </c>
    </row>
    <row r="12383" spans="27:27">
      <c r="AA12383" s="158" t="s">
        <v>12828</v>
      </c>
    </row>
    <row r="12384" spans="27:27">
      <c r="AA12384" s="158" t="s">
        <v>12829</v>
      </c>
    </row>
    <row r="12385" spans="27:27">
      <c r="AA12385" s="158" t="s">
        <v>12830</v>
      </c>
    </row>
    <row r="12386" spans="27:27">
      <c r="AA12386" s="158" t="s">
        <v>12831</v>
      </c>
    </row>
    <row r="12387" spans="27:27">
      <c r="AA12387" s="158" t="s">
        <v>12832</v>
      </c>
    </row>
    <row r="12388" spans="27:27">
      <c r="AA12388" s="158" t="s">
        <v>12833</v>
      </c>
    </row>
    <row r="12389" spans="27:27">
      <c r="AA12389" s="158" t="s">
        <v>12834</v>
      </c>
    </row>
    <row r="12390" spans="27:27">
      <c r="AA12390" s="158" t="s">
        <v>12835</v>
      </c>
    </row>
    <row r="12391" spans="27:27">
      <c r="AA12391" s="158" t="s">
        <v>12836</v>
      </c>
    </row>
    <row r="12392" spans="27:27">
      <c r="AA12392" s="158" t="s">
        <v>12837</v>
      </c>
    </row>
    <row r="12393" spans="27:27">
      <c r="AA12393" s="158" t="s">
        <v>12838</v>
      </c>
    </row>
    <row r="12394" spans="27:27">
      <c r="AA12394" s="158" t="s">
        <v>3183</v>
      </c>
    </row>
    <row r="12395" spans="27:27">
      <c r="AA12395" s="158" t="s">
        <v>12839</v>
      </c>
    </row>
    <row r="12396" spans="27:27">
      <c r="AA12396" s="158" t="s">
        <v>12840</v>
      </c>
    </row>
    <row r="12397" spans="27:27">
      <c r="AA12397" s="158" t="s">
        <v>12841</v>
      </c>
    </row>
    <row r="12398" spans="27:27">
      <c r="AA12398" s="158" t="s">
        <v>3184</v>
      </c>
    </row>
    <row r="12399" spans="27:27">
      <c r="AA12399" s="158" t="s">
        <v>12842</v>
      </c>
    </row>
    <row r="12400" spans="27:27">
      <c r="AA12400" s="158" t="s">
        <v>12843</v>
      </c>
    </row>
    <row r="12401" spans="27:27">
      <c r="AA12401" s="158" t="s">
        <v>12844</v>
      </c>
    </row>
    <row r="12402" spans="27:27">
      <c r="AA12402" s="158" t="s">
        <v>3185</v>
      </c>
    </row>
    <row r="12403" spans="27:27">
      <c r="AA12403" s="158" t="s">
        <v>12845</v>
      </c>
    </row>
    <row r="12404" spans="27:27">
      <c r="AA12404" s="158" t="s">
        <v>12846</v>
      </c>
    </row>
    <row r="12405" spans="27:27">
      <c r="AA12405" s="158" t="s">
        <v>12847</v>
      </c>
    </row>
    <row r="12406" spans="27:27">
      <c r="AA12406" s="158" t="s">
        <v>3186</v>
      </c>
    </row>
    <row r="12407" spans="27:27">
      <c r="AA12407" s="158" t="s">
        <v>12848</v>
      </c>
    </row>
    <row r="12408" spans="27:27">
      <c r="AA12408" s="158" t="s">
        <v>12849</v>
      </c>
    </row>
    <row r="12409" spans="27:27">
      <c r="AA12409" s="158" t="s">
        <v>12850</v>
      </c>
    </row>
    <row r="12410" spans="27:27">
      <c r="AA12410" s="158" t="s">
        <v>12851</v>
      </c>
    </row>
    <row r="12411" spans="27:27">
      <c r="AA12411" s="158" t="s">
        <v>1174</v>
      </c>
    </row>
    <row r="12412" spans="27:27">
      <c r="AA12412" s="158" t="s">
        <v>12852</v>
      </c>
    </row>
    <row r="12413" spans="27:27">
      <c r="AA12413" s="158" t="s">
        <v>12853</v>
      </c>
    </row>
    <row r="12414" spans="27:27">
      <c r="AA12414" s="158" t="s">
        <v>12854</v>
      </c>
    </row>
    <row r="12415" spans="27:27">
      <c r="AA12415" s="158" t="s">
        <v>1175</v>
      </c>
    </row>
    <row r="12416" spans="27:27">
      <c r="AA12416" s="158" t="s">
        <v>12855</v>
      </c>
    </row>
    <row r="12417" spans="27:27">
      <c r="AA12417" s="158" t="s">
        <v>12856</v>
      </c>
    </row>
    <row r="12418" spans="27:27">
      <c r="AA12418" s="158" t="s">
        <v>12857</v>
      </c>
    </row>
    <row r="12419" spans="27:27">
      <c r="AA12419" s="158" t="s">
        <v>1176</v>
      </c>
    </row>
    <row r="12420" spans="27:27">
      <c r="AA12420" s="158" t="s">
        <v>12858</v>
      </c>
    </row>
    <row r="12421" spans="27:27">
      <c r="AA12421" s="158" t="s">
        <v>12859</v>
      </c>
    </row>
    <row r="12422" spans="27:27">
      <c r="AA12422" s="158" t="s">
        <v>12860</v>
      </c>
    </row>
    <row r="12423" spans="27:27">
      <c r="AA12423" s="158" t="s">
        <v>1177</v>
      </c>
    </row>
    <row r="12424" spans="27:27">
      <c r="AA12424" s="158" t="s">
        <v>12861</v>
      </c>
    </row>
    <row r="12425" spans="27:27">
      <c r="AA12425" s="158" t="s">
        <v>3975</v>
      </c>
    </row>
    <row r="12426" spans="27:27">
      <c r="AA12426" s="158" t="s">
        <v>12862</v>
      </c>
    </row>
    <row r="12427" spans="27:27">
      <c r="AA12427" s="158" t="s">
        <v>12863</v>
      </c>
    </row>
    <row r="12428" spans="27:27">
      <c r="AA12428" s="158" t="s">
        <v>12864</v>
      </c>
    </row>
    <row r="12429" spans="27:27">
      <c r="AA12429" s="158" t="s">
        <v>12865</v>
      </c>
    </row>
    <row r="12430" spans="27:27">
      <c r="AA12430" s="158" t="s">
        <v>12866</v>
      </c>
    </row>
    <row r="12431" spans="27:27">
      <c r="AA12431" s="158" t="s">
        <v>1178</v>
      </c>
    </row>
    <row r="12432" spans="27:27">
      <c r="AA12432" s="158" t="s">
        <v>12867</v>
      </c>
    </row>
    <row r="12433" spans="27:27">
      <c r="AA12433" s="158" t="s">
        <v>12868</v>
      </c>
    </row>
    <row r="12434" spans="27:27">
      <c r="AA12434" s="158" t="s">
        <v>12869</v>
      </c>
    </row>
    <row r="12435" spans="27:27">
      <c r="AA12435" s="158" t="s">
        <v>3187</v>
      </c>
    </row>
    <row r="12436" spans="27:27">
      <c r="AA12436" s="158" t="s">
        <v>3188</v>
      </c>
    </row>
    <row r="12437" spans="27:27">
      <c r="AA12437" s="158" t="s">
        <v>3189</v>
      </c>
    </row>
    <row r="12438" spans="27:27">
      <c r="AA12438" s="158" t="s">
        <v>3190</v>
      </c>
    </row>
    <row r="12439" spans="27:27">
      <c r="AA12439" s="158" t="s">
        <v>3976</v>
      </c>
    </row>
    <row r="12440" spans="27:27">
      <c r="AA12440" s="158" t="s">
        <v>3191</v>
      </c>
    </row>
    <row r="12441" spans="27:27">
      <c r="AA12441" s="158" t="s">
        <v>3192</v>
      </c>
    </row>
    <row r="12442" spans="27:27">
      <c r="AA12442" s="158" t="s">
        <v>12870</v>
      </c>
    </row>
    <row r="12443" spans="27:27">
      <c r="AA12443" s="158" t="s">
        <v>3193</v>
      </c>
    </row>
    <row r="12444" spans="27:27">
      <c r="AA12444" s="158" t="s">
        <v>3194</v>
      </c>
    </row>
    <row r="12445" spans="27:27">
      <c r="AA12445" s="158" t="s">
        <v>12871</v>
      </c>
    </row>
    <row r="12446" spans="27:27">
      <c r="AA12446" s="158" t="s">
        <v>3195</v>
      </c>
    </row>
    <row r="12447" spans="27:27">
      <c r="AA12447" s="158" t="s">
        <v>12872</v>
      </c>
    </row>
    <row r="12448" spans="27:27">
      <c r="AA12448" s="158" t="s">
        <v>12873</v>
      </c>
    </row>
    <row r="12449" spans="27:27">
      <c r="AA12449" s="158" t="s">
        <v>12874</v>
      </c>
    </row>
    <row r="12450" spans="27:27">
      <c r="AA12450" s="158" t="s">
        <v>12875</v>
      </c>
    </row>
    <row r="12451" spans="27:27">
      <c r="AA12451" s="158" t="s">
        <v>12876</v>
      </c>
    </row>
    <row r="12452" spans="27:27">
      <c r="AA12452" s="158" t="s">
        <v>12877</v>
      </c>
    </row>
    <row r="12453" spans="27:27">
      <c r="AA12453" s="158" t="s">
        <v>12878</v>
      </c>
    </row>
    <row r="12454" spans="27:27">
      <c r="AA12454" s="158" t="s">
        <v>12879</v>
      </c>
    </row>
    <row r="12455" spans="27:27">
      <c r="AA12455" s="158" t="s">
        <v>12880</v>
      </c>
    </row>
    <row r="12456" spans="27:27">
      <c r="AA12456" s="158" t="s">
        <v>12881</v>
      </c>
    </row>
    <row r="12457" spans="27:27">
      <c r="AA12457" s="158" t="s">
        <v>12882</v>
      </c>
    </row>
    <row r="12458" spans="27:27">
      <c r="AA12458" s="158" t="s">
        <v>12883</v>
      </c>
    </row>
    <row r="12459" spans="27:27">
      <c r="AA12459" s="158" t="s">
        <v>12884</v>
      </c>
    </row>
    <row r="12460" spans="27:27">
      <c r="AA12460" s="158" t="s">
        <v>12885</v>
      </c>
    </row>
    <row r="12461" spans="27:27">
      <c r="AA12461" s="158" t="s">
        <v>12886</v>
      </c>
    </row>
    <row r="12462" spans="27:27">
      <c r="AA12462" s="158" t="s">
        <v>12887</v>
      </c>
    </row>
    <row r="12463" spans="27:27">
      <c r="AA12463" s="158" t="s">
        <v>12888</v>
      </c>
    </row>
    <row r="12464" spans="27:27">
      <c r="AA12464" s="158" t="s">
        <v>12889</v>
      </c>
    </row>
    <row r="12465" spans="27:27">
      <c r="AA12465" s="158" t="s">
        <v>12890</v>
      </c>
    </row>
    <row r="12466" spans="27:27">
      <c r="AA12466" s="158" t="s">
        <v>12891</v>
      </c>
    </row>
    <row r="12467" spans="27:27">
      <c r="AA12467" s="158" t="s">
        <v>12892</v>
      </c>
    </row>
    <row r="12468" spans="27:27">
      <c r="AA12468" s="158" t="s">
        <v>12893</v>
      </c>
    </row>
    <row r="12469" spans="27:27">
      <c r="AA12469" s="158" t="s">
        <v>12894</v>
      </c>
    </row>
    <row r="12470" spans="27:27">
      <c r="AA12470" s="158" t="s">
        <v>12895</v>
      </c>
    </row>
    <row r="12471" spans="27:27">
      <c r="AA12471" s="158" t="s">
        <v>12896</v>
      </c>
    </row>
    <row r="12472" spans="27:27">
      <c r="AA12472" s="158" t="s">
        <v>12897</v>
      </c>
    </row>
    <row r="12473" spans="27:27">
      <c r="AA12473" s="158" t="s">
        <v>12898</v>
      </c>
    </row>
    <row r="12474" spans="27:27">
      <c r="AA12474" s="158" t="s">
        <v>12899</v>
      </c>
    </row>
    <row r="12475" spans="27:27">
      <c r="AA12475" s="158" t="s">
        <v>12900</v>
      </c>
    </row>
    <row r="12476" spans="27:27">
      <c r="AA12476" s="158" t="s">
        <v>12901</v>
      </c>
    </row>
    <row r="12477" spans="27:27">
      <c r="AA12477" s="158" t="s">
        <v>12902</v>
      </c>
    </row>
    <row r="12478" spans="27:27">
      <c r="AA12478" s="158" t="s">
        <v>12903</v>
      </c>
    </row>
    <row r="12479" spans="27:27">
      <c r="AA12479" s="158" t="s">
        <v>12904</v>
      </c>
    </row>
    <row r="12480" spans="27:27">
      <c r="AA12480" s="158" t="s">
        <v>12905</v>
      </c>
    </row>
    <row r="12481" spans="27:27">
      <c r="AA12481" s="158" t="s">
        <v>3196</v>
      </c>
    </row>
    <row r="12482" spans="27:27">
      <c r="AA12482" s="158" t="s">
        <v>3197</v>
      </c>
    </row>
    <row r="12483" spans="27:27">
      <c r="AA12483" s="158" t="s">
        <v>12906</v>
      </c>
    </row>
    <row r="12484" spans="27:27">
      <c r="AA12484" s="158" t="s">
        <v>12907</v>
      </c>
    </row>
    <row r="12485" spans="27:27">
      <c r="AA12485" s="158" t="s">
        <v>12908</v>
      </c>
    </row>
    <row r="12486" spans="27:27">
      <c r="AA12486" s="158" t="s">
        <v>12909</v>
      </c>
    </row>
    <row r="12487" spans="27:27">
      <c r="AA12487" s="158" t="s">
        <v>3198</v>
      </c>
    </row>
    <row r="12488" spans="27:27">
      <c r="AA12488" s="158" t="s">
        <v>3199</v>
      </c>
    </row>
    <row r="12489" spans="27:27">
      <c r="AA12489" s="158" t="s">
        <v>12910</v>
      </c>
    </row>
    <row r="12490" spans="27:27">
      <c r="AA12490" s="158" t="s">
        <v>12911</v>
      </c>
    </row>
    <row r="12491" spans="27:27">
      <c r="AA12491" s="158" t="s">
        <v>12912</v>
      </c>
    </row>
    <row r="12492" spans="27:27">
      <c r="AA12492" s="158" t="s">
        <v>12913</v>
      </c>
    </row>
    <row r="12493" spans="27:27">
      <c r="AA12493" s="158" t="s">
        <v>12914</v>
      </c>
    </row>
    <row r="12494" spans="27:27">
      <c r="AA12494" s="158" t="s">
        <v>12915</v>
      </c>
    </row>
    <row r="12495" spans="27:27">
      <c r="AA12495" s="158" t="s">
        <v>3200</v>
      </c>
    </row>
    <row r="12496" spans="27:27">
      <c r="AA12496" s="158" t="s">
        <v>12916</v>
      </c>
    </row>
    <row r="12497" spans="27:27">
      <c r="AA12497" s="158" t="s">
        <v>3201</v>
      </c>
    </row>
    <row r="12498" spans="27:27">
      <c r="AA12498" s="158" t="s">
        <v>12917</v>
      </c>
    </row>
    <row r="12499" spans="27:27">
      <c r="AA12499" s="158" t="s">
        <v>12918</v>
      </c>
    </row>
    <row r="12500" spans="27:27">
      <c r="AA12500" s="158" t="s">
        <v>12919</v>
      </c>
    </row>
    <row r="12501" spans="27:27">
      <c r="AA12501" s="158" t="s">
        <v>12920</v>
      </c>
    </row>
    <row r="12502" spans="27:27">
      <c r="AA12502" s="158" t="s">
        <v>12921</v>
      </c>
    </row>
    <row r="12503" spans="27:27">
      <c r="AA12503" s="158" t="s">
        <v>12922</v>
      </c>
    </row>
    <row r="12504" spans="27:27">
      <c r="AA12504" s="158" t="s">
        <v>12923</v>
      </c>
    </row>
    <row r="12505" spans="27:27">
      <c r="AA12505" s="158" t="s">
        <v>12924</v>
      </c>
    </row>
    <row r="12506" spans="27:27">
      <c r="AA12506" s="158" t="s">
        <v>12925</v>
      </c>
    </row>
    <row r="12507" spans="27:27">
      <c r="AA12507" s="158" t="s">
        <v>12926</v>
      </c>
    </row>
    <row r="12508" spans="27:27">
      <c r="AA12508" s="158" t="s">
        <v>12927</v>
      </c>
    </row>
    <row r="12509" spans="27:27">
      <c r="AA12509" s="158" t="s">
        <v>12928</v>
      </c>
    </row>
    <row r="12510" spans="27:27">
      <c r="AA12510" s="158" t="s">
        <v>12929</v>
      </c>
    </row>
    <row r="12511" spans="27:27">
      <c r="AA12511" s="158" t="s">
        <v>12930</v>
      </c>
    </row>
    <row r="12512" spans="27:27">
      <c r="AA12512" s="158" t="s">
        <v>12931</v>
      </c>
    </row>
    <row r="12513" spans="27:27">
      <c r="AA12513" s="158" t="s">
        <v>12932</v>
      </c>
    </row>
    <row r="12514" spans="27:27">
      <c r="AA12514" s="158" t="s">
        <v>12933</v>
      </c>
    </row>
    <row r="12515" spans="27:27">
      <c r="AA12515" s="158" t="s">
        <v>12934</v>
      </c>
    </row>
    <row r="12516" spans="27:27">
      <c r="AA12516" s="158" t="s">
        <v>12935</v>
      </c>
    </row>
    <row r="12517" spans="27:27">
      <c r="AA12517" s="158" t="s">
        <v>12936</v>
      </c>
    </row>
    <row r="12518" spans="27:27">
      <c r="AA12518" s="158" t="s">
        <v>12937</v>
      </c>
    </row>
    <row r="12519" spans="27:27">
      <c r="AA12519" s="158" t="s">
        <v>12938</v>
      </c>
    </row>
    <row r="12520" spans="27:27">
      <c r="AA12520" s="158" t="s">
        <v>12939</v>
      </c>
    </row>
    <row r="12521" spans="27:27">
      <c r="AA12521" s="158" t="s">
        <v>12940</v>
      </c>
    </row>
    <row r="12522" spans="27:27">
      <c r="AA12522" s="158" t="s">
        <v>12941</v>
      </c>
    </row>
    <row r="12523" spans="27:27">
      <c r="AA12523" s="158" t="s">
        <v>12942</v>
      </c>
    </row>
    <row r="12524" spans="27:27">
      <c r="AA12524" s="158" t="s">
        <v>12943</v>
      </c>
    </row>
    <row r="12525" spans="27:27">
      <c r="AA12525" s="158" t="s">
        <v>12944</v>
      </c>
    </row>
    <row r="12526" spans="27:27">
      <c r="AA12526" s="158" t="s">
        <v>12945</v>
      </c>
    </row>
    <row r="12527" spans="27:27">
      <c r="AA12527" s="158" t="s">
        <v>12946</v>
      </c>
    </row>
    <row r="12528" spans="27:27">
      <c r="AA12528" s="158" t="s">
        <v>12947</v>
      </c>
    </row>
    <row r="12529" spans="27:27">
      <c r="AA12529" s="158" t="s">
        <v>12948</v>
      </c>
    </row>
    <row r="12530" spans="27:27">
      <c r="AA12530" s="158" t="s">
        <v>12949</v>
      </c>
    </row>
    <row r="12531" spans="27:27">
      <c r="AA12531" s="158" t="s">
        <v>12950</v>
      </c>
    </row>
    <row r="12532" spans="27:27">
      <c r="AA12532" s="158" t="s">
        <v>12951</v>
      </c>
    </row>
    <row r="12533" spans="27:27">
      <c r="AA12533" s="158" t="s">
        <v>12952</v>
      </c>
    </row>
    <row r="12534" spans="27:27">
      <c r="AA12534" s="158" t="s">
        <v>12953</v>
      </c>
    </row>
    <row r="12535" spans="27:27">
      <c r="AA12535" s="158" t="s">
        <v>3202</v>
      </c>
    </row>
    <row r="12536" spans="27:27">
      <c r="AA12536" s="158" t="s">
        <v>12954</v>
      </c>
    </row>
    <row r="12537" spans="27:27">
      <c r="AA12537" s="158" t="s">
        <v>3203</v>
      </c>
    </row>
    <row r="12538" spans="27:27">
      <c r="AA12538" s="158" t="s">
        <v>12955</v>
      </c>
    </row>
    <row r="12539" spans="27:27">
      <c r="AA12539" s="158" t="s">
        <v>12956</v>
      </c>
    </row>
    <row r="12540" spans="27:27">
      <c r="AA12540" s="158" t="s">
        <v>3977</v>
      </c>
    </row>
    <row r="12541" spans="27:27">
      <c r="AA12541" s="158" t="s">
        <v>3204</v>
      </c>
    </row>
    <row r="12542" spans="27:27">
      <c r="AA12542" s="158" t="s">
        <v>3205</v>
      </c>
    </row>
    <row r="12543" spans="27:27">
      <c r="AA12543" s="158" t="s">
        <v>3206</v>
      </c>
    </row>
    <row r="12544" spans="27:27">
      <c r="AA12544" s="158" t="s">
        <v>12957</v>
      </c>
    </row>
    <row r="12545" spans="27:27">
      <c r="AA12545" s="158" t="s">
        <v>3207</v>
      </c>
    </row>
    <row r="12546" spans="27:27">
      <c r="AA12546" s="158" t="s">
        <v>3978</v>
      </c>
    </row>
    <row r="12547" spans="27:27">
      <c r="AA12547" s="158" t="s">
        <v>3208</v>
      </c>
    </row>
    <row r="12548" spans="27:27">
      <c r="AA12548" s="158" t="s">
        <v>12958</v>
      </c>
    </row>
    <row r="12549" spans="27:27">
      <c r="AA12549" s="158" t="s">
        <v>3209</v>
      </c>
    </row>
    <row r="12550" spans="27:27">
      <c r="AA12550" s="158" t="s">
        <v>1179</v>
      </c>
    </row>
    <row r="12551" spans="27:27">
      <c r="AA12551" s="158" t="s">
        <v>12959</v>
      </c>
    </row>
    <row r="12552" spans="27:27">
      <c r="AA12552" s="158" t="s">
        <v>1180</v>
      </c>
    </row>
    <row r="12553" spans="27:27">
      <c r="AA12553" s="158" t="s">
        <v>1181</v>
      </c>
    </row>
    <row r="12554" spans="27:27">
      <c r="AA12554" s="158" t="s">
        <v>12960</v>
      </c>
    </row>
    <row r="12555" spans="27:27">
      <c r="AA12555" s="158" t="s">
        <v>1182</v>
      </c>
    </row>
    <row r="12556" spans="27:27">
      <c r="AA12556" s="158" t="s">
        <v>12961</v>
      </c>
    </row>
    <row r="12557" spans="27:27">
      <c r="AA12557" s="158" t="s">
        <v>12962</v>
      </c>
    </row>
    <row r="12558" spans="27:27">
      <c r="AA12558" s="158" t="s">
        <v>1183</v>
      </c>
    </row>
    <row r="12559" spans="27:27">
      <c r="AA12559" s="158" t="s">
        <v>12963</v>
      </c>
    </row>
    <row r="12560" spans="27:27">
      <c r="AA12560" s="158" t="s">
        <v>1184</v>
      </c>
    </row>
    <row r="12561" spans="27:27">
      <c r="AA12561" s="158" t="s">
        <v>1185</v>
      </c>
    </row>
    <row r="12562" spans="27:27">
      <c r="AA12562" s="158" t="s">
        <v>1186</v>
      </c>
    </row>
    <row r="12563" spans="27:27">
      <c r="AA12563" s="158" t="s">
        <v>12964</v>
      </c>
    </row>
    <row r="12564" spans="27:27">
      <c r="AA12564" s="158" t="s">
        <v>12965</v>
      </c>
    </row>
    <row r="12565" spans="27:27">
      <c r="AA12565" s="158" t="s">
        <v>1187</v>
      </c>
    </row>
    <row r="12566" spans="27:27">
      <c r="AA12566" s="158" t="s">
        <v>12966</v>
      </c>
    </row>
    <row r="12567" spans="27:27">
      <c r="AA12567" s="158" t="s">
        <v>1188</v>
      </c>
    </row>
    <row r="12568" spans="27:27">
      <c r="AA12568" s="158" t="s">
        <v>12967</v>
      </c>
    </row>
    <row r="12569" spans="27:27">
      <c r="AA12569" s="158" t="s">
        <v>12968</v>
      </c>
    </row>
    <row r="12570" spans="27:27">
      <c r="AA12570" s="158" t="s">
        <v>1189</v>
      </c>
    </row>
    <row r="12571" spans="27:27">
      <c r="AA12571" s="158" t="s">
        <v>1190</v>
      </c>
    </row>
    <row r="12572" spans="27:27">
      <c r="AA12572" s="158" t="s">
        <v>1191</v>
      </c>
    </row>
    <row r="12573" spans="27:27">
      <c r="AA12573" s="158" t="s">
        <v>12969</v>
      </c>
    </row>
    <row r="12574" spans="27:27">
      <c r="AA12574" s="158" t="s">
        <v>12970</v>
      </c>
    </row>
    <row r="12575" spans="27:27">
      <c r="AA12575" s="158" t="s">
        <v>12971</v>
      </c>
    </row>
    <row r="12576" spans="27:27">
      <c r="AA12576" s="158" t="s">
        <v>12972</v>
      </c>
    </row>
    <row r="12577" spans="27:27">
      <c r="AA12577" s="158" t="s">
        <v>12973</v>
      </c>
    </row>
    <row r="12578" spans="27:27">
      <c r="AA12578" s="158" t="s">
        <v>12974</v>
      </c>
    </row>
    <row r="12579" spans="27:27">
      <c r="AA12579" s="158" t="s">
        <v>1192</v>
      </c>
    </row>
    <row r="12580" spans="27:27">
      <c r="AA12580" s="158" t="s">
        <v>12975</v>
      </c>
    </row>
    <row r="12581" spans="27:27">
      <c r="AA12581" s="158" t="s">
        <v>1193</v>
      </c>
    </row>
    <row r="12582" spans="27:27">
      <c r="AA12582" s="158" t="s">
        <v>12976</v>
      </c>
    </row>
    <row r="12583" spans="27:27">
      <c r="AA12583" s="158" t="s">
        <v>1194</v>
      </c>
    </row>
    <row r="12584" spans="27:27">
      <c r="AA12584" s="158" t="s">
        <v>1195</v>
      </c>
    </row>
    <row r="12585" spans="27:27">
      <c r="AA12585" s="158" t="s">
        <v>1196</v>
      </c>
    </row>
    <row r="12586" spans="27:27">
      <c r="AA12586" s="158" t="s">
        <v>1197</v>
      </c>
    </row>
    <row r="12587" spans="27:27">
      <c r="AA12587" s="158" t="s">
        <v>12977</v>
      </c>
    </row>
    <row r="12588" spans="27:27">
      <c r="AA12588" s="158" t="s">
        <v>12978</v>
      </c>
    </row>
    <row r="12589" spans="27:27">
      <c r="AA12589" s="158" t="s">
        <v>1198</v>
      </c>
    </row>
    <row r="12590" spans="27:27">
      <c r="AA12590" s="158" t="s">
        <v>12979</v>
      </c>
    </row>
    <row r="12591" spans="27:27">
      <c r="AA12591" s="158" t="s">
        <v>12980</v>
      </c>
    </row>
    <row r="12592" spans="27:27">
      <c r="AA12592" s="158" t="s">
        <v>1199</v>
      </c>
    </row>
    <row r="12593" spans="27:27">
      <c r="AA12593" s="158" t="s">
        <v>12981</v>
      </c>
    </row>
    <row r="12594" spans="27:27">
      <c r="AA12594" s="158" t="s">
        <v>12982</v>
      </c>
    </row>
    <row r="12595" spans="27:27">
      <c r="AA12595" s="158" t="s">
        <v>12983</v>
      </c>
    </row>
    <row r="12596" spans="27:27">
      <c r="AA12596" s="158" t="s">
        <v>12984</v>
      </c>
    </row>
    <row r="12597" spans="27:27">
      <c r="AA12597" s="158" t="s">
        <v>12985</v>
      </c>
    </row>
    <row r="12598" spans="27:27">
      <c r="AA12598" s="158" t="s">
        <v>1200</v>
      </c>
    </row>
    <row r="12599" spans="27:27">
      <c r="AA12599" s="158" t="s">
        <v>1201</v>
      </c>
    </row>
    <row r="12600" spans="27:27">
      <c r="AA12600" s="158" t="s">
        <v>1202</v>
      </c>
    </row>
    <row r="12601" spans="27:27">
      <c r="AA12601" s="158" t="s">
        <v>12986</v>
      </c>
    </row>
    <row r="12602" spans="27:27">
      <c r="AA12602" s="158" t="s">
        <v>12987</v>
      </c>
    </row>
    <row r="12603" spans="27:27">
      <c r="AA12603" s="158" t="s">
        <v>1203</v>
      </c>
    </row>
    <row r="12604" spans="27:27">
      <c r="AA12604" s="158" t="s">
        <v>12988</v>
      </c>
    </row>
    <row r="12605" spans="27:27">
      <c r="AA12605" s="158" t="s">
        <v>12989</v>
      </c>
    </row>
    <row r="12606" spans="27:27">
      <c r="AA12606" s="158" t="s">
        <v>12990</v>
      </c>
    </row>
    <row r="12607" spans="27:27">
      <c r="AA12607" s="158" t="s">
        <v>1204</v>
      </c>
    </row>
    <row r="12608" spans="27:27">
      <c r="AA12608" s="158" t="s">
        <v>1205</v>
      </c>
    </row>
    <row r="12609" spans="27:27">
      <c r="AA12609" s="158" t="s">
        <v>1206</v>
      </c>
    </row>
    <row r="12610" spans="27:27">
      <c r="AA12610" s="158" t="s">
        <v>12991</v>
      </c>
    </row>
    <row r="12611" spans="27:27">
      <c r="AA12611" s="158" t="s">
        <v>12992</v>
      </c>
    </row>
    <row r="12612" spans="27:27">
      <c r="AA12612" s="158" t="s">
        <v>1207</v>
      </c>
    </row>
    <row r="12613" spans="27:27">
      <c r="AA12613" s="158" t="s">
        <v>12993</v>
      </c>
    </row>
    <row r="12614" spans="27:27">
      <c r="AA12614" s="158" t="s">
        <v>12994</v>
      </c>
    </row>
    <row r="12615" spans="27:27">
      <c r="AA12615" s="158" t="s">
        <v>1208</v>
      </c>
    </row>
    <row r="12616" spans="27:27">
      <c r="AA12616" s="158" t="s">
        <v>12995</v>
      </c>
    </row>
    <row r="12617" spans="27:27">
      <c r="AA12617" s="158" t="s">
        <v>12996</v>
      </c>
    </row>
    <row r="12618" spans="27:27">
      <c r="AA12618" s="158" t="s">
        <v>1209</v>
      </c>
    </row>
    <row r="12619" spans="27:27">
      <c r="AA12619" s="158" t="s">
        <v>12997</v>
      </c>
    </row>
    <row r="12620" spans="27:27">
      <c r="AA12620" s="158" t="s">
        <v>12998</v>
      </c>
    </row>
    <row r="12621" spans="27:27">
      <c r="AA12621" s="158" t="s">
        <v>1210</v>
      </c>
    </row>
    <row r="12622" spans="27:27">
      <c r="AA12622" s="158" t="s">
        <v>12999</v>
      </c>
    </row>
    <row r="12623" spans="27:27">
      <c r="AA12623" s="158" t="s">
        <v>13000</v>
      </c>
    </row>
    <row r="12624" spans="27:27">
      <c r="AA12624" s="158" t="s">
        <v>1211</v>
      </c>
    </row>
    <row r="12625" spans="27:27">
      <c r="AA12625" s="158" t="s">
        <v>13001</v>
      </c>
    </row>
    <row r="12626" spans="27:27">
      <c r="AA12626" s="158" t="s">
        <v>13002</v>
      </c>
    </row>
    <row r="12627" spans="27:27">
      <c r="AA12627" s="158" t="s">
        <v>1212</v>
      </c>
    </row>
    <row r="12628" spans="27:27">
      <c r="AA12628" s="158" t="s">
        <v>13003</v>
      </c>
    </row>
    <row r="12629" spans="27:27">
      <c r="AA12629" s="158" t="s">
        <v>13004</v>
      </c>
    </row>
    <row r="12630" spans="27:27">
      <c r="AA12630" s="158" t="s">
        <v>1213</v>
      </c>
    </row>
    <row r="12631" spans="27:27">
      <c r="AA12631" s="158" t="s">
        <v>13005</v>
      </c>
    </row>
    <row r="12632" spans="27:27">
      <c r="AA12632" s="158" t="s">
        <v>13006</v>
      </c>
    </row>
    <row r="12633" spans="27:27">
      <c r="AA12633" s="158" t="s">
        <v>1214</v>
      </c>
    </row>
    <row r="12634" spans="27:27">
      <c r="AA12634" s="158" t="s">
        <v>13007</v>
      </c>
    </row>
    <row r="12635" spans="27:27">
      <c r="AA12635" s="158" t="s">
        <v>13008</v>
      </c>
    </row>
    <row r="12636" spans="27:27">
      <c r="AA12636" s="158" t="s">
        <v>1215</v>
      </c>
    </row>
    <row r="12637" spans="27:27">
      <c r="AA12637" s="158" t="s">
        <v>13009</v>
      </c>
    </row>
    <row r="12638" spans="27:27">
      <c r="AA12638" s="158" t="s">
        <v>13010</v>
      </c>
    </row>
    <row r="12639" spans="27:27">
      <c r="AA12639" s="158" t="s">
        <v>1216</v>
      </c>
    </row>
    <row r="12640" spans="27:27">
      <c r="AA12640" s="158" t="s">
        <v>13011</v>
      </c>
    </row>
    <row r="12641" spans="27:27">
      <c r="AA12641" s="158" t="s">
        <v>13012</v>
      </c>
    </row>
    <row r="12642" spans="27:27">
      <c r="AA12642" s="158" t="s">
        <v>1217</v>
      </c>
    </row>
    <row r="12643" spans="27:27">
      <c r="AA12643" s="158" t="s">
        <v>13013</v>
      </c>
    </row>
    <row r="12644" spans="27:27">
      <c r="AA12644" s="158" t="s">
        <v>13014</v>
      </c>
    </row>
    <row r="12645" spans="27:27">
      <c r="AA12645" s="158" t="s">
        <v>1218</v>
      </c>
    </row>
    <row r="12646" spans="27:27">
      <c r="AA12646" s="158" t="s">
        <v>13015</v>
      </c>
    </row>
    <row r="12647" spans="27:27">
      <c r="AA12647" s="158" t="s">
        <v>13016</v>
      </c>
    </row>
    <row r="12648" spans="27:27">
      <c r="AA12648" s="158" t="s">
        <v>1219</v>
      </c>
    </row>
    <row r="12649" spans="27:27">
      <c r="AA12649" s="158" t="s">
        <v>1220</v>
      </c>
    </row>
    <row r="12650" spans="27:27">
      <c r="AA12650" s="158" t="s">
        <v>1221</v>
      </c>
    </row>
    <row r="12651" spans="27:27">
      <c r="AA12651" s="158" t="s">
        <v>1222</v>
      </c>
    </row>
    <row r="12652" spans="27:27">
      <c r="AA12652" s="158" t="s">
        <v>1223</v>
      </c>
    </row>
    <row r="12653" spans="27:27">
      <c r="AA12653" s="158" t="s">
        <v>1224</v>
      </c>
    </row>
    <row r="12654" spans="27:27">
      <c r="AA12654" s="158" t="s">
        <v>1225</v>
      </c>
    </row>
    <row r="12655" spans="27:27">
      <c r="AA12655" s="158" t="s">
        <v>13017</v>
      </c>
    </row>
    <row r="12656" spans="27:27">
      <c r="AA12656" s="158" t="s">
        <v>13018</v>
      </c>
    </row>
    <row r="12657" spans="27:27">
      <c r="AA12657" s="158" t="s">
        <v>13019</v>
      </c>
    </row>
    <row r="12658" spans="27:27">
      <c r="AA12658" s="158" t="s">
        <v>13020</v>
      </c>
    </row>
    <row r="12659" spans="27:27">
      <c r="AA12659" s="158" t="s">
        <v>13021</v>
      </c>
    </row>
    <row r="12660" spans="27:27">
      <c r="AA12660" s="158" t="s">
        <v>13022</v>
      </c>
    </row>
    <row r="12661" spans="27:27">
      <c r="AA12661" s="158" t="s">
        <v>13023</v>
      </c>
    </row>
    <row r="12662" spans="27:27">
      <c r="AA12662" s="158" t="s">
        <v>13024</v>
      </c>
    </row>
    <row r="12663" spans="27:27">
      <c r="AA12663" s="158" t="s">
        <v>13025</v>
      </c>
    </row>
    <row r="12664" spans="27:27">
      <c r="AA12664" s="158" t="s">
        <v>13026</v>
      </c>
    </row>
    <row r="12665" spans="27:27">
      <c r="AA12665" s="158" t="s">
        <v>13027</v>
      </c>
    </row>
    <row r="12666" spans="27:27">
      <c r="AA12666" s="158" t="s">
        <v>13028</v>
      </c>
    </row>
    <row r="12667" spans="27:27">
      <c r="AA12667" s="158" t="s">
        <v>13029</v>
      </c>
    </row>
    <row r="12668" spans="27:27">
      <c r="AA12668" s="158" t="s">
        <v>13030</v>
      </c>
    </row>
    <row r="12669" spans="27:27">
      <c r="AA12669" s="158" t="s">
        <v>13031</v>
      </c>
    </row>
    <row r="12670" spans="27:27">
      <c r="AA12670" s="158" t="s">
        <v>13032</v>
      </c>
    </row>
    <row r="12671" spans="27:27">
      <c r="AA12671" s="158" t="s">
        <v>13033</v>
      </c>
    </row>
    <row r="12672" spans="27:27">
      <c r="AA12672" s="158" t="s">
        <v>13034</v>
      </c>
    </row>
    <row r="12673" spans="27:27">
      <c r="AA12673" s="158" t="s">
        <v>13035</v>
      </c>
    </row>
    <row r="12674" spans="27:27">
      <c r="AA12674" s="158" t="s">
        <v>1226</v>
      </c>
    </row>
    <row r="12675" spans="27:27">
      <c r="AA12675" s="158" t="s">
        <v>1227</v>
      </c>
    </row>
    <row r="12676" spans="27:27">
      <c r="AA12676" s="158" t="s">
        <v>1228</v>
      </c>
    </row>
    <row r="12677" spans="27:27">
      <c r="AA12677" s="158" t="s">
        <v>1229</v>
      </c>
    </row>
    <row r="12678" spans="27:27">
      <c r="AA12678" s="158" t="s">
        <v>1230</v>
      </c>
    </row>
    <row r="12679" spans="27:27">
      <c r="AA12679" s="158" t="s">
        <v>1231</v>
      </c>
    </row>
    <row r="12680" spans="27:27">
      <c r="AA12680" s="158" t="s">
        <v>1232</v>
      </c>
    </row>
    <row r="12681" spans="27:27">
      <c r="AA12681" s="158" t="s">
        <v>1233</v>
      </c>
    </row>
    <row r="12682" spans="27:27">
      <c r="AA12682" s="158" t="s">
        <v>1234</v>
      </c>
    </row>
    <row r="12683" spans="27:27">
      <c r="AA12683" s="158" t="s">
        <v>3979</v>
      </c>
    </row>
    <row r="12684" spans="27:27">
      <c r="AA12684" s="158" t="s">
        <v>3210</v>
      </c>
    </row>
    <row r="12685" spans="27:27">
      <c r="AA12685" s="158" t="s">
        <v>3211</v>
      </c>
    </row>
    <row r="12686" spans="27:27">
      <c r="AA12686" s="158" t="s">
        <v>13036</v>
      </c>
    </row>
    <row r="12687" spans="27:27">
      <c r="AA12687" s="158" t="s">
        <v>3212</v>
      </c>
    </row>
    <row r="12688" spans="27:27">
      <c r="AA12688" s="158" t="s">
        <v>13037</v>
      </c>
    </row>
    <row r="12689" spans="27:27">
      <c r="AA12689" s="158" t="s">
        <v>13038</v>
      </c>
    </row>
    <row r="12690" spans="27:27">
      <c r="AA12690" s="158" t="s">
        <v>13039</v>
      </c>
    </row>
    <row r="12691" spans="27:27">
      <c r="AA12691" s="158" t="s">
        <v>13040</v>
      </c>
    </row>
    <row r="12692" spans="27:27">
      <c r="AA12692" s="158" t="s">
        <v>13041</v>
      </c>
    </row>
    <row r="12693" spans="27:27">
      <c r="AA12693" s="158" t="s">
        <v>13042</v>
      </c>
    </row>
    <row r="12694" spans="27:27">
      <c r="AA12694" s="158" t="s">
        <v>13043</v>
      </c>
    </row>
    <row r="12695" spans="27:27">
      <c r="AA12695" s="158" t="s">
        <v>13044</v>
      </c>
    </row>
    <row r="12696" spans="27:27">
      <c r="AA12696" s="158" t="s">
        <v>13045</v>
      </c>
    </row>
    <row r="12697" spans="27:27">
      <c r="AA12697" s="158" t="s">
        <v>13046</v>
      </c>
    </row>
    <row r="12698" spans="27:27">
      <c r="AA12698" s="158" t="s">
        <v>3213</v>
      </c>
    </row>
    <row r="12699" spans="27:27">
      <c r="AA12699" s="158" t="s">
        <v>3214</v>
      </c>
    </row>
    <row r="12700" spans="27:27">
      <c r="AA12700" s="158" t="s">
        <v>13047</v>
      </c>
    </row>
    <row r="12701" spans="27:27">
      <c r="AA12701" s="158" t="s">
        <v>13048</v>
      </c>
    </row>
    <row r="12702" spans="27:27">
      <c r="AA12702" s="158" t="s">
        <v>3215</v>
      </c>
    </row>
    <row r="12703" spans="27:27">
      <c r="AA12703" s="158" t="s">
        <v>13049</v>
      </c>
    </row>
    <row r="12704" spans="27:27">
      <c r="AA12704" s="158" t="s">
        <v>13050</v>
      </c>
    </row>
    <row r="12705" spans="27:27">
      <c r="AA12705" s="158" t="s">
        <v>13051</v>
      </c>
    </row>
    <row r="12706" spans="27:27">
      <c r="AA12706" s="158" t="s">
        <v>3216</v>
      </c>
    </row>
    <row r="12707" spans="27:27">
      <c r="AA12707" s="158" t="s">
        <v>13052</v>
      </c>
    </row>
    <row r="12708" spans="27:27">
      <c r="AA12708" s="158" t="s">
        <v>13053</v>
      </c>
    </row>
    <row r="12709" spans="27:27">
      <c r="AA12709" s="158" t="s">
        <v>13054</v>
      </c>
    </row>
    <row r="12710" spans="27:27">
      <c r="AA12710" s="158" t="s">
        <v>13055</v>
      </c>
    </row>
    <row r="12711" spans="27:27">
      <c r="AA12711" s="158" t="s">
        <v>3217</v>
      </c>
    </row>
    <row r="12712" spans="27:27">
      <c r="AA12712" s="158" t="s">
        <v>3980</v>
      </c>
    </row>
    <row r="12713" spans="27:27">
      <c r="AA12713" s="158" t="s">
        <v>3218</v>
      </c>
    </row>
    <row r="12714" spans="27:27">
      <c r="AA12714" s="158" t="s">
        <v>3219</v>
      </c>
    </row>
    <row r="12715" spans="27:27">
      <c r="AA12715" s="158" t="s">
        <v>3981</v>
      </c>
    </row>
    <row r="12716" spans="27:27">
      <c r="AA12716" s="158" t="s">
        <v>13056</v>
      </c>
    </row>
    <row r="12717" spans="27:27">
      <c r="AA12717" s="158" t="s">
        <v>13057</v>
      </c>
    </row>
    <row r="12718" spans="27:27">
      <c r="AA12718" s="158" t="s">
        <v>3220</v>
      </c>
    </row>
    <row r="12719" spans="27:27">
      <c r="AA12719" s="158" t="s">
        <v>13058</v>
      </c>
    </row>
    <row r="12720" spans="27:27">
      <c r="AA12720" s="158" t="s">
        <v>13059</v>
      </c>
    </row>
    <row r="12721" spans="27:27">
      <c r="AA12721" s="158" t="s">
        <v>3982</v>
      </c>
    </row>
    <row r="12722" spans="27:27">
      <c r="AA12722" s="158" t="s">
        <v>3221</v>
      </c>
    </row>
    <row r="12723" spans="27:27">
      <c r="AA12723" s="158" t="s">
        <v>3983</v>
      </c>
    </row>
    <row r="12724" spans="27:27">
      <c r="AA12724" s="158" t="s">
        <v>13060</v>
      </c>
    </row>
    <row r="12725" spans="27:27">
      <c r="AA12725" s="158" t="s">
        <v>13061</v>
      </c>
    </row>
    <row r="12726" spans="27:27">
      <c r="AA12726" s="158" t="s">
        <v>13062</v>
      </c>
    </row>
    <row r="12727" spans="27:27">
      <c r="AA12727" s="158" t="s">
        <v>3222</v>
      </c>
    </row>
    <row r="12728" spans="27:27">
      <c r="AA12728" s="158" t="s">
        <v>3984</v>
      </c>
    </row>
    <row r="12729" spans="27:27">
      <c r="AA12729" s="158" t="s">
        <v>13063</v>
      </c>
    </row>
    <row r="12730" spans="27:27">
      <c r="AA12730" s="158" t="s">
        <v>13064</v>
      </c>
    </row>
    <row r="12731" spans="27:27">
      <c r="AA12731" s="158" t="s">
        <v>13065</v>
      </c>
    </row>
    <row r="12732" spans="27:27">
      <c r="AA12732" s="158" t="s">
        <v>3223</v>
      </c>
    </row>
    <row r="12733" spans="27:27">
      <c r="AA12733" s="158" t="s">
        <v>3224</v>
      </c>
    </row>
    <row r="12734" spans="27:27">
      <c r="AA12734" s="158" t="s">
        <v>3225</v>
      </c>
    </row>
    <row r="12735" spans="27:27">
      <c r="AA12735" s="158" t="s">
        <v>3985</v>
      </c>
    </row>
    <row r="12736" spans="27:27">
      <c r="AA12736" s="158" t="s">
        <v>13066</v>
      </c>
    </row>
    <row r="12737" spans="27:27">
      <c r="AA12737" s="158" t="s">
        <v>13067</v>
      </c>
    </row>
    <row r="12738" spans="27:27">
      <c r="AA12738" s="158" t="s">
        <v>13068</v>
      </c>
    </row>
    <row r="12739" spans="27:27">
      <c r="AA12739" s="158" t="s">
        <v>13069</v>
      </c>
    </row>
    <row r="12740" spans="27:27">
      <c r="AA12740" s="158" t="s">
        <v>13070</v>
      </c>
    </row>
    <row r="12741" spans="27:27">
      <c r="AA12741" s="158" t="s">
        <v>13071</v>
      </c>
    </row>
    <row r="12742" spans="27:27">
      <c r="AA12742" s="158" t="s">
        <v>13072</v>
      </c>
    </row>
    <row r="12743" spans="27:27">
      <c r="AA12743" s="158" t="s">
        <v>3226</v>
      </c>
    </row>
    <row r="12744" spans="27:27">
      <c r="AA12744" s="158" t="s">
        <v>3227</v>
      </c>
    </row>
    <row r="12745" spans="27:27">
      <c r="AA12745" s="158" t="s">
        <v>3228</v>
      </c>
    </row>
    <row r="12746" spans="27:27">
      <c r="AA12746" s="158" t="s">
        <v>3986</v>
      </c>
    </row>
    <row r="12747" spans="27:27">
      <c r="AA12747" s="158" t="s">
        <v>13073</v>
      </c>
    </row>
    <row r="12748" spans="27:27">
      <c r="AA12748" s="158" t="s">
        <v>13074</v>
      </c>
    </row>
    <row r="12749" spans="27:27">
      <c r="AA12749" s="158" t="s">
        <v>13075</v>
      </c>
    </row>
    <row r="12750" spans="27:27">
      <c r="AA12750" s="158" t="s">
        <v>13076</v>
      </c>
    </row>
    <row r="12751" spans="27:27">
      <c r="AA12751" s="158" t="s">
        <v>13077</v>
      </c>
    </row>
    <row r="12752" spans="27:27">
      <c r="AA12752" s="158" t="s">
        <v>13078</v>
      </c>
    </row>
    <row r="12753" spans="27:27">
      <c r="AA12753" s="158" t="s">
        <v>13079</v>
      </c>
    </row>
    <row r="12754" spans="27:27">
      <c r="AA12754" s="158" t="s">
        <v>13080</v>
      </c>
    </row>
    <row r="12755" spans="27:27">
      <c r="AA12755" s="158" t="s">
        <v>13081</v>
      </c>
    </row>
    <row r="12756" spans="27:27">
      <c r="AA12756" s="158" t="s">
        <v>3987</v>
      </c>
    </row>
    <row r="12757" spans="27:27">
      <c r="AA12757" s="158" t="s">
        <v>13082</v>
      </c>
    </row>
    <row r="12758" spans="27:27">
      <c r="AA12758" s="158" t="s">
        <v>13083</v>
      </c>
    </row>
    <row r="12759" spans="27:27">
      <c r="AA12759" s="158" t="s">
        <v>13084</v>
      </c>
    </row>
    <row r="12760" spans="27:27">
      <c r="AA12760" s="158" t="s">
        <v>13085</v>
      </c>
    </row>
    <row r="12761" spans="27:27">
      <c r="AA12761" s="158" t="s">
        <v>13086</v>
      </c>
    </row>
    <row r="12762" spans="27:27">
      <c r="AA12762" s="158" t="s">
        <v>13087</v>
      </c>
    </row>
    <row r="12763" spans="27:27">
      <c r="AA12763" s="158" t="s">
        <v>3229</v>
      </c>
    </row>
    <row r="12764" spans="27:27">
      <c r="AA12764" s="158" t="s">
        <v>3230</v>
      </c>
    </row>
    <row r="12765" spans="27:27">
      <c r="AA12765" s="158" t="s">
        <v>13088</v>
      </c>
    </row>
    <row r="12766" spans="27:27">
      <c r="AA12766" s="158" t="s">
        <v>3231</v>
      </c>
    </row>
    <row r="12767" spans="27:27">
      <c r="AA12767" s="158" t="s">
        <v>3232</v>
      </c>
    </row>
    <row r="12768" spans="27:27">
      <c r="AA12768" s="158" t="s">
        <v>3233</v>
      </c>
    </row>
    <row r="12769" spans="27:27">
      <c r="AA12769" s="158" t="s">
        <v>3988</v>
      </c>
    </row>
    <row r="12770" spans="27:27">
      <c r="AA12770" s="158" t="s">
        <v>13089</v>
      </c>
    </row>
    <row r="12771" spans="27:27">
      <c r="AA12771" s="158" t="s">
        <v>3234</v>
      </c>
    </row>
    <row r="12772" spans="27:27">
      <c r="AA12772" s="158" t="s">
        <v>13090</v>
      </c>
    </row>
    <row r="12773" spans="27:27">
      <c r="AA12773" s="158" t="s">
        <v>13091</v>
      </c>
    </row>
    <row r="12774" spans="27:27">
      <c r="AA12774" s="158" t="s">
        <v>13092</v>
      </c>
    </row>
    <row r="12775" spans="27:27">
      <c r="AA12775" s="158" t="s">
        <v>13093</v>
      </c>
    </row>
    <row r="12776" spans="27:27">
      <c r="AA12776" s="158" t="s">
        <v>13094</v>
      </c>
    </row>
    <row r="12777" spans="27:27">
      <c r="AA12777" s="158" t="s">
        <v>13095</v>
      </c>
    </row>
    <row r="12778" spans="27:27">
      <c r="AA12778" s="158" t="s">
        <v>3235</v>
      </c>
    </row>
    <row r="12779" spans="27:27">
      <c r="AA12779" s="158" t="s">
        <v>3989</v>
      </c>
    </row>
    <row r="12780" spans="27:27">
      <c r="AA12780" s="158" t="s">
        <v>13096</v>
      </c>
    </row>
    <row r="12781" spans="27:27">
      <c r="AA12781" s="158" t="s">
        <v>13097</v>
      </c>
    </row>
    <row r="12782" spans="27:27">
      <c r="AA12782" s="158" t="s">
        <v>13098</v>
      </c>
    </row>
    <row r="12783" spans="27:27">
      <c r="AA12783" s="158" t="s">
        <v>3990</v>
      </c>
    </row>
    <row r="12784" spans="27:27">
      <c r="AA12784" s="158" t="s">
        <v>13099</v>
      </c>
    </row>
    <row r="12785" spans="27:27">
      <c r="AA12785" s="158" t="s">
        <v>13100</v>
      </c>
    </row>
    <row r="12786" spans="27:27">
      <c r="AA12786" s="158" t="s">
        <v>3236</v>
      </c>
    </row>
    <row r="12787" spans="27:27">
      <c r="AA12787" s="158" t="s">
        <v>3991</v>
      </c>
    </row>
    <row r="12788" spans="27:27">
      <c r="AA12788" s="158" t="s">
        <v>13101</v>
      </c>
    </row>
    <row r="12789" spans="27:27">
      <c r="AA12789" s="158" t="s">
        <v>13102</v>
      </c>
    </row>
    <row r="12790" spans="27:27">
      <c r="AA12790" s="158" t="s">
        <v>13103</v>
      </c>
    </row>
    <row r="12791" spans="27:27">
      <c r="AA12791" s="158" t="s">
        <v>3237</v>
      </c>
    </row>
    <row r="12792" spans="27:27">
      <c r="AA12792" s="158" t="s">
        <v>13104</v>
      </c>
    </row>
    <row r="12793" spans="27:27">
      <c r="AA12793" s="158" t="s">
        <v>13105</v>
      </c>
    </row>
    <row r="12794" spans="27:27">
      <c r="AA12794" s="158" t="s">
        <v>13106</v>
      </c>
    </row>
    <row r="12795" spans="27:27">
      <c r="AA12795" s="158" t="s">
        <v>3238</v>
      </c>
    </row>
    <row r="12796" spans="27:27">
      <c r="AA12796" s="158" t="s">
        <v>13107</v>
      </c>
    </row>
    <row r="12797" spans="27:27">
      <c r="AA12797" s="158" t="s">
        <v>13108</v>
      </c>
    </row>
    <row r="12798" spans="27:27">
      <c r="AA12798" s="158" t="s">
        <v>3992</v>
      </c>
    </row>
    <row r="12799" spans="27:27">
      <c r="AA12799" s="158" t="s">
        <v>3239</v>
      </c>
    </row>
    <row r="12800" spans="27:27">
      <c r="AA12800" s="158" t="s">
        <v>3993</v>
      </c>
    </row>
    <row r="12801" spans="27:27">
      <c r="AA12801" s="158" t="s">
        <v>13109</v>
      </c>
    </row>
    <row r="12802" spans="27:27">
      <c r="AA12802" s="158" t="s">
        <v>3994</v>
      </c>
    </row>
    <row r="12803" spans="27:27">
      <c r="AA12803" s="158" t="s">
        <v>13110</v>
      </c>
    </row>
    <row r="12804" spans="27:27">
      <c r="AA12804" s="158" t="s">
        <v>13111</v>
      </c>
    </row>
    <row r="12805" spans="27:27">
      <c r="AA12805" s="158" t="s">
        <v>13112</v>
      </c>
    </row>
    <row r="12806" spans="27:27">
      <c r="AA12806" s="158" t="s">
        <v>3240</v>
      </c>
    </row>
    <row r="12807" spans="27:27">
      <c r="AA12807" s="158" t="s">
        <v>13113</v>
      </c>
    </row>
    <row r="12808" spans="27:27">
      <c r="AA12808" s="158" t="s">
        <v>3241</v>
      </c>
    </row>
    <row r="12809" spans="27:27">
      <c r="AA12809" s="158" t="s">
        <v>13114</v>
      </c>
    </row>
    <row r="12810" spans="27:27">
      <c r="AA12810" s="158" t="s">
        <v>3242</v>
      </c>
    </row>
    <row r="12811" spans="27:27">
      <c r="AA12811" s="158" t="s">
        <v>3243</v>
      </c>
    </row>
    <row r="12812" spans="27:27">
      <c r="AA12812" s="158" t="s">
        <v>13115</v>
      </c>
    </row>
    <row r="12813" spans="27:27">
      <c r="AA12813" s="158" t="s">
        <v>3244</v>
      </c>
    </row>
    <row r="12814" spans="27:27">
      <c r="AA12814" s="158" t="s">
        <v>13116</v>
      </c>
    </row>
    <row r="12815" spans="27:27">
      <c r="AA12815" s="158" t="s">
        <v>13117</v>
      </c>
    </row>
    <row r="12816" spans="27:27">
      <c r="AA12816" s="158" t="s">
        <v>13118</v>
      </c>
    </row>
    <row r="12817" spans="27:27">
      <c r="AA12817" s="158" t="s">
        <v>13119</v>
      </c>
    </row>
    <row r="12818" spans="27:27">
      <c r="AA12818" s="158" t="s">
        <v>13120</v>
      </c>
    </row>
    <row r="12819" spans="27:27">
      <c r="AA12819" s="158" t="s">
        <v>3245</v>
      </c>
    </row>
    <row r="12820" spans="27:27">
      <c r="AA12820" s="158" t="s">
        <v>3995</v>
      </c>
    </row>
    <row r="12821" spans="27:27">
      <c r="AA12821" s="158" t="s">
        <v>3246</v>
      </c>
    </row>
    <row r="12822" spans="27:27">
      <c r="AA12822" s="158" t="s">
        <v>13121</v>
      </c>
    </row>
    <row r="12823" spans="27:27">
      <c r="AA12823" s="158" t="s">
        <v>3996</v>
      </c>
    </row>
    <row r="12824" spans="27:27">
      <c r="AA12824" s="158" t="s">
        <v>13122</v>
      </c>
    </row>
    <row r="12825" spans="27:27">
      <c r="AA12825" s="158" t="s">
        <v>13123</v>
      </c>
    </row>
    <row r="12826" spans="27:27">
      <c r="AA12826" s="158" t="s">
        <v>13124</v>
      </c>
    </row>
    <row r="12827" spans="27:27">
      <c r="AA12827" s="158" t="s">
        <v>13125</v>
      </c>
    </row>
    <row r="12828" spans="27:27">
      <c r="AA12828" s="158" t="s">
        <v>13126</v>
      </c>
    </row>
    <row r="12829" spans="27:27">
      <c r="AA12829" s="158" t="s">
        <v>3997</v>
      </c>
    </row>
    <row r="12830" spans="27:27">
      <c r="AA12830" s="158" t="s">
        <v>13127</v>
      </c>
    </row>
    <row r="12831" spans="27:27">
      <c r="AA12831" s="158" t="s">
        <v>13128</v>
      </c>
    </row>
    <row r="12832" spans="27:27">
      <c r="AA12832" s="158" t="s">
        <v>13129</v>
      </c>
    </row>
    <row r="12833" spans="27:27">
      <c r="AA12833" s="158" t="s">
        <v>13130</v>
      </c>
    </row>
    <row r="12834" spans="27:27">
      <c r="AA12834" s="158" t="s">
        <v>13131</v>
      </c>
    </row>
    <row r="12835" spans="27:27">
      <c r="AA12835" s="158" t="s">
        <v>3998</v>
      </c>
    </row>
    <row r="12836" spans="27:27">
      <c r="AA12836" s="158" t="s">
        <v>13132</v>
      </c>
    </row>
    <row r="12837" spans="27:27">
      <c r="AA12837" s="158" t="s">
        <v>13133</v>
      </c>
    </row>
    <row r="12838" spans="27:27">
      <c r="AA12838" s="158" t="s">
        <v>13134</v>
      </c>
    </row>
    <row r="12839" spans="27:27">
      <c r="AA12839" s="158" t="s">
        <v>13135</v>
      </c>
    </row>
    <row r="12840" spans="27:27">
      <c r="AA12840" s="158" t="s">
        <v>13136</v>
      </c>
    </row>
    <row r="12841" spans="27:27">
      <c r="AA12841" s="158" t="s">
        <v>3999</v>
      </c>
    </row>
    <row r="12842" spans="27:27">
      <c r="AA12842" s="158" t="s">
        <v>13137</v>
      </c>
    </row>
    <row r="12843" spans="27:27">
      <c r="AA12843" s="158" t="s">
        <v>13138</v>
      </c>
    </row>
    <row r="12844" spans="27:27">
      <c r="AA12844" s="158" t="s">
        <v>13139</v>
      </c>
    </row>
    <row r="12845" spans="27:27">
      <c r="AA12845" s="158" t="s">
        <v>13140</v>
      </c>
    </row>
    <row r="12846" spans="27:27">
      <c r="AA12846" s="158" t="s">
        <v>13141</v>
      </c>
    </row>
    <row r="12847" spans="27:27">
      <c r="AA12847" s="158" t="s">
        <v>4000</v>
      </c>
    </row>
    <row r="12848" spans="27:27">
      <c r="AA12848" s="158" t="s">
        <v>13142</v>
      </c>
    </row>
    <row r="12849" spans="27:27">
      <c r="AA12849" s="158" t="s">
        <v>13143</v>
      </c>
    </row>
    <row r="12850" spans="27:27">
      <c r="AA12850" s="158" t="s">
        <v>13144</v>
      </c>
    </row>
    <row r="12851" spans="27:27">
      <c r="AA12851" s="158" t="s">
        <v>13145</v>
      </c>
    </row>
    <row r="12852" spans="27:27">
      <c r="AA12852" s="158" t="s">
        <v>3247</v>
      </c>
    </row>
    <row r="12853" spans="27:27">
      <c r="AA12853" s="158" t="s">
        <v>13146</v>
      </c>
    </row>
    <row r="12854" spans="27:27">
      <c r="AA12854" s="158" t="s">
        <v>3248</v>
      </c>
    </row>
    <row r="12855" spans="27:27">
      <c r="AA12855" s="158" t="s">
        <v>13147</v>
      </c>
    </row>
    <row r="12856" spans="27:27">
      <c r="AA12856" s="158" t="s">
        <v>13148</v>
      </c>
    </row>
    <row r="12857" spans="27:27">
      <c r="AA12857" s="158" t="s">
        <v>13149</v>
      </c>
    </row>
    <row r="12858" spans="27:27">
      <c r="AA12858" s="158" t="s">
        <v>13150</v>
      </c>
    </row>
    <row r="12859" spans="27:27">
      <c r="AA12859" s="158" t="s">
        <v>3249</v>
      </c>
    </row>
    <row r="12860" spans="27:27">
      <c r="AA12860" s="158" t="s">
        <v>13151</v>
      </c>
    </row>
    <row r="12861" spans="27:27">
      <c r="AA12861" s="158" t="s">
        <v>13152</v>
      </c>
    </row>
    <row r="12862" spans="27:27">
      <c r="AA12862" s="158" t="s">
        <v>13153</v>
      </c>
    </row>
    <row r="12863" spans="27:27">
      <c r="AA12863" s="158" t="s">
        <v>13154</v>
      </c>
    </row>
    <row r="12864" spans="27:27">
      <c r="AA12864" s="158" t="s">
        <v>3250</v>
      </c>
    </row>
    <row r="12865" spans="27:27">
      <c r="AA12865" s="158" t="s">
        <v>13155</v>
      </c>
    </row>
    <row r="12866" spans="27:27">
      <c r="AA12866" s="158" t="s">
        <v>13156</v>
      </c>
    </row>
    <row r="12867" spans="27:27">
      <c r="AA12867" s="158" t="s">
        <v>13157</v>
      </c>
    </row>
    <row r="12868" spans="27:27">
      <c r="AA12868" s="158" t="s">
        <v>13158</v>
      </c>
    </row>
    <row r="12869" spans="27:27">
      <c r="AA12869" s="158" t="s">
        <v>3251</v>
      </c>
    </row>
    <row r="12870" spans="27:27">
      <c r="AA12870" s="158" t="s">
        <v>13159</v>
      </c>
    </row>
    <row r="12871" spans="27:27">
      <c r="AA12871" s="158" t="s">
        <v>13160</v>
      </c>
    </row>
    <row r="12872" spans="27:27">
      <c r="AA12872" s="158" t="s">
        <v>13161</v>
      </c>
    </row>
    <row r="12873" spans="27:27">
      <c r="AA12873" s="158" t="s">
        <v>13162</v>
      </c>
    </row>
    <row r="12874" spans="27:27">
      <c r="AA12874" s="158" t="s">
        <v>3252</v>
      </c>
    </row>
    <row r="12875" spans="27:27">
      <c r="AA12875" s="158" t="s">
        <v>13163</v>
      </c>
    </row>
    <row r="12876" spans="27:27">
      <c r="AA12876" s="158" t="s">
        <v>13164</v>
      </c>
    </row>
    <row r="12877" spans="27:27">
      <c r="AA12877" s="158" t="s">
        <v>13165</v>
      </c>
    </row>
    <row r="12878" spans="27:27">
      <c r="AA12878" s="158" t="s">
        <v>13166</v>
      </c>
    </row>
    <row r="12879" spans="27:27">
      <c r="AA12879" s="158" t="s">
        <v>3253</v>
      </c>
    </row>
    <row r="12880" spans="27:27">
      <c r="AA12880" s="158" t="s">
        <v>13167</v>
      </c>
    </row>
    <row r="12881" spans="27:27">
      <c r="AA12881" s="158" t="s">
        <v>4001</v>
      </c>
    </row>
    <row r="12882" spans="27:27">
      <c r="AA12882" s="158" t="s">
        <v>13168</v>
      </c>
    </row>
    <row r="12883" spans="27:27">
      <c r="AA12883" s="158" t="s">
        <v>13169</v>
      </c>
    </row>
    <row r="12884" spans="27:27">
      <c r="AA12884" s="158" t="s">
        <v>3254</v>
      </c>
    </row>
    <row r="12885" spans="27:27">
      <c r="AA12885" s="158" t="s">
        <v>3255</v>
      </c>
    </row>
    <row r="12886" spans="27:27">
      <c r="AA12886" s="158" t="s">
        <v>3256</v>
      </c>
    </row>
    <row r="12887" spans="27:27">
      <c r="AA12887" s="158" t="s">
        <v>4002</v>
      </c>
    </row>
    <row r="12888" spans="27:27">
      <c r="AA12888" s="158" t="s">
        <v>13170</v>
      </c>
    </row>
    <row r="12889" spans="27:27">
      <c r="AA12889" s="158" t="s">
        <v>13171</v>
      </c>
    </row>
    <row r="12890" spans="27:27">
      <c r="AA12890" s="158" t="s">
        <v>13172</v>
      </c>
    </row>
    <row r="12891" spans="27:27">
      <c r="AA12891" s="158" t="s">
        <v>13173</v>
      </c>
    </row>
    <row r="12892" spans="27:27">
      <c r="AA12892" s="158" t="s">
        <v>4003</v>
      </c>
    </row>
    <row r="12893" spans="27:27">
      <c r="AA12893" s="158" t="s">
        <v>3257</v>
      </c>
    </row>
    <row r="12894" spans="27:27">
      <c r="AA12894" s="158" t="s">
        <v>4004</v>
      </c>
    </row>
    <row r="12895" spans="27:27">
      <c r="AA12895" s="158" t="s">
        <v>13174</v>
      </c>
    </row>
    <row r="12896" spans="27:27">
      <c r="AA12896" s="158" t="s">
        <v>13175</v>
      </c>
    </row>
    <row r="12897" spans="27:27">
      <c r="AA12897" s="158" t="s">
        <v>13176</v>
      </c>
    </row>
    <row r="12898" spans="27:27">
      <c r="AA12898" s="158" t="s">
        <v>4005</v>
      </c>
    </row>
    <row r="12899" spans="27:27">
      <c r="AA12899" s="158" t="s">
        <v>3258</v>
      </c>
    </row>
    <row r="12900" spans="27:27">
      <c r="AA12900" s="158" t="s">
        <v>4006</v>
      </c>
    </row>
    <row r="12901" spans="27:27">
      <c r="AA12901" s="158" t="s">
        <v>13177</v>
      </c>
    </row>
    <row r="12902" spans="27:27">
      <c r="AA12902" s="158" t="s">
        <v>13178</v>
      </c>
    </row>
    <row r="12903" spans="27:27">
      <c r="AA12903" s="158" t="s">
        <v>13179</v>
      </c>
    </row>
    <row r="12904" spans="27:27">
      <c r="AA12904" s="158" t="s">
        <v>13180</v>
      </c>
    </row>
    <row r="12905" spans="27:27">
      <c r="AA12905" s="158" t="s">
        <v>13181</v>
      </c>
    </row>
    <row r="12906" spans="27:27">
      <c r="AA12906" s="158" t="s">
        <v>13182</v>
      </c>
    </row>
    <row r="12907" spans="27:27">
      <c r="AA12907" s="158" t="s">
        <v>13183</v>
      </c>
    </row>
    <row r="12908" spans="27:27">
      <c r="AA12908" s="158" t="s">
        <v>13184</v>
      </c>
    </row>
    <row r="12909" spans="27:27">
      <c r="AA12909" s="158" t="s">
        <v>3259</v>
      </c>
    </row>
    <row r="12910" spans="27:27">
      <c r="AA12910" s="158" t="s">
        <v>4007</v>
      </c>
    </row>
    <row r="12911" spans="27:27">
      <c r="AA12911" s="158" t="s">
        <v>13185</v>
      </c>
    </row>
    <row r="12912" spans="27:27">
      <c r="AA12912" s="158" t="s">
        <v>13186</v>
      </c>
    </row>
    <row r="12913" spans="27:27">
      <c r="AA12913" s="158" t="s">
        <v>13187</v>
      </c>
    </row>
    <row r="12914" spans="27:27">
      <c r="AA12914" s="158" t="s">
        <v>13188</v>
      </c>
    </row>
    <row r="12915" spans="27:27">
      <c r="AA12915" s="158" t="s">
        <v>13189</v>
      </c>
    </row>
    <row r="12916" spans="27:27">
      <c r="AA12916" s="158" t="s">
        <v>13190</v>
      </c>
    </row>
    <row r="12917" spans="27:27">
      <c r="AA12917" s="158" t="s">
        <v>13191</v>
      </c>
    </row>
    <row r="12918" spans="27:27">
      <c r="AA12918" s="158" t="s">
        <v>13192</v>
      </c>
    </row>
    <row r="12919" spans="27:27">
      <c r="AA12919" s="158" t="s">
        <v>13193</v>
      </c>
    </row>
    <row r="12920" spans="27:27">
      <c r="AA12920" s="158" t="s">
        <v>3260</v>
      </c>
    </row>
    <row r="12921" spans="27:27">
      <c r="AA12921" s="158" t="s">
        <v>4008</v>
      </c>
    </row>
    <row r="12922" spans="27:27">
      <c r="AA12922" s="158" t="s">
        <v>13194</v>
      </c>
    </row>
    <row r="12923" spans="27:27">
      <c r="AA12923" s="158" t="s">
        <v>13195</v>
      </c>
    </row>
    <row r="12924" spans="27:27">
      <c r="AA12924" s="158" t="s">
        <v>13196</v>
      </c>
    </row>
    <row r="12925" spans="27:27">
      <c r="AA12925" s="158" t="s">
        <v>4009</v>
      </c>
    </row>
    <row r="12926" spans="27:27">
      <c r="AA12926" s="158" t="s">
        <v>3261</v>
      </c>
    </row>
    <row r="12927" spans="27:27">
      <c r="AA12927" s="158" t="s">
        <v>4010</v>
      </c>
    </row>
    <row r="12928" spans="27:27">
      <c r="AA12928" s="158" t="s">
        <v>13197</v>
      </c>
    </row>
    <row r="12929" spans="27:27">
      <c r="AA12929" s="158" t="s">
        <v>13198</v>
      </c>
    </row>
    <row r="12930" spans="27:27">
      <c r="AA12930" s="158" t="s">
        <v>13199</v>
      </c>
    </row>
    <row r="12931" spans="27:27">
      <c r="AA12931" s="158" t="s">
        <v>13200</v>
      </c>
    </row>
    <row r="12932" spans="27:27">
      <c r="AA12932" s="158" t="s">
        <v>13201</v>
      </c>
    </row>
    <row r="12933" spans="27:27">
      <c r="AA12933" s="158" t="s">
        <v>13202</v>
      </c>
    </row>
    <row r="12934" spans="27:27">
      <c r="AA12934" s="158" t="s">
        <v>13203</v>
      </c>
    </row>
    <row r="12935" spans="27:27">
      <c r="AA12935" s="158" t="s">
        <v>13204</v>
      </c>
    </row>
    <row r="12936" spans="27:27">
      <c r="AA12936" s="158" t="s">
        <v>13205</v>
      </c>
    </row>
    <row r="12937" spans="27:27">
      <c r="AA12937" s="158" t="s">
        <v>3262</v>
      </c>
    </row>
    <row r="12938" spans="27:27">
      <c r="AA12938" s="158" t="s">
        <v>4011</v>
      </c>
    </row>
    <row r="12939" spans="27:27">
      <c r="AA12939" s="158" t="s">
        <v>13206</v>
      </c>
    </row>
    <row r="12940" spans="27:27">
      <c r="AA12940" s="158" t="s">
        <v>13207</v>
      </c>
    </row>
    <row r="12941" spans="27:27">
      <c r="AA12941" s="158" t="s">
        <v>13208</v>
      </c>
    </row>
    <row r="12942" spans="27:27">
      <c r="AA12942" s="158" t="s">
        <v>13209</v>
      </c>
    </row>
    <row r="12943" spans="27:27">
      <c r="AA12943" s="158" t="s">
        <v>13210</v>
      </c>
    </row>
    <row r="12944" spans="27:27">
      <c r="AA12944" s="158" t="s">
        <v>13211</v>
      </c>
    </row>
    <row r="12945" spans="27:27">
      <c r="AA12945" s="158" t="s">
        <v>13212</v>
      </c>
    </row>
    <row r="12946" spans="27:27">
      <c r="AA12946" s="158" t="s">
        <v>13213</v>
      </c>
    </row>
    <row r="12947" spans="27:27">
      <c r="AA12947" s="158" t="s">
        <v>13214</v>
      </c>
    </row>
    <row r="12948" spans="27:27">
      <c r="AA12948" s="158" t="s">
        <v>3263</v>
      </c>
    </row>
    <row r="12949" spans="27:27">
      <c r="AA12949" s="158" t="s">
        <v>4012</v>
      </c>
    </row>
    <row r="12950" spans="27:27">
      <c r="AA12950" s="158" t="s">
        <v>13215</v>
      </c>
    </row>
    <row r="12951" spans="27:27">
      <c r="AA12951" s="158" t="s">
        <v>13216</v>
      </c>
    </row>
    <row r="12952" spans="27:27">
      <c r="AA12952" s="158" t="s">
        <v>13217</v>
      </c>
    </row>
    <row r="12953" spans="27:27">
      <c r="AA12953" s="158" t="s">
        <v>13218</v>
      </c>
    </row>
    <row r="12954" spans="27:27">
      <c r="AA12954" s="158" t="s">
        <v>3264</v>
      </c>
    </row>
    <row r="12955" spans="27:27">
      <c r="AA12955" s="158" t="s">
        <v>13219</v>
      </c>
    </row>
    <row r="12956" spans="27:27">
      <c r="AA12956" s="158" t="s">
        <v>13220</v>
      </c>
    </row>
    <row r="12957" spans="27:27">
      <c r="AA12957" s="158" t="s">
        <v>13221</v>
      </c>
    </row>
    <row r="12958" spans="27:27">
      <c r="AA12958" s="158" t="s">
        <v>3265</v>
      </c>
    </row>
    <row r="12959" spans="27:27">
      <c r="AA12959" s="158" t="s">
        <v>13222</v>
      </c>
    </row>
    <row r="12960" spans="27:27">
      <c r="AA12960" s="158" t="s">
        <v>13223</v>
      </c>
    </row>
    <row r="12961" spans="27:27">
      <c r="AA12961" s="158" t="s">
        <v>4013</v>
      </c>
    </row>
    <row r="12962" spans="27:27">
      <c r="AA12962" s="158" t="s">
        <v>3266</v>
      </c>
    </row>
    <row r="12963" spans="27:27">
      <c r="AA12963" s="158" t="s">
        <v>4014</v>
      </c>
    </row>
    <row r="12964" spans="27:27">
      <c r="AA12964" s="158" t="s">
        <v>13224</v>
      </c>
    </row>
    <row r="12965" spans="27:27">
      <c r="AA12965" s="158" t="s">
        <v>4015</v>
      </c>
    </row>
    <row r="12966" spans="27:27">
      <c r="AA12966" s="158" t="s">
        <v>3267</v>
      </c>
    </row>
    <row r="12967" spans="27:27">
      <c r="AA12967" s="158" t="s">
        <v>13225</v>
      </c>
    </row>
    <row r="12968" spans="27:27">
      <c r="AA12968" s="158" t="s">
        <v>13226</v>
      </c>
    </row>
    <row r="12969" spans="27:27">
      <c r="AA12969" s="158" t="s">
        <v>13227</v>
      </c>
    </row>
    <row r="12970" spans="27:27">
      <c r="AA12970" s="158" t="s">
        <v>3268</v>
      </c>
    </row>
    <row r="12971" spans="27:27">
      <c r="AA12971" s="158" t="s">
        <v>3269</v>
      </c>
    </row>
    <row r="12972" spans="27:27">
      <c r="AA12972" s="158" t="s">
        <v>4016</v>
      </c>
    </row>
    <row r="12973" spans="27:27">
      <c r="AA12973" s="158" t="s">
        <v>13228</v>
      </c>
    </row>
    <row r="12974" spans="27:27">
      <c r="AA12974" s="158" t="s">
        <v>13229</v>
      </c>
    </row>
    <row r="12975" spans="27:27">
      <c r="AA12975" s="158" t="s">
        <v>13230</v>
      </c>
    </row>
    <row r="12976" spans="27:27">
      <c r="AA12976" s="158" t="s">
        <v>13231</v>
      </c>
    </row>
    <row r="12977" spans="27:27">
      <c r="AA12977" s="158" t="s">
        <v>13232</v>
      </c>
    </row>
    <row r="12978" spans="27:27">
      <c r="AA12978" s="158" t="s">
        <v>13233</v>
      </c>
    </row>
    <row r="12979" spans="27:27">
      <c r="AA12979" s="158" t="s">
        <v>3270</v>
      </c>
    </row>
    <row r="12980" spans="27:27">
      <c r="AA12980" s="158" t="s">
        <v>13234</v>
      </c>
    </row>
    <row r="12981" spans="27:27">
      <c r="AA12981" s="158" t="s">
        <v>3271</v>
      </c>
    </row>
    <row r="12982" spans="27:27">
      <c r="AA12982" s="158" t="s">
        <v>13235</v>
      </c>
    </row>
    <row r="12983" spans="27:27">
      <c r="AA12983" s="158" t="s">
        <v>3272</v>
      </c>
    </row>
    <row r="12984" spans="27:27">
      <c r="AA12984" s="158" t="s">
        <v>13236</v>
      </c>
    </row>
    <row r="12985" spans="27:27">
      <c r="AA12985" s="158" t="s">
        <v>3273</v>
      </c>
    </row>
    <row r="12986" spans="27:27">
      <c r="AA12986" s="158" t="s">
        <v>3274</v>
      </c>
    </row>
    <row r="12987" spans="27:27">
      <c r="AA12987" s="158" t="s">
        <v>13237</v>
      </c>
    </row>
    <row r="12988" spans="27:27">
      <c r="AA12988" s="158" t="s">
        <v>3275</v>
      </c>
    </row>
    <row r="12989" spans="27:27">
      <c r="AA12989" s="158" t="s">
        <v>4017</v>
      </c>
    </row>
    <row r="12990" spans="27:27">
      <c r="AA12990" s="158" t="s">
        <v>3276</v>
      </c>
    </row>
    <row r="12991" spans="27:27">
      <c r="AA12991" s="158" t="s">
        <v>13238</v>
      </c>
    </row>
    <row r="12992" spans="27:27">
      <c r="AA12992" s="158" t="s">
        <v>13239</v>
      </c>
    </row>
    <row r="12993" spans="27:27">
      <c r="AA12993" s="158" t="s">
        <v>13240</v>
      </c>
    </row>
    <row r="12994" spans="27:27">
      <c r="AA12994" s="158" t="s">
        <v>13241</v>
      </c>
    </row>
    <row r="12995" spans="27:27">
      <c r="AA12995" s="158" t="s">
        <v>13242</v>
      </c>
    </row>
    <row r="12996" spans="27:27">
      <c r="AA12996" s="158" t="s">
        <v>13243</v>
      </c>
    </row>
    <row r="12997" spans="27:27">
      <c r="AA12997" s="158" t="s">
        <v>13244</v>
      </c>
    </row>
    <row r="12998" spans="27:27">
      <c r="AA12998" s="158" t="s">
        <v>13245</v>
      </c>
    </row>
    <row r="12999" spans="27:27">
      <c r="AA12999" s="158" t="s">
        <v>13246</v>
      </c>
    </row>
    <row r="13000" spans="27:27">
      <c r="AA13000" s="158" t="s">
        <v>13247</v>
      </c>
    </row>
    <row r="13001" spans="27:27">
      <c r="AA13001" s="158" t="s">
        <v>13248</v>
      </c>
    </row>
    <row r="13002" spans="27:27">
      <c r="AA13002" s="158" t="s">
        <v>3277</v>
      </c>
    </row>
    <row r="13003" spans="27:27">
      <c r="AA13003" s="158" t="s">
        <v>4018</v>
      </c>
    </row>
    <row r="13004" spans="27:27">
      <c r="AA13004" s="158" t="s">
        <v>3278</v>
      </c>
    </row>
    <row r="13005" spans="27:27">
      <c r="AA13005" s="158" t="s">
        <v>4019</v>
      </c>
    </row>
    <row r="13006" spans="27:27">
      <c r="AA13006" s="158" t="s">
        <v>13249</v>
      </c>
    </row>
    <row r="13007" spans="27:27">
      <c r="AA13007" s="158" t="s">
        <v>13250</v>
      </c>
    </row>
    <row r="13008" spans="27:27">
      <c r="AA13008" s="158" t="s">
        <v>13251</v>
      </c>
    </row>
    <row r="13009" spans="27:27">
      <c r="AA13009" s="158" t="s">
        <v>4020</v>
      </c>
    </row>
    <row r="13010" spans="27:27">
      <c r="AA13010" s="158" t="s">
        <v>13252</v>
      </c>
    </row>
    <row r="13011" spans="27:27">
      <c r="AA13011" s="158" t="s">
        <v>13253</v>
      </c>
    </row>
    <row r="13012" spans="27:27">
      <c r="AA13012" s="158" t="s">
        <v>13254</v>
      </c>
    </row>
    <row r="13013" spans="27:27">
      <c r="AA13013" s="158" t="s">
        <v>4021</v>
      </c>
    </row>
    <row r="13014" spans="27:27">
      <c r="AA13014" s="158" t="s">
        <v>13255</v>
      </c>
    </row>
    <row r="13015" spans="27:27">
      <c r="AA13015" s="158" t="s">
        <v>13256</v>
      </c>
    </row>
    <row r="13016" spans="27:27">
      <c r="AA13016" s="158" t="s">
        <v>13257</v>
      </c>
    </row>
    <row r="13017" spans="27:27">
      <c r="AA13017" s="158" t="s">
        <v>4022</v>
      </c>
    </row>
    <row r="13018" spans="27:27">
      <c r="AA13018" s="158" t="s">
        <v>13258</v>
      </c>
    </row>
    <row r="13019" spans="27:27">
      <c r="AA13019" s="158" t="s">
        <v>13259</v>
      </c>
    </row>
    <row r="13020" spans="27:27">
      <c r="AA13020" s="158" t="s">
        <v>13260</v>
      </c>
    </row>
    <row r="13021" spans="27:27">
      <c r="AA13021" s="158" t="s">
        <v>4023</v>
      </c>
    </row>
    <row r="13022" spans="27:27">
      <c r="AA13022" s="158" t="s">
        <v>13261</v>
      </c>
    </row>
    <row r="13023" spans="27:27">
      <c r="AA13023" s="158" t="s">
        <v>13262</v>
      </c>
    </row>
    <row r="13024" spans="27:27">
      <c r="AA13024" s="158" t="s">
        <v>13263</v>
      </c>
    </row>
    <row r="13025" spans="27:27">
      <c r="AA13025" s="158" t="s">
        <v>4024</v>
      </c>
    </row>
    <row r="13026" spans="27:27">
      <c r="AA13026" s="158" t="s">
        <v>13264</v>
      </c>
    </row>
    <row r="13027" spans="27:27">
      <c r="AA13027" s="158" t="s">
        <v>13265</v>
      </c>
    </row>
    <row r="13028" spans="27:27">
      <c r="AA13028" s="158" t="s">
        <v>13266</v>
      </c>
    </row>
    <row r="13029" spans="27:27">
      <c r="AA13029" s="158" t="s">
        <v>13267</v>
      </c>
    </row>
    <row r="13030" spans="27:27">
      <c r="AA13030" s="158" t="s">
        <v>4025</v>
      </c>
    </row>
    <row r="13031" spans="27:27">
      <c r="AA13031" s="158" t="s">
        <v>13268</v>
      </c>
    </row>
    <row r="13032" spans="27:27">
      <c r="AA13032" s="158" t="s">
        <v>13269</v>
      </c>
    </row>
    <row r="13033" spans="27:27">
      <c r="AA13033" s="158" t="s">
        <v>13270</v>
      </c>
    </row>
    <row r="13034" spans="27:27">
      <c r="AA13034" s="158" t="s">
        <v>13271</v>
      </c>
    </row>
    <row r="13035" spans="27:27">
      <c r="AA13035" s="158" t="s">
        <v>3279</v>
      </c>
    </row>
    <row r="13036" spans="27:27">
      <c r="AA13036" s="158" t="s">
        <v>4026</v>
      </c>
    </row>
    <row r="13037" spans="27:27">
      <c r="AA13037" s="158" t="s">
        <v>13272</v>
      </c>
    </row>
    <row r="13038" spans="27:27">
      <c r="AA13038" s="158" t="s">
        <v>13273</v>
      </c>
    </row>
    <row r="13039" spans="27:27">
      <c r="AA13039" s="158" t="s">
        <v>13274</v>
      </c>
    </row>
    <row r="13040" spans="27:27">
      <c r="AA13040" s="158" t="s">
        <v>13275</v>
      </c>
    </row>
    <row r="13041" spans="27:27">
      <c r="AA13041" s="158" t="s">
        <v>3280</v>
      </c>
    </row>
    <row r="13042" spans="27:27">
      <c r="AA13042" s="158" t="s">
        <v>4027</v>
      </c>
    </row>
    <row r="13043" spans="27:27">
      <c r="AA13043" s="158" t="s">
        <v>13276</v>
      </c>
    </row>
    <row r="13044" spans="27:27">
      <c r="AA13044" s="158" t="s">
        <v>13277</v>
      </c>
    </row>
    <row r="13045" spans="27:27">
      <c r="AA13045" s="158" t="s">
        <v>13278</v>
      </c>
    </row>
    <row r="13046" spans="27:27">
      <c r="AA13046" s="158" t="s">
        <v>13279</v>
      </c>
    </row>
    <row r="13047" spans="27:27">
      <c r="AA13047" s="158" t="s">
        <v>13280</v>
      </c>
    </row>
    <row r="13048" spans="27:27">
      <c r="AA13048" s="158" t="s">
        <v>3281</v>
      </c>
    </row>
    <row r="13049" spans="27:27">
      <c r="AA13049" s="158" t="s">
        <v>4028</v>
      </c>
    </row>
    <row r="13050" spans="27:27">
      <c r="AA13050" s="158" t="s">
        <v>13281</v>
      </c>
    </row>
    <row r="13051" spans="27:27">
      <c r="AA13051" s="158" t="s">
        <v>13282</v>
      </c>
    </row>
    <row r="13052" spans="27:27">
      <c r="AA13052" s="158" t="s">
        <v>3282</v>
      </c>
    </row>
    <row r="13053" spans="27:27">
      <c r="AA13053" s="158" t="s">
        <v>13283</v>
      </c>
    </row>
    <row r="13054" spans="27:27">
      <c r="AA13054" s="158" t="s">
        <v>13284</v>
      </c>
    </row>
    <row r="13055" spans="27:27">
      <c r="AA13055" s="158" t="s">
        <v>13285</v>
      </c>
    </row>
    <row r="13056" spans="27:27">
      <c r="AA13056" s="158" t="s">
        <v>13286</v>
      </c>
    </row>
    <row r="13057" spans="27:27">
      <c r="AA13057" s="158" t="s">
        <v>13287</v>
      </c>
    </row>
    <row r="13058" spans="27:27">
      <c r="AA13058" s="158" t="s">
        <v>13288</v>
      </c>
    </row>
    <row r="13059" spans="27:27">
      <c r="AA13059" s="158" t="s">
        <v>13289</v>
      </c>
    </row>
    <row r="13060" spans="27:27">
      <c r="AA13060" s="158" t="s">
        <v>13290</v>
      </c>
    </row>
    <row r="13061" spans="27:27">
      <c r="AA13061" s="158" t="s">
        <v>3283</v>
      </c>
    </row>
    <row r="13062" spans="27:27">
      <c r="AA13062" s="158" t="s">
        <v>13291</v>
      </c>
    </row>
    <row r="13063" spans="27:27">
      <c r="AA13063" s="158" t="s">
        <v>13292</v>
      </c>
    </row>
    <row r="13064" spans="27:27">
      <c r="AA13064" s="158" t="s">
        <v>13293</v>
      </c>
    </row>
    <row r="13065" spans="27:27">
      <c r="AA13065" s="158" t="s">
        <v>13294</v>
      </c>
    </row>
    <row r="13066" spans="27:27">
      <c r="AA13066" s="158" t="s">
        <v>13295</v>
      </c>
    </row>
    <row r="13067" spans="27:27">
      <c r="AA13067" s="158" t="s">
        <v>13296</v>
      </c>
    </row>
    <row r="13068" spans="27:27">
      <c r="AA13068" s="158" t="s">
        <v>13297</v>
      </c>
    </row>
    <row r="13069" spans="27:27">
      <c r="AA13069" s="158" t="s">
        <v>13298</v>
      </c>
    </row>
    <row r="13070" spans="27:27">
      <c r="AA13070" s="158" t="s">
        <v>13299</v>
      </c>
    </row>
    <row r="13071" spans="27:27">
      <c r="AA13071" s="158" t="s">
        <v>13300</v>
      </c>
    </row>
    <row r="13072" spans="27:27">
      <c r="AA13072" s="158" t="s">
        <v>13301</v>
      </c>
    </row>
    <row r="13073" spans="27:27">
      <c r="AA13073" s="158" t="s">
        <v>3284</v>
      </c>
    </row>
    <row r="13074" spans="27:27">
      <c r="AA13074" s="158" t="s">
        <v>4029</v>
      </c>
    </row>
    <row r="13075" spans="27:27">
      <c r="AA13075" s="158" t="s">
        <v>13302</v>
      </c>
    </row>
    <row r="13076" spans="27:27">
      <c r="AA13076" s="158" t="s">
        <v>13303</v>
      </c>
    </row>
    <row r="13077" spans="27:27">
      <c r="AA13077" s="158" t="s">
        <v>13304</v>
      </c>
    </row>
    <row r="13078" spans="27:27">
      <c r="AA13078" s="158" t="s">
        <v>4030</v>
      </c>
    </row>
    <row r="13079" spans="27:27">
      <c r="AA13079" s="158" t="s">
        <v>3285</v>
      </c>
    </row>
    <row r="13080" spans="27:27">
      <c r="AA13080" s="158" t="s">
        <v>13305</v>
      </c>
    </row>
    <row r="13081" spans="27:27">
      <c r="AA13081" s="158" t="s">
        <v>3286</v>
      </c>
    </row>
    <row r="13082" spans="27:27">
      <c r="AA13082" s="158" t="s">
        <v>13306</v>
      </c>
    </row>
    <row r="13083" spans="27:27">
      <c r="AA13083" s="158" t="s">
        <v>13307</v>
      </c>
    </row>
    <row r="13084" spans="27:27">
      <c r="AA13084" s="158" t="s">
        <v>3287</v>
      </c>
    </row>
    <row r="13085" spans="27:27">
      <c r="AA13085" s="158" t="s">
        <v>3288</v>
      </c>
    </row>
    <row r="13086" spans="27:27">
      <c r="AA13086" s="158" t="s">
        <v>3289</v>
      </c>
    </row>
    <row r="13087" spans="27:27">
      <c r="AA13087" s="158" t="s">
        <v>13308</v>
      </c>
    </row>
    <row r="13088" spans="27:27">
      <c r="AA13088" s="158" t="s">
        <v>13309</v>
      </c>
    </row>
    <row r="13089" spans="27:27">
      <c r="AA13089" s="158" t="s">
        <v>13310</v>
      </c>
    </row>
    <row r="13090" spans="27:27">
      <c r="AA13090" s="158" t="s">
        <v>13311</v>
      </c>
    </row>
    <row r="13091" spans="27:27">
      <c r="AA13091" s="158" t="s">
        <v>13312</v>
      </c>
    </row>
    <row r="13092" spans="27:27">
      <c r="AA13092" s="158" t="s">
        <v>13313</v>
      </c>
    </row>
    <row r="13093" spans="27:27">
      <c r="AA13093" s="158" t="s">
        <v>13314</v>
      </c>
    </row>
    <row r="13094" spans="27:27">
      <c r="AA13094" s="158" t="s">
        <v>13315</v>
      </c>
    </row>
    <row r="13095" spans="27:27">
      <c r="AA13095" s="158" t="s">
        <v>13316</v>
      </c>
    </row>
    <row r="13096" spans="27:27">
      <c r="AA13096" s="158" t="s">
        <v>3290</v>
      </c>
    </row>
    <row r="13097" spans="27:27">
      <c r="AA13097" s="158" t="s">
        <v>4031</v>
      </c>
    </row>
    <row r="13098" spans="27:27">
      <c r="AA13098" s="158" t="s">
        <v>13317</v>
      </c>
    </row>
    <row r="13099" spans="27:27">
      <c r="AA13099" s="158" t="s">
        <v>13318</v>
      </c>
    </row>
    <row r="13100" spans="27:27">
      <c r="AA13100" s="158" t="s">
        <v>13319</v>
      </c>
    </row>
    <row r="13101" spans="27:27">
      <c r="AA13101" s="158" t="s">
        <v>13320</v>
      </c>
    </row>
    <row r="13102" spans="27:27">
      <c r="AA13102" s="158" t="s">
        <v>4032</v>
      </c>
    </row>
    <row r="13103" spans="27:27">
      <c r="AA13103" s="158" t="s">
        <v>13321</v>
      </c>
    </row>
    <row r="13104" spans="27:27">
      <c r="AA13104" s="158" t="s">
        <v>13322</v>
      </c>
    </row>
    <row r="13105" spans="27:27">
      <c r="AA13105" s="158" t="s">
        <v>13323</v>
      </c>
    </row>
    <row r="13106" spans="27:27">
      <c r="AA13106" s="158" t="s">
        <v>13324</v>
      </c>
    </row>
    <row r="13107" spans="27:27">
      <c r="AA13107" s="158" t="s">
        <v>4033</v>
      </c>
    </row>
    <row r="13108" spans="27:27">
      <c r="AA13108" s="158" t="s">
        <v>13325</v>
      </c>
    </row>
    <row r="13109" spans="27:27">
      <c r="AA13109" s="158" t="s">
        <v>13326</v>
      </c>
    </row>
    <row r="13110" spans="27:27">
      <c r="AA13110" s="158" t="s">
        <v>13327</v>
      </c>
    </row>
    <row r="13111" spans="27:27">
      <c r="AA13111" s="158" t="s">
        <v>13328</v>
      </c>
    </row>
    <row r="13112" spans="27:27">
      <c r="AA13112" s="158" t="s">
        <v>4034</v>
      </c>
    </row>
    <row r="13113" spans="27:27">
      <c r="AA13113" s="158" t="s">
        <v>13329</v>
      </c>
    </row>
    <row r="13114" spans="27:27">
      <c r="AA13114" s="158" t="s">
        <v>13330</v>
      </c>
    </row>
    <row r="13115" spans="27:27">
      <c r="AA13115" s="158" t="s">
        <v>13331</v>
      </c>
    </row>
    <row r="13116" spans="27:27">
      <c r="AA13116" s="158" t="s">
        <v>13332</v>
      </c>
    </row>
    <row r="13117" spans="27:27">
      <c r="AA13117" s="158" t="s">
        <v>4035</v>
      </c>
    </row>
    <row r="13118" spans="27:27">
      <c r="AA13118" s="158" t="s">
        <v>13333</v>
      </c>
    </row>
    <row r="13119" spans="27:27">
      <c r="AA13119" s="158" t="s">
        <v>13334</v>
      </c>
    </row>
    <row r="13120" spans="27:27">
      <c r="AA13120" s="158" t="s">
        <v>13335</v>
      </c>
    </row>
    <row r="13121" spans="27:27">
      <c r="AA13121" s="158" t="s">
        <v>13336</v>
      </c>
    </row>
    <row r="13122" spans="27:27">
      <c r="AA13122" s="158" t="s">
        <v>4036</v>
      </c>
    </row>
    <row r="13123" spans="27:27">
      <c r="AA13123" s="158" t="s">
        <v>13337</v>
      </c>
    </row>
    <row r="13124" spans="27:27">
      <c r="AA13124" s="158" t="s">
        <v>13338</v>
      </c>
    </row>
    <row r="13125" spans="27:27">
      <c r="AA13125" s="158" t="s">
        <v>13339</v>
      </c>
    </row>
    <row r="13126" spans="27:27">
      <c r="AA13126" s="158" t="s">
        <v>13340</v>
      </c>
    </row>
    <row r="13127" spans="27:27">
      <c r="AA13127" s="158" t="s">
        <v>4037</v>
      </c>
    </row>
    <row r="13128" spans="27:27">
      <c r="AA13128" s="158" t="s">
        <v>13341</v>
      </c>
    </row>
    <row r="13129" spans="27:27">
      <c r="AA13129" s="158" t="s">
        <v>13342</v>
      </c>
    </row>
    <row r="13130" spans="27:27">
      <c r="AA13130" s="158" t="s">
        <v>13343</v>
      </c>
    </row>
    <row r="13131" spans="27:27">
      <c r="AA13131" s="158" t="s">
        <v>4038</v>
      </c>
    </row>
    <row r="13132" spans="27:27">
      <c r="AA13132" s="158" t="s">
        <v>13344</v>
      </c>
    </row>
    <row r="13133" spans="27:27">
      <c r="AA13133" s="158" t="s">
        <v>13345</v>
      </c>
    </row>
    <row r="13134" spans="27:27">
      <c r="AA13134" s="158" t="s">
        <v>13346</v>
      </c>
    </row>
    <row r="13135" spans="27:27">
      <c r="AA13135" s="158" t="s">
        <v>3291</v>
      </c>
    </row>
    <row r="13136" spans="27:27">
      <c r="AA13136" s="158" t="s">
        <v>4039</v>
      </c>
    </row>
    <row r="13137" spans="27:27">
      <c r="AA13137" s="158" t="s">
        <v>13347</v>
      </c>
    </row>
    <row r="13138" spans="27:27">
      <c r="AA13138" s="158" t="s">
        <v>13348</v>
      </c>
    </row>
    <row r="13139" spans="27:27">
      <c r="AA13139" s="158" t="s">
        <v>13349</v>
      </c>
    </row>
    <row r="13140" spans="27:27">
      <c r="AA13140" s="158" t="s">
        <v>13350</v>
      </c>
    </row>
    <row r="13141" spans="27:27">
      <c r="AA13141" s="158" t="s">
        <v>3292</v>
      </c>
    </row>
    <row r="13142" spans="27:27">
      <c r="AA13142" s="158" t="s">
        <v>4040</v>
      </c>
    </row>
    <row r="13143" spans="27:27">
      <c r="AA13143" s="158" t="s">
        <v>13351</v>
      </c>
    </row>
    <row r="13144" spans="27:27">
      <c r="AA13144" s="158" t="s">
        <v>13352</v>
      </c>
    </row>
    <row r="13145" spans="27:27">
      <c r="AA13145" s="158" t="s">
        <v>13353</v>
      </c>
    </row>
    <row r="13146" spans="27:27">
      <c r="AA13146" s="158" t="s">
        <v>13354</v>
      </c>
    </row>
    <row r="13147" spans="27:27">
      <c r="AA13147" s="158" t="s">
        <v>13355</v>
      </c>
    </row>
    <row r="13148" spans="27:27">
      <c r="AA13148" s="158" t="s">
        <v>4041</v>
      </c>
    </row>
    <row r="13149" spans="27:27">
      <c r="AA13149" s="158" t="s">
        <v>3293</v>
      </c>
    </row>
    <row r="13150" spans="27:27">
      <c r="AA13150" s="158" t="s">
        <v>4042</v>
      </c>
    </row>
    <row r="13151" spans="27:27">
      <c r="AA13151" s="158" t="s">
        <v>13356</v>
      </c>
    </row>
    <row r="13152" spans="27:27">
      <c r="AA13152" s="158" t="s">
        <v>13357</v>
      </c>
    </row>
    <row r="13153" spans="27:27">
      <c r="AA13153" s="158" t="s">
        <v>13358</v>
      </c>
    </row>
    <row r="13154" spans="27:27">
      <c r="AA13154" s="158" t="s">
        <v>4043</v>
      </c>
    </row>
    <row r="13155" spans="27:27">
      <c r="AA13155" s="158" t="s">
        <v>13359</v>
      </c>
    </row>
    <row r="13156" spans="27:27">
      <c r="AA13156" s="158" t="s">
        <v>13360</v>
      </c>
    </row>
    <row r="13157" spans="27:27">
      <c r="AA13157" s="158" t="s">
        <v>13361</v>
      </c>
    </row>
    <row r="13158" spans="27:27">
      <c r="AA13158" s="158" t="s">
        <v>4044</v>
      </c>
    </row>
    <row r="13159" spans="27:27">
      <c r="AA13159" s="158" t="s">
        <v>13362</v>
      </c>
    </row>
    <row r="13160" spans="27:27">
      <c r="AA13160" s="158" t="s">
        <v>13363</v>
      </c>
    </row>
    <row r="13161" spans="27:27">
      <c r="AA13161" s="158" t="s">
        <v>13364</v>
      </c>
    </row>
    <row r="13162" spans="27:27">
      <c r="AA13162" s="158" t="s">
        <v>4045</v>
      </c>
    </row>
    <row r="13163" spans="27:27">
      <c r="AA13163" s="158" t="s">
        <v>13365</v>
      </c>
    </row>
    <row r="13164" spans="27:27">
      <c r="AA13164" s="158" t="s">
        <v>13366</v>
      </c>
    </row>
    <row r="13165" spans="27:27">
      <c r="AA13165" s="158" t="s">
        <v>13367</v>
      </c>
    </row>
    <row r="13166" spans="27:27">
      <c r="AA13166" s="158" t="s">
        <v>4046</v>
      </c>
    </row>
    <row r="13167" spans="27:27">
      <c r="AA13167" s="158" t="s">
        <v>13368</v>
      </c>
    </row>
    <row r="13168" spans="27:27">
      <c r="AA13168" s="158" t="s">
        <v>13369</v>
      </c>
    </row>
    <row r="13169" spans="27:27">
      <c r="AA13169" s="158" t="s">
        <v>13370</v>
      </c>
    </row>
    <row r="13170" spans="27:27">
      <c r="AA13170" s="158" t="s">
        <v>3294</v>
      </c>
    </row>
    <row r="13171" spans="27:27">
      <c r="AA13171" s="158" t="s">
        <v>4047</v>
      </c>
    </row>
    <row r="13172" spans="27:27">
      <c r="AA13172" s="158" t="s">
        <v>3295</v>
      </c>
    </row>
    <row r="13173" spans="27:27">
      <c r="AA13173" s="158" t="s">
        <v>3296</v>
      </c>
    </row>
    <row r="13174" spans="27:27">
      <c r="AA13174" s="158" t="s">
        <v>3297</v>
      </c>
    </row>
    <row r="13175" spans="27:27">
      <c r="AA13175" s="158" t="s">
        <v>4048</v>
      </c>
    </row>
    <row r="13176" spans="27:27">
      <c r="AA13176" s="158" t="s">
        <v>3298</v>
      </c>
    </row>
    <row r="13177" spans="27:27">
      <c r="AA13177" s="158" t="s">
        <v>13371</v>
      </c>
    </row>
    <row r="13178" spans="27:27">
      <c r="AA13178" s="158" t="s">
        <v>13372</v>
      </c>
    </row>
    <row r="13179" spans="27:27">
      <c r="AA13179" s="158" t="s">
        <v>13373</v>
      </c>
    </row>
    <row r="13180" spans="27:27">
      <c r="AA13180" s="158" t="s">
        <v>13374</v>
      </c>
    </row>
    <row r="13181" spans="27:27">
      <c r="AA13181" s="158" t="s">
        <v>13375</v>
      </c>
    </row>
    <row r="13182" spans="27:27">
      <c r="AA13182" s="158" t="s">
        <v>13376</v>
      </c>
    </row>
    <row r="13183" spans="27:27">
      <c r="AA13183" s="158" t="s">
        <v>13377</v>
      </c>
    </row>
    <row r="13184" spans="27:27">
      <c r="AA13184" s="158" t="s">
        <v>13378</v>
      </c>
    </row>
    <row r="13185" spans="27:27">
      <c r="AA13185" s="158" t="s">
        <v>13379</v>
      </c>
    </row>
    <row r="13186" spans="27:27">
      <c r="AA13186" s="158" t="s">
        <v>13380</v>
      </c>
    </row>
    <row r="13187" spans="27:27">
      <c r="AA13187" s="158" t="s">
        <v>13381</v>
      </c>
    </row>
    <row r="13188" spans="27:27">
      <c r="AA13188" s="158" t="s">
        <v>13382</v>
      </c>
    </row>
    <row r="13189" spans="27:27">
      <c r="AA13189" s="158" t="s">
        <v>13383</v>
      </c>
    </row>
    <row r="13190" spans="27:27">
      <c r="AA13190" s="158" t="s">
        <v>13384</v>
      </c>
    </row>
    <row r="13191" spans="27:27">
      <c r="AA13191" s="158" t="s">
        <v>13385</v>
      </c>
    </row>
    <row r="13192" spans="27:27">
      <c r="AA13192" s="158" t="s">
        <v>13386</v>
      </c>
    </row>
    <row r="13193" spans="27:27">
      <c r="AA13193" s="158" t="s">
        <v>13387</v>
      </c>
    </row>
    <row r="13194" spans="27:27">
      <c r="AA13194" s="158" t="s">
        <v>13388</v>
      </c>
    </row>
    <row r="13195" spans="27:27">
      <c r="AA13195" s="158" t="s">
        <v>13389</v>
      </c>
    </row>
    <row r="13196" spans="27:27">
      <c r="AA13196" s="158" t="s">
        <v>13390</v>
      </c>
    </row>
    <row r="13197" spans="27:27">
      <c r="AA13197" s="158" t="s">
        <v>13391</v>
      </c>
    </row>
    <row r="13198" spans="27:27">
      <c r="AA13198" s="158" t="s">
        <v>13392</v>
      </c>
    </row>
    <row r="13199" spans="27:27">
      <c r="AA13199" s="158" t="s">
        <v>13393</v>
      </c>
    </row>
    <row r="13200" spans="27:27">
      <c r="AA13200" s="158" t="s">
        <v>13394</v>
      </c>
    </row>
    <row r="13201" spans="27:27">
      <c r="AA13201" s="158" t="s">
        <v>13395</v>
      </c>
    </row>
    <row r="13202" spans="27:27">
      <c r="AA13202" s="158" t="s">
        <v>13396</v>
      </c>
    </row>
    <row r="13203" spans="27:27">
      <c r="AA13203" s="158" t="s">
        <v>13397</v>
      </c>
    </row>
    <row r="13204" spans="27:27">
      <c r="AA13204" s="158" t="s">
        <v>13398</v>
      </c>
    </row>
    <row r="13205" spans="27:27">
      <c r="AA13205" s="158" t="s">
        <v>13399</v>
      </c>
    </row>
    <row r="13206" spans="27:27">
      <c r="AA13206" s="158" t="s">
        <v>13400</v>
      </c>
    </row>
    <row r="13207" spans="27:27">
      <c r="AA13207" s="158" t="s">
        <v>13401</v>
      </c>
    </row>
    <row r="13208" spans="27:27">
      <c r="AA13208" s="158" t="s">
        <v>13402</v>
      </c>
    </row>
    <row r="13209" spans="27:27">
      <c r="AA13209" s="158" t="s">
        <v>13403</v>
      </c>
    </row>
    <row r="13210" spans="27:27">
      <c r="AA13210" s="158" t="s">
        <v>13404</v>
      </c>
    </row>
    <row r="13211" spans="27:27">
      <c r="AA13211" s="158" t="s">
        <v>13405</v>
      </c>
    </row>
    <row r="13212" spans="27:27">
      <c r="AA13212" s="158" t="s">
        <v>13406</v>
      </c>
    </row>
    <row r="13213" spans="27:27">
      <c r="AA13213" s="158" t="s">
        <v>13407</v>
      </c>
    </row>
    <row r="13214" spans="27:27">
      <c r="AA13214" s="158" t="s">
        <v>13408</v>
      </c>
    </row>
    <row r="13215" spans="27:27">
      <c r="AA13215" s="158" t="s">
        <v>13409</v>
      </c>
    </row>
    <row r="13216" spans="27:27">
      <c r="AA13216" s="158" t="s">
        <v>13410</v>
      </c>
    </row>
    <row r="13217" spans="27:27">
      <c r="AA13217" s="158" t="s">
        <v>13411</v>
      </c>
    </row>
    <row r="13218" spans="27:27">
      <c r="AA13218" s="158" t="s">
        <v>13412</v>
      </c>
    </row>
    <row r="13219" spans="27:27">
      <c r="AA13219" s="158" t="s">
        <v>13413</v>
      </c>
    </row>
    <row r="13220" spans="27:27">
      <c r="AA13220" s="158" t="s">
        <v>13414</v>
      </c>
    </row>
    <row r="13221" spans="27:27">
      <c r="AA13221" s="158" t="s">
        <v>13415</v>
      </c>
    </row>
    <row r="13222" spans="27:27">
      <c r="AA13222" s="158" t="s">
        <v>13416</v>
      </c>
    </row>
    <row r="13223" spans="27:27">
      <c r="AA13223" s="158" t="s">
        <v>13417</v>
      </c>
    </row>
    <row r="13224" spans="27:27">
      <c r="AA13224" s="158" t="s">
        <v>13418</v>
      </c>
    </row>
    <row r="13225" spans="27:27">
      <c r="AA13225" s="158" t="s">
        <v>13419</v>
      </c>
    </row>
    <row r="13226" spans="27:27">
      <c r="AA13226" s="158" t="s">
        <v>13420</v>
      </c>
    </row>
    <row r="13227" spans="27:27">
      <c r="AA13227" s="158" t="s">
        <v>13421</v>
      </c>
    </row>
    <row r="13228" spans="27:27">
      <c r="AA13228" s="158" t="s">
        <v>13422</v>
      </c>
    </row>
    <row r="13229" spans="27:27">
      <c r="AA13229" s="158" t="s">
        <v>13423</v>
      </c>
    </row>
    <row r="13230" spans="27:27">
      <c r="AA13230" s="158" t="s">
        <v>13424</v>
      </c>
    </row>
    <row r="13231" spans="27:27">
      <c r="AA13231" s="158" t="s">
        <v>13425</v>
      </c>
    </row>
    <row r="13232" spans="27:27">
      <c r="AA13232" s="158" t="s">
        <v>13426</v>
      </c>
    </row>
    <row r="13233" spans="27:27">
      <c r="AA13233" s="158" t="s">
        <v>13427</v>
      </c>
    </row>
    <row r="13234" spans="27:27">
      <c r="AA13234" s="158" t="s">
        <v>13428</v>
      </c>
    </row>
    <row r="13235" spans="27:27">
      <c r="AA13235" s="158" t="s">
        <v>13429</v>
      </c>
    </row>
    <row r="13236" spans="27:27">
      <c r="AA13236" s="158" t="s">
        <v>13430</v>
      </c>
    </row>
    <row r="13237" spans="27:27">
      <c r="AA13237" s="158" t="s">
        <v>13431</v>
      </c>
    </row>
    <row r="13238" spans="27:27">
      <c r="AA13238" s="158" t="s">
        <v>13432</v>
      </c>
    </row>
    <row r="13239" spans="27:27">
      <c r="AA13239" s="158" t="s">
        <v>13433</v>
      </c>
    </row>
    <row r="13240" spans="27:27">
      <c r="AA13240" s="158" t="s">
        <v>13434</v>
      </c>
    </row>
    <row r="13241" spans="27:27">
      <c r="AA13241" s="158" t="s">
        <v>13435</v>
      </c>
    </row>
    <row r="13242" spans="27:27">
      <c r="AA13242" s="158" t="s">
        <v>13436</v>
      </c>
    </row>
    <row r="13243" spans="27:27">
      <c r="AA13243" s="158" t="s">
        <v>13437</v>
      </c>
    </row>
    <row r="13244" spans="27:27">
      <c r="AA13244" s="158" t="s">
        <v>13438</v>
      </c>
    </row>
    <row r="13245" spans="27:27">
      <c r="AA13245" s="158" t="s">
        <v>13439</v>
      </c>
    </row>
    <row r="13246" spans="27:27">
      <c r="AA13246" s="158" t="s">
        <v>3299</v>
      </c>
    </row>
    <row r="13247" spans="27:27">
      <c r="AA13247" s="158" t="s">
        <v>3300</v>
      </c>
    </row>
    <row r="13248" spans="27:27">
      <c r="AA13248" s="158" t="s">
        <v>13440</v>
      </c>
    </row>
    <row r="13249" spans="27:27">
      <c r="AA13249" s="158" t="s">
        <v>13441</v>
      </c>
    </row>
    <row r="13250" spans="27:27">
      <c r="AA13250" s="158" t="s">
        <v>13442</v>
      </c>
    </row>
    <row r="13251" spans="27:27">
      <c r="AA13251" s="158" t="s">
        <v>13443</v>
      </c>
    </row>
    <row r="13252" spans="27:27">
      <c r="AA13252" s="158" t="s">
        <v>13444</v>
      </c>
    </row>
    <row r="13253" spans="27:27">
      <c r="AA13253" s="158" t="s">
        <v>13445</v>
      </c>
    </row>
    <row r="13254" spans="27:27">
      <c r="AA13254" s="158" t="s">
        <v>13446</v>
      </c>
    </row>
    <row r="13255" spans="27:27">
      <c r="AA13255" s="158" t="s">
        <v>4049</v>
      </c>
    </row>
    <row r="13256" spans="27:27">
      <c r="AA13256" s="158" t="s">
        <v>3301</v>
      </c>
    </row>
    <row r="13257" spans="27:27">
      <c r="AA13257" s="158" t="s">
        <v>3302</v>
      </c>
    </row>
    <row r="13258" spans="27:27">
      <c r="AA13258" s="158" t="s">
        <v>3303</v>
      </c>
    </row>
    <row r="13259" spans="27:27">
      <c r="AA13259" s="158" t="s">
        <v>3304</v>
      </c>
    </row>
    <row r="13260" spans="27:27">
      <c r="AA13260" s="158" t="s">
        <v>3305</v>
      </c>
    </row>
    <row r="13261" spans="27:27">
      <c r="AA13261" s="158" t="s">
        <v>3306</v>
      </c>
    </row>
    <row r="13262" spans="27:27">
      <c r="AA13262" s="158" t="s">
        <v>3307</v>
      </c>
    </row>
    <row r="13263" spans="27:27">
      <c r="AA13263" s="158" t="s">
        <v>13447</v>
      </c>
    </row>
    <row r="13264" spans="27:27">
      <c r="AA13264" s="158" t="s">
        <v>4050</v>
      </c>
    </row>
    <row r="13265" spans="27:27">
      <c r="AA13265" s="158" t="s">
        <v>13448</v>
      </c>
    </row>
    <row r="13266" spans="27:27">
      <c r="AA13266" s="158" t="s">
        <v>13449</v>
      </c>
    </row>
    <row r="13267" spans="27:27">
      <c r="AA13267" s="158" t="s">
        <v>13450</v>
      </c>
    </row>
    <row r="13268" spans="27:27">
      <c r="AA13268" s="158" t="s">
        <v>13451</v>
      </c>
    </row>
    <row r="13269" spans="27:27">
      <c r="AA13269" s="158" t="s">
        <v>13452</v>
      </c>
    </row>
    <row r="13270" spans="27:27">
      <c r="AA13270" s="158" t="s">
        <v>13453</v>
      </c>
    </row>
    <row r="13271" spans="27:27">
      <c r="AA13271" s="158" t="s">
        <v>13454</v>
      </c>
    </row>
    <row r="13272" spans="27:27">
      <c r="AA13272" s="158" t="s">
        <v>13455</v>
      </c>
    </row>
    <row r="13273" spans="27:27">
      <c r="AA13273" s="158" t="s">
        <v>13456</v>
      </c>
    </row>
    <row r="13274" spans="27:27">
      <c r="AA13274" s="158" t="s">
        <v>13457</v>
      </c>
    </row>
    <row r="13275" spans="27:27">
      <c r="AA13275" s="158" t="s">
        <v>13458</v>
      </c>
    </row>
    <row r="13276" spans="27:27">
      <c r="AA13276" s="158" t="s">
        <v>13459</v>
      </c>
    </row>
    <row r="13277" spans="27:27">
      <c r="AA13277" s="158" t="s">
        <v>13460</v>
      </c>
    </row>
    <row r="13278" spans="27:27">
      <c r="AA13278" s="158" t="s">
        <v>4051</v>
      </c>
    </row>
    <row r="13279" spans="27:27">
      <c r="AA13279" s="158" t="s">
        <v>4052</v>
      </c>
    </row>
    <row r="13280" spans="27:27">
      <c r="AA13280" s="158" t="s">
        <v>4053</v>
      </c>
    </row>
    <row r="13281" spans="27:27">
      <c r="AA13281" s="158" t="s">
        <v>3308</v>
      </c>
    </row>
    <row r="13282" spans="27:27">
      <c r="AA13282" s="158" t="s">
        <v>13461</v>
      </c>
    </row>
    <row r="13283" spans="27:27">
      <c r="AA13283" s="158" t="s">
        <v>13462</v>
      </c>
    </row>
    <row r="13284" spans="27:27">
      <c r="AA13284" s="158" t="s">
        <v>13463</v>
      </c>
    </row>
    <row r="13285" spans="27:27">
      <c r="AA13285" s="158" t="s">
        <v>13464</v>
      </c>
    </row>
    <row r="13286" spans="27:27">
      <c r="AA13286" s="158" t="s">
        <v>13465</v>
      </c>
    </row>
    <row r="13287" spans="27:27">
      <c r="AA13287" s="158" t="s">
        <v>13466</v>
      </c>
    </row>
    <row r="13288" spans="27:27">
      <c r="AA13288" s="158" t="s">
        <v>3309</v>
      </c>
    </row>
    <row r="13289" spans="27:27">
      <c r="AA13289" s="158" t="s">
        <v>4054</v>
      </c>
    </row>
    <row r="13290" spans="27:27">
      <c r="AA13290" s="158" t="s">
        <v>4055</v>
      </c>
    </row>
    <row r="13291" spans="27:27">
      <c r="AA13291" s="158" t="s">
        <v>4056</v>
      </c>
    </row>
    <row r="13292" spans="27:27">
      <c r="AA13292" s="158" t="s">
        <v>4057</v>
      </c>
    </row>
    <row r="13293" spans="27:27">
      <c r="AA13293" s="158" t="s">
        <v>13467</v>
      </c>
    </row>
    <row r="13294" spans="27:27">
      <c r="AA13294" s="158" t="s">
        <v>13468</v>
      </c>
    </row>
    <row r="13295" spans="27:27">
      <c r="AA13295" s="158" t="s">
        <v>4058</v>
      </c>
    </row>
    <row r="13296" spans="27:27">
      <c r="AA13296" s="158" t="s">
        <v>4059</v>
      </c>
    </row>
    <row r="13297" spans="27:27">
      <c r="AA13297" s="158" t="s">
        <v>4060</v>
      </c>
    </row>
    <row r="13298" spans="27:27">
      <c r="AA13298" s="158" t="s">
        <v>4061</v>
      </c>
    </row>
    <row r="13299" spans="27:27">
      <c r="AA13299" s="158" t="s">
        <v>4062</v>
      </c>
    </row>
    <row r="13300" spans="27:27">
      <c r="AA13300" s="158" t="s">
        <v>13469</v>
      </c>
    </row>
    <row r="13301" spans="27:27">
      <c r="AA13301" s="158" t="s">
        <v>13470</v>
      </c>
    </row>
    <row r="13302" spans="27:27">
      <c r="AA13302" s="158" t="s">
        <v>13471</v>
      </c>
    </row>
    <row r="13303" spans="27:27">
      <c r="AA13303" s="158" t="s">
        <v>13472</v>
      </c>
    </row>
    <row r="13304" spans="27:27">
      <c r="AA13304" s="158" t="s">
        <v>13473</v>
      </c>
    </row>
    <row r="13305" spans="27:27">
      <c r="AA13305" s="158" t="s">
        <v>13474</v>
      </c>
    </row>
    <row r="13306" spans="27:27">
      <c r="AA13306" s="158" t="s">
        <v>3310</v>
      </c>
    </row>
    <row r="13307" spans="27:27">
      <c r="AA13307" s="158" t="s">
        <v>4063</v>
      </c>
    </row>
    <row r="13308" spans="27:27">
      <c r="AA13308" s="158" t="s">
        <v>4064</v>
      </c>
    </row>
    <row r="13309" spans="27:27">
      <c r="AA13309" s="158" t="s">
        <v>1235</v>
      </c>
    </row>
    <row r="13310" spans="27:27">
      <c r="AA13310" s="158" t="s">
        <v>1236</v>
      </c>
    </row>
    <row r="13311" spans="27:27">
      <c r="AA13311" s="158" t="s">
        <v>4065</v>
      </c>
    </row>
    <row r="13312" spans="27:27">
      <c r="AA13312" s="158" t="s">
        <v>4066</v>
      </c>
    </row>
    <row r="13313" spans="27:27">
      <c r="AA13313" s="158" t="s">
        <v>13475</v>
      </c>
    </row>
    <row r="13314" spans="27:27">
      <c r="AA13314" s="158" t="s">
        <v>4067</v>
      </c>
    </row>
    <row r="13315" spans="27:27">
      <c r="AA13315" s="158" t="s">
        <v>4068</v>
      </c>
    </row>
    <row r="13316" spans="27:27">
      <c r="AA13316" s="158" t="s">
        <v>13476</v>
      </c>
    </row>
    <row r="13317" spans="27:27">
      <c r="AA13317" s="158" t="s">
        <v>13477</v>
      </c>
    </row>
    <row r="13318" spans="27:27">
      <c r="AA13318" s="158" t="s">
        <v>13478</v>
      </c>
    </row>
    <row r="13319" spans="27:27">
      <c r="AA13319" s="158" t="s">
        <v>13479</v>
      </c>
    </row>
    <row r="13320" spans="27:27">
      <c r="AA13320" s="158" t="s">
        <v>13480</v>
      </c>
    </row>
    <row r="13321" spans="27:27">
      <c r="AA13321" s="158" t="s">
        <v>13481</v>
      </c>
    </row>
    <row r="13322" spans="27:27">
      <c r="AA13322" s="158" t="s">
        <v>13482</v>
      </c>
    </row>
    <row r="13323" spans="27:27">
      <c r="AA13323" s="158" t="s">
        <v>13483</v>
      </c>
    </row>
    <row r="13324" spans="27:27">
      <c r="AA13324" s="158" t="s">
        <v>13484</v>
      </c>
    </row>
    <row r="13325" spans="27:27">
      <c r="AA13325" s="158" t="s">
        <v>4069</v>
      </c>
    </row>
    <row r="13326" spans="27:27">
      <c r="AA13326" s="158" t="s">
        <v>4070</v>
      </c>
    </row>
    <row r="13327" spans="27:27">
      <c r="AA13327" s="158" t="s">
        <v>4071</v>
      </c>
    </row>
    <row r="13328" spans="27:27">
      <c r="AA13328" s="158" t="s">
        <v>4072</v>
      </c>
    </row>
    <row r="13329" spans="27:27">
      <c r="AA13329" s="158" t="s">
        <v>3311</v>
      </c>
    </row>
    <row r="13330" spans="27:27">
      <c r="AA13330" s="158" t="s">
        <v>4073</v>
      </c>
    </row>
    <row r="13331" spans="27:27">
      <c r="AA13331" s="158" t="s">
        <v>4074</v>
      </c>
    </row>
    <row r="13332" spans="27:27">
      <c r="AA13332" s="158" t="s">
        <v>4075</v>
      </c>
    </row>
    <row r="13333" spans="27:27">
      <c r="AA13333" s="158" t="s">
        <v>4076</v>
      </c>
    </row>
    <row r="13334" spans="27:27">
      <c r="AA13334" s="158" t="s">
        <v>4077</v>
      </c>
    </row>
    <row r="13335" spans="27:27">
      <c r="AA13335" s="158" t="s">
        <v>4078</v>
      </c>
    </row>
    <row r="13336" spans="27:27">
      <c r="AA13336" s="158" t="s">
        <v>4079</v>
      </c>
    </row>
    <row r="13337" spans="27:27">
      <c r="AA13337" s="158" t="s">
        <v>4080</v>
      </c>
    </row>
    <row r="13338" spans="27:27">
      <c r="AA13338" s="158" t="s">
        <v>4081</v>
      </c>
    </row>
    <row r="13339" spans="27:27">
      <c r="AA13339" s="158" t="s">
        <v>4082</v>
      </c>
    </row>
    <row r="13340" spans="27:27">
      <c r="AA13340" s="158" t="s">
        <v>4083</v>
      </c>
    </row>
    <row r="13341" spans="27:27">
      <c r="AA13341" s="158" t="s">
        <v>4084</v>
      </c>
    </row>
    <row r="13342" spans="27:27">
      <c r="AA13342" s="158" t="s">
        <v>4085</v>
      </c>
    </row>
    <row r="13343" spans="27:27">
      <c r="AA13343" s="158" t="s">
        <v>4086</v>
      </c>
    </row>
    <row r="13344" spans="27:27">
      <c r="AA13344" s="158" t="s">
        <v>4087</v>
      </c>
    </row>
    <row r="13345" spans="27:27">
      <c r="AA13345" s="158" t="s">
        <v>4088</v>
      </c>
    </row>
    <row r="13346" spans="27:27">
      <c r="AA13346" s="158" t="s">
        <v>4089</v>
      </c>
    </row>
    <row r="13347" spans="27:27">
      <c r="AA13347" s="158" t="s">
        <v>4090</v>
      </c>
    </row>
    <row r="13348" spans="27:27">
      <c r="AA13348" s="158" t="s">
        <v>4091</v>
      </c>
    </row>
    <row r="13349" spans="27:27">
      <c r="AA13349" s="158" t="s">
        <v>4092</v>
      </c>
    </row>
    <row r="13350" spans="27:27">
      <c r="AA13350" s="158" t="s">
        <v>4093</v>
      </c>
    </row>
    <row r="13351" spans="27:27">
      <c r="AA13351" s="158" t="s">
        <v>4094</v>
      </c>
    </row>
    <row r="13352" spans="27:27">
      <c r="AA13352" s="158" t="s">
        <v>4095</v>
      </c>
    </row>
    <row r="13353" spans="27:27">
      <c r="AA13353" s="158" t="s">
        <v>4096</v>
      </c>
    </row>
    <row r="13354" spans="27:27">
      <c r="AA13354" s="158" t="s">
        <v>4097</v>
      </c>
    </row>
    <row r="13355" spans="27:27">
      <c r="AA13355" s="158" t="s">
        <v>4098</v>
      </c>
    </row>
    <row r="13356" spans="27:27">
      <c r="AA13356" s="158" t="s">
        <v>4099</v>
      </c>
    </row>
    <row r="13357" spans="27:27">
      <c r="AA13357" s="158" t="s">
        <v>4100</v>
      </c>
    </row>
    <row r="13358" spans="27:27">
      <c r="AA13358" s="158" t="s">
        <v>4101</v>
      </c>
    </row>
    <row r="13359" spans="27:27">
      <c r="AA13359" s="158" t="s">
        <v>4102</v>
      </c>
    </row>
    <row r="13360" spans="27:27">
      <c r="AA13360" s="158" t="s">
        <v>4103</v>
      </c>
    </row>
    <row r="13361" spans="27:27">
      <c r="AA13361" s="158" t="s">
        <v>4104</v>
      </c>
    </row>
    <row r="13362" spans="27:27">
      <c r="AA13362" s="158" t="s">
        <v>4105</v>
      </c>
    </row>
    <row r="13363" spans="27:27">
      <c r="AA13363" s="158" t="s">
        <v>4106</v>
      </c>
    </row>
    <row r="13364" spans="27:27">
      <c r="AA13364" s="158" t="s">
        <v>4107</v>
      </c>
    </row>
    <row r="13365" spans="27:27">
      <c r="AA13365" s="158" t="s">
        <v>4108</v>
      </c>
    </row>
    <row r="13366" spans="27:27">
      <c r="AA13366" s="158" t="s">
        <v>4109</v>
      </c>
    </row>
    <row r="13367" spans="27:27">
      <c r="AA13367" s="158" t="s">
        <v>4110</v>
      </c>
    </row>
    <row r="13368" spans="27:27">
      <c r="AA13368" s="158" t="s">
        <v>4111</v>
      </c>
    </row>
    <row r="13369" spans="27:27">
      <c r="AA13369" s="158" t="s">
        <v>4112</v>
      </c>
    </row>
    <row r="13370" spans="27:27">
      <c r="AA13370" s="158" t="s">
        <v>4113</v>
      </c>
    </row>
    <row r="13371" spans="27:27">
      <c r="AA13371" s="158" t="s">
        <v>4114</v>
      </c>
    </row>
    <row r="13372" spans="27:27">
      <c r="AA13372" s="158" t="s">
        <v>3312</v>
      </c>
    </row>
    <row r="13373" spans="27:27">
      <c r="AA13373" s="158" t="s">
        <v>3313</v>
      </c>
    </row>
    <row r="13374" spans="27:27">
      <c r="AA13374" s="158" t="s">
        <v>3314</v>
      </c>
    </row>
    <row r="13375" spans="27:27">
      <c r="AA13375" s="158" t="s">
        <v>3315</v>
      </c>
    </row>
    <row r="13376" spans="27:27">
      <c r="AA13376" s="158" t="s">
        <v>3316</v>
      </c>
    </row>
    <row r="13377" spans="27:27">
      <c r="AA13377" s="158" t="s">
        <v>4115</v>
      </c>
    </row>
    <row r="13378" spans="27:27">
      <c r="AA13378" s="158" t="s">
        <v>3317</v>
      </c>
    </row>
    <row r="13379" spans="27:27">
      <c r="AA13379" s="158" t="s">
        <v>13485</v>
      </c>
    </row>
    <row r="13380" spans="27:27">
      <c r="AA13380" s="158" t="s">
        <v>13486</v>
      </c>
    </row>
    <row r="13381" spans="27:27">
      <c r="AA13381" s="158" t="s">
        <v>13487</v>
      </c>
    </row>
    <row r="13382" spans="27:27">
      <c r="AA13382" s="158" t="s">
        <v>13488</v>
      </c>
    </row>
    <row r="13383" spans="27:27">
      <c r="AA13383" s="158" t="s">
        <v>13489</v>
      </c>
    </row>
    <row r="13384" spans="27:27">
      <c r="AA13384" s="158" t="s">
        <v>13490</v>
      </c>
    </row>
    <row r="13385" spans="27:27">
      <c r="AA13385" s="158" t="s">
        <v>13491</v>
      </c>
    </row>
    <row r="13386" spans="27:27">
      <c r="AA13386" s="158" t="s">
        <v>13492</v>
      </c>
    </row>
    <row r="13387" spans="27:27">
      <c r="AA13387" s="158" t="s">
        <v>13493</v>
      </c>
    </row>
    <row r="13388" spans="27:27">
      <c r="AA13388" s="158" t="s">
        <v>13494</v>
      </c>
    </row>
    <row r="13389" spans="27:27">
      <c r="AA13389" s="158" t="s">
        <v>3318</v>
      </c>
    </row>
    <row r="13390" spans="27:27">
      <c r="AA13390" s="158" t="s">
        <v>3319</v>
      </c>
    </row>
    <row r="13391" spans="27:27">
      <c r="AA13391" s="158" t="s">
        <v>3320</v>
      </c>
    </row>
    <row r="13392" spans="27:27">
      <c r="AA13392" s="158" t="s">
        <v>4116</v>
      </c>
    </row>
    <row r="13393" spans="27:27">
      <c r="AA13393" s="158" t="s">
        <v>3321</v>
      </c>
    </row>
    <row r="13394" spans="27:27">
      <c r="AA13394" s="158" t="s">
        <v>4117</v>
      </c>
    </row>
    <row r="13395" spans="27:27">
      <c r="AA13395" s="158" t="s">
        <v>4118</v>
      </c>
    </row>
    <row r="13396" spans="27:27">
      <c r="AA13396" s="158" t="s">
        <v>4119</v>
      </c>
    </row>
    <row r="13397" spans="27:27">
      <c r="AA13397" s="158" t="s">
        <v>4120</v>
      </c>
    </row>
    <row r="13398" spans="27:27">
      <c r="AA13398" s="158" t="s">
        <v>4121</v>
      </c>
    </row>
    <row r="13399" spans="27:27">
      <c r="AA13399" s="158" t="s">
        <v>4122</v>
      </c>
    </row>
    <row r="13400" spans="27:27">
      <c r="AA13400" s="158" t="s">
        <v>4123</v>
      </c>
    </row>
    <row r="13401" spans="27:27">
      <c r="AA13401" s="158" t="s">
        <v>4124</v>
      </c>
    </row>
    <row r="13402" spans="27:27">
      <c r="AA13402" s="158" t="s">
        <v>4125</v>
      </c>
    </row>
    <row r="13403" spans="27:27">
      <c r="AA13403" s="158" t="s">
        <v>3322</v>
      </c>
    </row>
    <row r="13404" spans="27:27">
      <c r="AA13404" s="158" t="s">
        <v>13495</v>
      </c>
    </row>
    <row r="13405" spans="27:27">
      <c r="AA13405" s="158" t="s">
        <v>13496</v>
      </c>
    </row>
    <row r="13406" spans="27:27">
      <c r="AA13406" s="158" t="s">
        <v>4126</v>
      </c>
    </row>
    <row r="13407" spans="27:27">
      <c r="AA13407" s="158" t="s">
        <v>3323</v>
      </c>
    </row>
    <row r="13408" spans="27:27">
      <c r="AA13408" s="158" t="s">
        <v>13497</v>
      </c>
    </row>
    <row r="13409" spans="27:27">
      <c r="AA13409" s="158" t="s">
        <v>13498</v>
      </c>
    </row>
    <row r="13410" spans="27:27">
      <c r="AA13410" s="158" t="s">
        <v>4127</v>
      </c>
    </row>
    <row r="13411" spans="27:27">
      <c r="AA13411" s="158" t="s">
        <v>3324</v>
      </c>
    </row>
    <row r="13412" spans="27:27">
      <c r="AA13412" s="158" t="s">
        <v>3325</v>
      </c>
    </row>
    <row r="13413" spans="27:27">
      <c r="AA13413" s="158" t="s">
        <v>3326</v>
      </c>
    </row>
    <row r="13414" spans="27:27">
      <c r="AA13414" s="158" t="s">
        <v>3327</v>
      </c>
    </row>
    <row r="13415" spans="27:27">
      <c r="AA13415" s="158" t="s">
        <v>4128</v>
      </c>
    </row>
    <row r="13416" spans="27:27">
      <c r="AA13416" s="158" t="s">
        <v>3328</v>
      </c>
    </row>
  </sheetData>
  <dataConsolidate/>
  <mergeCells count="1">
    <mergeCell ref="D1:E1"/>
  </mergeCells>
  <dataValidations count="1">
    <dataValidation type="list" allowBlank="1" showInputMessage="1" showErrorMessage="1" sqref="E20" xr:uid="{00000000-0002-0000-0B00-000000000000}">
      <formula1>$BA:$BA</formula1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TAMPA">
                <anchor moveWithCells="1" sizeWithCells="1">
                  <from>
                    <xdr:col>8</xdr:col>
                    <xdr:colOff>133350</xdr:colOff>
                    <xdr:row>6</xdr:row>
                    <xdr:rowOff>9525</xdr:rowOff>
                  </from>
                  <to>
                    <xdr:col>9</xdr:col>
                    <xdr:colOff>552450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1">
    <pageSetUpPr fitToPage="1"/>
  </sheetPr>
  <dimension ref="A1:I8"/>
  <sheetViews>
    <sheetView workbookViewId="0"/>
  </sheetViews>
  <sheetFormatPr defaultRowHeight="15"/>
  <cols>
    <col min="1" max="7" width="15.7109375" customWidth="1"/>
    <col min="8" max="8" width="18.42578125" customWidth="1"/>
    <col min="9" max="9" width="18" customWidth="1"/>
    <col min="10" max="11" width="15.7109375" customWidth="1"/>
  </cols>
  <sheetData>
    <row r="1" spans="1:9">
      <c r="B1" t="s">
        <v>27</v>
      </c>
    </row>
    <row r="4" spans="1:9" s="15" customFormat="1">
      <c r="A4" s="15" t="s">
        <v>38</v>
      </c>
      <c r="B4" s="15" t="s">
        <v>36</v>
      </c>
      <c r="C4" s="15" t="s">
        <v>37</v>
      </c>
      <c r="D4" s="15" t="s">
        <v>32</v>
      </c>
      <c r="E4" s="15" t="s">
        <v>31</v>
      </c>
      <c r="F4" s="15" t="s">
        <v>35</v>
      </c>
      <c r="G4" s="15" t="s">
        <v>30</v>
      </c>
      <c r="H4" s="15" t="s">
        <v>33</v>
      </c>
      <c r="I4" s="15" t="s">
        <v>39</v>
      </c>
    </row>
    <row r="5" spans="1:9">
      <c r="A5">
        <f>ABS('x Colt Ns Off'!B16)</f>
        <v>0</v>
      </c>
      <c r="B5">
        <f>ABS('x Colt Ns Off'!B17/2)</f>
        <v>0</v>
      </c>
      <c r="C5">
        <f>ABS('x Colt Ns Off'!B18/2)</f>
        <v>0</v>
      </c>
      <c r="D5">
        <f>ABS('x Colt Ns Off'!D17/2)</f>
        <v>0</v>
      </c>
      <c r="E5" t="e">
        <f>ACOS(ABS('x Colt Ns Off'!B18/2)/'Sp | Ep (2)'!D5)</f>
        <v>#DIV/0!</v>
      </c>
      <c r="F5">
        <f>'x Colt Ns Off'!B20</f>
        <v>0</v>
      </c>
      <c r="G5" t="e">
        <f>TAN(E5)-E5</f>
        <v>#DIV/0!</v>
      </c>
      <c r="H5" t="e">
        <f>D5*((A5/B5)+2*(F5-G5))</f>
        <v>#DIV/0!</v>
      </c>
      <c r="I5" t="e">
        <f>H5*COS('x Colt Ns Off'!D9*PI()/180)</f>
        <v>#DIV/0!</v>
      </c>
    </row>
    <row r="7" spans="1:9">
      <c r="A7" s="19" t="s">
        <v>114</v>
      </c>
      <c r="B7" s="19" t="s">
        <v>115</v>
      </c>
      <c r="C7" s="19" t="s">
        <v>116</v>
      </c>
      <c r="D7" s="19" t="s">
        <v>117</v>
      </c>
      <c r="E7" s="19" t="s">
        <v>120</v>
      </c>
      <c r="F7" s="19" t="s">
        <v>118</v>
      </c>
      <c r="G7" s="19" t="s">
        <v>119</v>
      </c>
      <c r="H7" s="19" t="s">
        <v>121</v>
      </c>
      <c r="I7" s="19" t="s">
        <v>122</v>
      </c>
    </row>
    <row r="8" spans="1:9">
      <c r="A8" t="e">
        <f>+'x Colt Ns Off'!H24/COS(RADIANS('x Colt Ns Off'!E9))</f>
        <v>#DIV/0!</v>
      </c>
      <c r="B8" t="e">
        <f>+'x Colt Ns Off'!K25/2</f>
        <v>#DIV/0!</v>
      </c>
      <c r="C8" t="e">
        <f>+'x Colt Ns Off'!K26/2</f>
        <v>#DIV/0!</v>
      </c>
      <c r="D8" t="e">
        <f>+'x Colt Ns Off'!K22/2</f>
        <v>#VALUE!</v>
      </c>
      <c r="E8" t="e">
        <f>+ACOS((C8/D8))</f>
        <v>#DIV/0!</v>
      </c>
      <c r="F8">
        <f>+TAN('x Colt Ns Off'!K27)-'x Colt Ns Off'!K27</f>
        <v>0</v>
      </c>
      <c r="G8" t="e">
        <f>+TAN(E8)-E8</f>
        <v>#DIV/0!</v>
      </c>
      <c r="H8" t="e">
        <f>2*D8*((A8/(2*B8)+F8-G8))</f>
        <v>#VALUE!</v>
      </c>
      <c r="I8" t="e">
        <f>+H8*COS(ATAN(2*D8*PI()/'x Colt Ns Off'!K24))</f>
        <v>#VALUE!</v>
      </c>
    </row>
  </sheetData>
  <sheetProtection algorithmName="SHA-512" hashValue="EzST6eRdvahh6TlqO8T7ig3tcwZoUGvxKZjr9acUlxRNywmgBAL+yOXuD6vGQw5SdCFqOsogkrsXXgsC5OHGZQ==" saltValue="mFB7cYpyAQP71hssJX0iag==" spinCount="100000" sheet="1" objects="1" scenarios="1"/>
  <pageMargins left="0.7" right="0.7" top="0.75" bottom="0.75" header="0.3" footer="0.3"/>
  <pageSetup paperSize="9" scale="8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2"/>
  <dimension ref="B1:L60"/>
  <sheetViews>
    <sheetView workbookViewId="0">
      <selection activeCell="Q15" sqref="Q15"/>
    </sheetView>
  </sheetViews>
  <sheetFormatPr defaultColWidth="9.140625" defaultRowHeight="15"/>
  <cols>
    <col min="1" max="1" width="3.7109375" style="18" customWidth="1"/>
    <col min="2" max="2" width="11.7109375" style="18" customWidth="1"/>
    <col min="3" max="3" width="3.140625" style="18" customWidth="1"/>
    <col min="4" max="4" width="18.7109375" style="18" customWidth="1"/>
    <col min="5" max="5" width="5.28515625" style="18" customWidth="1"/>
    <col min="6" max="6" width="10.7109375" style="18" customWidth="1"/>
    <col min="7" max="7" width="1.42578125" style="18" customWidth="1"/>
    <col min="8" max="8" width="30.5703125" style="18" customWidth="1"/>
    <col min="9" max="10" width="14.7109375" style="18" customWidth="1"/>
    <col min="11" max="11" width="11.85546875" style="18" customWidth="1"/>
    <col min="12" max="12" width="16.28515625" style="47" customWidth="1"/>
    <col min="13" max="16384" width="9.140625" style="18"/>
  </cols>
  <sheetData>
    <row r="1" spans="2:12" ht="12" customHeight="1">
      <c r="H1" s="230">
        <f ca="1">NOW()</f>
        <v>43524.674062268517</v>
      </c>
    </row>
    <row r="2" spans="2:12" ht="9.9499999999999993" customHeight="1"/>
    <row r="3" spans="2:12" ht="20.25" customHeight="1">
      <c r="B3" s="18" t="s">
        <v>13657</v>
      </c>
      <c r="D3" s="246">
        <f>PowrtSkiving!E20</f>
        <v>0</v>
      </c>
      <c r="F3" s="18" t="s">
        <v>13658</v>
      </c>
      <c r="H3" s="231" t="str">
        <f ca="1">MID(CELL("FILENAME",I85),FIND("[",CELL("FILENAME",I85))+1,FIND("]",CELL("FILENAME",I85))-FIND("[",CELL("FILENAME",I85))-6)</f>
        <v>main powerskyving</v>
      </c>
      <c r="L3" s="248" t="s">
        <v>13674</v>
      </c>
    </row>
    <row r="4" spans="2:12" ht="15" customHeight="1">
      <c r="B4" s="232" t="s">
        <v>13659</v>
      </c>
      <c r="D4" s="233"/>
    </row>
    <row r="5" spans="2:12" ht="20.100000000000001" customHeight="1">
      <c r="C5" s="234" t="s">
        <v>13660</v>
      </c>
      <c r="H5" s="129"/>
    </row>
    <row r="6" spans="2:12" ht="20.100000000000001" customHeight="1">
      <c r="C6" s="234"/>
      <c r="H6" s="250" t="s">
        <v>13846</v>
      </c>
    </row>
    <row r="7" spans="2:12" ht="20.100000000000001" customHeight="1">
      <c r="C7" s="234"/>
      <c r="H7" s="251" t="s">
        <v>13847</v>
      </c>
    </row>
    <row r="8" spans="2:12" ht="20.100000000000001" customHeight="1">
      <c r="B8" s="235"/>
      <c r="C8" s="234"/>
      <c r="D8" s="236" t="str">
        <f>IF(L8=0,IF(D3="LIEBHERR","Schälrad",IF(D3="EURORICAMBI Scudding","Scudding",IF(D3="EURORICAMBI Skiving","Skiving","Pelatore"))),L8)</f>
        <v>Pelatore</v>
      </c>
      <c r="F8" s="235"/>
      <c r="H8" s="129" t="s">
        <v>13848</v>
      </c>
      <c r="L8" s="249"/>
    </row>
    <row r="9" spans="2:12" ht="20.100000000000001" customHeight="1">
      <c r="H9" s="129" t="s">
        <v>13849</v>
      </c>
      <c r="L9" s="247"/>
    </row>
    <row r="10" spans="2:12" ht="20.100000000000001" customHeight="1">
      <c r="B10" s="18" t="s">
        <v>2</v>
      </c>
      <c r="D10" s="244">
        <f>IF(L10=0,PowrtSkiving!B4,L10)</f>
        <v>1.3050999999999999</v>
      </c>
      <c r="E10" s="238"/>
      <c r="L10" s="249"/>
    </row>
    <row r="11" spans="2:12" ht="20.100000000000001" customHeight="1">
      <c r="H11" s="131"/>
      <c r="L11" s="247"/>
    </row>
    <row r="12" spans="2:12" ht="20.100000000000001" customHeight="1">
      <c r="B12" s="18" t="s">
        <v>0</v>
      </c>
      <c r="D12" s="244">
        <f>IF(L12=0,ABS(PowrtSkiving!H22),L12)</f>
        <v>0</v>
      </c>
      <c r="E12" s="238"/>
      <c r="G12" s="24"/>
      <c r="H12" s="279" t="s">
        <v>13912</v>
      </c>
      <c r="L12" s="249"/>
    </row>
    <row r="13" spans="2:12" ht="20.100000000000001" customHeight="1">
      <c r="G13" s="24"/>
      <c r="H13" s="280" t="s">
        <v>13913</v>
      </c>
      <c r="L13" s="247"/>
    </row>
    <row r="14" spans="2:12" ht="20.100000000000001" customHeight="1">
      <c r="B14" s="18" t="s">
        <v>13661</v>
      </c>
      <c r="D14" s="244" t="str">
        <f>IF(L14=0,PowrtSkiving!B7&amp;"°",L14)</f>
        <v>22.5°</v>
      </c>
      <c r="E14" s="238"/>
      <c r="G14" s="24"/>
      <c r="H14" s="281" t="s">
        <v>13914</v>
      </c>
      <c r="L14" s="249"/>
    </row>
    <row r="15" spans="2:12" ht="20.100000000000001" customHeight="1">
      <c r="H15" s="282" t="s">
        <v>13914</v>
      </c>
    </row>
    <row r="16" spans="2:12" ht="20.100000000000001" customHeight="1">
      <c r="B16" s="18" t="s">
        <v>13662</v>
      </c>
      <c r="D16" s="244" t="str">
        <f>IF(L16=0,PowrtSkiving!E9&amp;"°",L16)</f>
        <v>°</v>
      </c>
      <c r="E16" s="238"/>
      <c r="H16" s="282" t="s">
        <v>13914</v>
      </c>
      <c r="L16" s="249"/>
    </row>
    <row r="17" spans="2:8" ht="20.100000000000001" customHeight="1">
      <c r="H17" s="282" t="s">
        <v>13914</v>
      </c>
    </row>
    <row r="18" spans="2:8" ht="20.100000000000001" customHeight="1">
      <c r="B18" s="18" t="s">
        <v>13663</v>
      </c>
      <c r="D18" s="244" t="str">
        <f>IF(PowrtSkiving!G10=0,"",PowrtSkiving!G10)</f>
        <v/>
      </c>
      <c r="E18" s="238"/>
      <c r="H18" s="282" t="s">
        <v>13914</v>
      </c>
    </row>
    <row r="19" spans="2:8" ht="20.100000000000001" customHeight="1">
      <c r="D19" s="238"/>
      <c r="E19" s="238"/>
      <c r="H19" s="282" t="s">
        <v>13914</v>
      </c>
    </row>
    <row r="20" spans="2:8" ht="20.100000000000001" customHeight="1">
      <c r="B20" s="18" t="s">
        <v>13664</v>
      </c>
      <c r="D20" s="245" t="e">
        <f>IF(PowrtSkiving!K24=0,"",PowrtSkiving!K24)</f>
        <v>#DIV/0!</v>
      </c>
      <c r="E20" s="238"/>
      <c r="H20" s="282" t="s">
        <v>13914</v>
      </c>
    </row>
    <row r="21" spans="2:8" ht="20.100000000000001" customHeight="1">
      <c r="H21" s="282" t="s">
        <v>13914</v>
      </c>
    </row>
    <row r="22" spans="2:8" ht="20.100000000000001" customHeight="1">
      <c r="B22" s="18" t="s">
        <v>13665</v>
      </c>
      <c r="D22" s="237"/>
      <c r="E22" s="239" t="s">
        <v>13666</v>
      </c>
      <c r="F22" s="131"/>
      <c r="H22" s="282" t="s">
        <v>13914</v>
      </c>
    </row>
    <row r="23" spans="2:8" ht="20.100000000000001" customHeight="1">
      <c r="H23" s="282" t="s">
        <v>13914</v>
      </c>
    </row>
    <row r="24" spans="2:8" ht="20.100000000000001" customHeight="1">
      <c r="B24" s="18" t="s">
        <v>13667</v>
      </c>
      <c r="D24" s="237"/>
      <c r="E24" s="238"/>
      <c r="H24" s="282" t="s">
        <v>13914</v>
      </c>
    </row>
    <row r="25" spans="2:8" ht="20.100000000000001" customHeight="1">
      <c r="D25" s="238"/>
      <c r="E25" s="238"/>
      <c r="H25" s="282" t="s">
        <v>13914</v>
      </c>
    </row>
    <row r="26" spans="2:8" ht="20.100000000000001" customHeight="1">
      <c r="B26" s="18" t="s">
        <v>13668</v>
      </c>
      <c r="D26" s="237"/>
      <c r="E26" s="238"/>
      <c r="H26" s="129"/>
    </row>
    <row r="27" spans="2:8" ht="20.100000000000001" customHeight="1">
      <c r="H27" s="129"/>
    </row>
    <row r="28" spans="2:8" ht="20.100000000000001" customHeight="1">
      <c r="B28" s="18" t="s">
        <v>13658</v>
      </c>
      <c r="D28" s="237"/>
      <c r="E28" s="240"/>
      <c r="F28" s="129"/>
      <c r="H28" s="129"/>
    </row>
    <row r="29" spans="2:8" ht="20.100000000000001" customHeight="1">
      <c r="D29" s="241"/>
      <c r="E29" s="242"/>
      <c r="F29" s="129"/>
      <c r="H29" s="129"/>
    </row>
    <row r="30" spans="2:8" ht="20.100000000000001" customHeight="1">
      <c r="D30" s="241"/>
      <c r="E30" s="242"/>
      <c r="F30" s="129"/>
      <c r="H30" s="129"/>
    </row>
    <row r="31" spans="2:8" ht="20.100000000000001" customHeight="1">
      <c r="D31" s="241"/>
      <c r="E31" s="242"/>
      <c r="F31" s="129"/>
      <c r="H31" s="129"/>
    </row>
    <row r="32" spans="2:8" ht="20.100000000000001" customHeight="1">
      <c r="D32" s="241"/>
      <c r="E32" s="242"/>
      <c r="F32" s="129"/>
      <c r="H32" s="129"/>
    </row>
    <row r="33" spans="4:8" ht="20.100000000000001" customHeight="1">
      <c r="D33" s="243"/>
      <c r="E33" s="242"/>
      <c r="F33" s="129"/>
      <c r="H33" s="129"/>
    </row>
    <row r="34" spans="4:8" ht="20.100000000000001" customHeight="1">
      <c r="D34" s="241"/>
      <c r="E34" s="242"/>
      <c r="F34" s="129"/>
      <c r="H34" s="129"/>
    </row>
    <row r="35" spans="4:8" ht="20.100000000000001" customHeight="1">
      <c r="D35" s="241"/>
      <c r="E35" s="242"/>
      <c r="F35" s="129"/>
      <c r="H35" s="129"/>
    </row>
    <row r="36" spans="4:8" ht="20.100000000000001" customHeight="1">
      <c r="D36" s="241"/>
      <c r="E36" s="242"/>
      <c r="F36" s="129"/>
      <c r="H36" s="129"/>
    </row>
    <row r="37" spans="4:8" ht="20.100000000000001" customHeight="1">
      <c r="D37" s="242"/>
      <c r="E37" s="242"/>
      <c r="F37" s="129"/>
      <c r="H37" s="129"/>
    </row>
    <row r="38" spans="4:8" ht="20.100000000000001" customHeight="1">
      <c r="D38" s="129"/>
      <c r="E38" s="129"/>
      <c r="F38" s="129"/>
      <c r="H38" s="129"/>
    </row>
    <row r="39" spans="4:8" ht="20.100000000000001" customHeight="1"/>
    <row r="40" spans="4:8" ht="20.100000000000001" customHeight="1"/>
    <row r="41" spans="4:8" ht="20.100000000000001" customHeight="1"/>
    <row r="42" spans="4:8" ht="20.100000000000001" customHeight="1"/>
    <row r="43" spans="4:8" ht="20.100000000000001" customHeight="1"/>
    <row r="44" spans="4:8" ht="20.100000000000001" customHeight="1"/>
    <row r="45" spans="4:8" ht="20.100000000000001" customHeight="1"/>
    <row r="46" spans="4:8" ht="20.100000000000001" customHeight="1"/>
    <row r="47" spans="4:8" ht="20.100000000000001" customHeight="1"/>
    <row r="48" spans="4: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</sheetData>
  <sheetProtection algorithmName="SHA-512" hashValue="LLRb9hIzCLDus144LTfOKVv+JIbj/qSvxNXQ0W1hYMUdQhBhLoOhCBHKI1XvpxyEPbUvIk2FI+TjBLjpIAhXVQ==" saltValue="IQUHbk/551QV1T11RWlokQ==" spinCount="100000" sheet="1" objects="1" scenarios="1"/>
  <pageMargins left="0.7" right="0.7" top="0.75" bottom="0.75" header="0.3" footer="0.3"/>
  <pageSetup paperSize="9" orientation="portrait" cellComments="atEnd" horizont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3"/>
  <dimension ref="A1:X31"/>
  <sheetViews>
    <sheetView workbookViewId="0"/>
  </sheetViews>
  <sheetFormatPr defaultRowHeight="15"/>
  <cols>
    <col min="1" max="1" width="6.42578125" customWidth="1"/>
    <col min="2" max="2" width="5.7109375" customWidth="1"/>
    <col min="4" max="4" width="4.140625" customWidth="1"/>
    <col min="6" max="6" width="7.42578125" customWidth="1"/>
    <col min="8" max="8" width="2" customWidth="1"/>
    <col min="9" max="9" width="10.7109375" customWidth="1"/>
    <col min="12" max="12" width="7.28515625" customWidth="1"/>
    <col min="13" max="13" width="3.7109375" customWidth="1"/>
    <col min="14" max="14" width="9.85546875" customWidth="1"/>
    <col min="15" max="15" width="9.7109375" customWidth="1"/>
    <col min="16" max="16" width="14.42578125" customWidth="1"/>
    <col min="19" max="20" width="8.85546875" hidden="1" customWidth="1"/>
    <col min="21" max="21" width="12.7109375" hidden="1" customWidth="1"/>
    <col min="22" max="24" width="8.85546875" hidden="1" customWidth="1"/>
    <col min="25" max="25" width="8.85546875" customWidth="1"/>
  </cols>
  <sheetData>
    <row r="1" spans="1:24" ht="10.15" customHeight="1"/>
    <row r="2" spans="1:24" ht="10.15" customHeight="1"/>
    <row r="3" spans="1:24" ht="18.75">
      <c r="A3" s="265" t="s">
        <v>13556</v>
      </c>
      <c r="B3" s="62"/>
      <c r="C3" s="62">
        <f>PowrtSkiving!E20</f>
        <v>0</v>
      </c>
      <c r="G3" s="254" t="s">
        <v>13861</v>
      </c>
    </row>
    <row r="5" spans="1:24" ht="25.5">
      <c r="B5" s="255" t="s">
        <v>13862</v>
      </c>
      <c r="C5" s="256" t="s">
        <v>13863</v>
      </c>
      <c r="E5" s="255" t="s">
        <v>13862</v>
      </c>
      <c r="F5" s="256" t="s">
        <v>13864</v>
      </c>
    </row>
    <row r="7" spans="1:24" ht="15" customHeight="1">
      <c r="A7" s="254" t="s">
        <v>13865</v>
      </c>
      <c r="I7" s="254" t="s">
        <v>13866</v>
      </c>
      <c r="U7" s="257" t="s">
        <v>13867</v>
      </c>
      <c r="V7" s="257"/>
      <c r="W7" s="257" t="s">
        <v>13868</v>
      </c>
      <c r="X7" s="257" t="s">
        <v>13869</v>
      </c>
    </row>
    <row r="8" spans="1:24" ht="4.9000000000000004" customHeight="1">
      <c r="A8" s="258"/>
      <c r="I8" s="259"/>
    </row>
    <row r="9" spans="1:24" ht="16.149999999999999" customHeight="1">
      <c r="A9" s="260" t="s">
        <v>13870</v>
      </c>
      <c r="B9" s="260"/>
      <c r="C9" s="261" t="str">
        <f ca="1">PowrtSkiving!B1</f>
        <v>main powerskyving</v>
      </c>
      <c r="D9" s="262"/>
      <c r="E9" s="262"/>
      <c r="F9" s="262"/>
      <c r="I9" t="s">
        <v>13871</v>
      </c>
      <c r="J9" s="277">
        <f>PowrtSkiving!E4</f>
        <v>1.2057551778804803</v>
      </c>
      <c r="N9" t="s">
        <v>13872</v>
      </c>
      <c r="O9" s="264" t="str">
        <f>U9&amp;"°"&amp;W9&amp;"'"&amp;X9&amp;"''"</f>
        <v>0°0'0''</v>
      </c>
      <c r="S9" s="18">
        <f>PowrtSkiving!E7</f>
        <v>0</v>
      </c>
      <c r="T9" s="129"/>
      <c r="U9" s="18">
        <f>(INT(S9))</f>
        <v>0</v>
      </c>
      <c r="V9" s="18">
        <f>(S9-U9)*60</f>
        <v>0</v>
      </c>
      <c r="W9" s="18">
        <f>INT(V9)</f>
        <v>0</v>
      </c>
      <c r="X9" s="18">
        <f>ROUND(((V9-W9)*60),0)</f>
        <v>0</v>
      </c>
    </row>
    <row r="10" spans="1:24" ht="16.149999999999999" customHeight="1">
      <c r="A10" s="265" t="s">
        <v>13873</v>
      </c>
      <c r="B10" s="265"/>
      <c r="C10" s="266" t="s">
        <v>13874</v>
      </c>
      <c r="D10" s="267"/>
      <c r="E10" s="266" t="s">
        <v>13875</v>
      </c>
      <c r="F10" s="266" t="s">
        <v>13876</v>
      </c>
      <c r="I10" t="s">
        <v>13877</v>
      </c>
      <c r="J10" s="268"/>
      <c r="N10" t="s">
        <v>13878</v>
      </c>
      <c r="O10" s="264" t="str">
        <f>U10&amp;"°"&amp;W10&amp;"'"&amp;X10&amp;"''"</f>
        <v>0°0'0''</v>
      </c>
      <c r="S10" s="18">
        <f>PowrtSkiving!E9</f>
        <v>0</v>
      </c>
      <c r="T10" s="129"/>
      <c r="U10" s="18">
        <f>(INT(S10))</f>
        <v>0</v>
      </c>
      <c r="V10" s="18">
        <f>(S10-U10)*60</f>
        <v>0</v>
      </c>
      <c r="W10" s="18">
        <f>INT(V10)</f>
        <v>0</v>
      </c>
      <c r="X10" s="18">
        <f>ROUND(((V10-W10)*60),0)</f>
        <v>0</v>
      </c>
    </row>
    <row r="11" spans="1:24" ht="16.149999999999999" customHeight="1">
      <c r="A11" s="265" t="s">
        <v>13879</v>
      </c>
      <c r="B11" s="265"/>
      <c r="C11" s="265"/>
      <c r="D11" s="265"/>
      <c r="E11" s="265"/>
      <c r="F11" s="265"/>
      <c r="G11" s="265"/>
      <c r="N11" t="s">
        <v>13880</v>
      </c>
      <c r="O11" s="264" t="str">
        <f>PowrtSkiving!G10</f>
        <v/>
      </c>
      <c r="S11" s="129"/>
      <c r="T11" s="129"/>
      <c r="U11" s="129"/>
      <c r="V11" s="129"/>
      <c r="W11" s="129"/>
      <c r="X11" s="129"/>
    </row>
    <row r="12" spans="1:24" ht="16.149999999999999" customHeight="1">
      <c r="A12" s="265" t="s">
        <v>13881</v>
      </c>
      <c r="B12" s="265"/>
      <c r="C12" s="266" t="s">
        <v>13882</v>
      </c>
      <c r="D12" s="267"/>
      <c r="E12" s="266" t="s">
        <v>13883</v>
      </c>
      <c r="F12" s="267"/>
      <c r="G12" s="266" t="s">
        <v>13884</v>
      </c>
      <c r="I12" s="269" t="s">
        <v>13885</v>
      </c>
      <c r="J12" s="278">
        <f>PowrtSkiving!H22</f>
        <v>0</v>
      </c>
      <c r="N12" t="s">
        <v>13886</v>
      </c>
      <c r="O12" s="270" t="s">
        <v>13887</v>
      </c>
      <c r="P12" s="270" t="s">
        <v>13888</v>
      </c>
      <c r="S12" s="129"/>
      <c r="T12" s="129"/>
      <c r="U12" s="129"/>
      <c r="V12" s="129"/>
      <c r="W12" s="129"/>
      <c r="X12" s="129"/>
    </row>
    <row r="13" spans="1:24" ht="16.149999999999999" customHeight="1">
      <c r="N13" t="s">
        <v>13889</v>
      </c>
      <c r="O13" s="271"/>
      <c r="S13" s="129"/>
      <c r="T13" s="129"/>
      <c r="U13" s="129"/>
      <c r="V13" s="129"/>
      <c r="W13" s="129"/>
      <c r="X13" s="129"/>
    </row>
    <row r="14" spans="1:24" ht="16.149999999999999" customHeight="1">
      <c r="A14" t="s">
        <v>13890</v>
      </c>
      <c r="J14" s="266" t="s">
        <v>13891</v>
      </c>
      <c r="N14" t="s">
        <v>13892</v>
      </c>
      <c r="O14" s="268"/>
      <c r="S14" s="129"/>
      <c r="T14" s="129"/>
      <c r="U14" s="129"/>
      <c r="V14" s="129"/>
      <c r="W14" s="129"/>
      <c r="X14" s="129"/>
    </row>
    <row r="15" spans="1:24" ht="16.149999999999999" customHeight="1">
      <c r="A15" t="s">
        <v>13893</v>
      </c>
      <c r="C15" s="272"/>
      <c r="D15" s="272"/>
      <c r="I15" s="273" t="s">
        <v>13894</v>
      </c>
      <c r="J15" s="266" t="s">
        <v>13895</v>
      </c>
      <c r="S15" s="129"/>
      <c r="T15" s="129"/>
      <c r="U15" s="129"/>
      <c r="V15" s="129"/>
      <c r="W15" s="129"/>
      <c r="X15" s="129"/>
    </row>
    <row r="16" spans="1:24" ht="16.149999999999999" customHeight="1">
      <c r="A16" t="s">
        <v>13896</v>
      </c>
      <c r="C16" s="274"/>
      <c r="D16" s="274"/>
      <c r="E16" s="266" t="s">
        <v>13897</v>
      </c>
      <c r="J16" s="266" t="s">
        <v>13898</v>
      </c>
      <c r="S16" s="129"/>
      <c r="T16" s="129"/>
      <c r="U16" s="129"/>
      <c r="V16" s="129"/>
      <c r="W16" s="129"/>
      <c r="X16" s="129"/>
    </row>
    <row r="17" spans="1:24" ht="16.149999999999999" customHeight="1">
      <c r="A17" t="s">
        <v>13899</v>
      </c>
      <c r="C17" s="266" t="s">
        <v>13900</v>
      </c>
      <c r="J17" s="275" t="s">
        <v>13901</v>
      </c>
      <c r="K17" s="272"/>
      <c r="L17" s="272"/>
      <c r="S17" s="129"/>
      <c r="T17" s="129"/>
      <c r="U17" s="129"/>
      <c r="V17" s="129"/>
      <c r="W17" s="129"/>
      <c r="X17" s="129"/>
    </row>
    <row r="18" spans="1:24" ht="16.149999999999999" customHeight="1">
      <c r="A18" t="s">
        <v>13902</v>
      </c>
      <c r="C18" s="266" t="s">
        <v>13903</v>
      </c>
      <c r="S18" s="129"/>
      <c r="T18" s="129"/>
      <c r="U18" s="129"/>
      <c r="V18" s="129"/>
      <c r="W18" s="129"/>
      <c r="X18" s="129"/>
    </row>
    <row r="19" spans="1:24" ht="16.149999999999999" customHeight="1">
      <c r="I19" s="269" t="s">
        <v>13904</v>
      </c>
      <c r="J19" s="266" t="s">
        <v>13905</v>
      </c>
      <c r="K19" s="270" t="s">
        <v>13906</v>
      </c>
      <c r="S19" s="129"/>
      <c r="T19" s="129"/>
      <c r="U19" s="129"/>
      <c r="V19" s="129"/>
      <c r="W19" s="129"/>
      <c r="X19" s="129"/>
    </row>
    <row r="20" spans="1:24" ht="9" customHeight="1">
      <c r="S20" s="129"/>
      <c r="T20" s="129"/>
      <c r="U20" s="129"/>
      <c r="V20" s="129"/>
      <c r="W20" s="129"/>
      <c r="X20" s="129"/>
    </row>
    <row r="21" spans="1:24" ht="16.149999999999999" customHeight="1">
      <c r="I21" s="61" t="s">
        <v>13907</v>
      </c>
      <c r="S21" s="129"/>
      <c r="T21" s="129"/>
      <c r="U21" s="129"/>
      <c r="V21" s="129"/>
      <c r="W21" s="129"/>
      <c r="X21" s="129"/>
    </row>
    <row r="22" spans="1:24" ht="9" customHeight="1">
      <c r="S22" s="129"/>
      <c r="T22" s="129"/>
      <c r="U22" s="129"/>
      <c r="V22" s="129"/>
      <c r="W22" s="129"/>
      <c r="X22" s="129"/>
    </row>
    <row r="23" spans="1:24" ht="16.149999999999999" customHeight="1">
      <c r="I23" t="s">
        <v>13908</v>
      </c>
      <c r="J23" s="277">
        <f>PowrtSkiving!B4</f>
        <v>1.3050999999999999</v>
      </c>
      <c r="N23" t="s">
        <v>13872</v>
      </c>
      <c r="O23" s="263" t="str">
        <f>U23&amp;"°"&amp;W23&amp;"'"&amp;X23&amp;"''"</f>
        <v>22°30'0''</v>
      </c>
      <c r="S23" s="18">
        <f>PowrtSkiving!B7</f>
        <v>22.5</v>
      </c>
      <c r="T23" s="129"/>
      <c r="U23" s="18">
        <f>(INT(S23))</f>
        <v>22</v>
      </c>
      <c r="V23" s="18">
        <f>(S23-U23)*60</f>
        <v>30</v>
      </c>
      <c r="W23" s="18">
        <f>INT(V23)</f>
        <v>30</v>
      </c>
      <c r="X23" s="18">
        <f>ROUND(((V23-W23)*60),0)</f>
        <v>0</v>
      </c>
    </row>
    <row r="24" spans="1:24" ht="16.149999999999999" customHeight="1">
      <c r="N24" t="s">
        <v>13878</v>
      </c>
      <c r="O24" s="263" t="str">
        <f>IF(PowrtSkiving!B9,U24&amp;"°"&amp;W24&amp;"'"&amp;X24&amp;"''","")</f>
        <v/>
      </c>
      <c r="S24" s="18">
        <f>PowrtSkiving!B9</f>
        <v>0</v>
      </c>
      <c r="T24" s="129"/>
      <c r="U24" s="18">
        <f>(INT(S24))</f>
        <v>0</v>
      </c>
      <c r="V24" s="18">
        <f>(S24-U24)*60</f>
        <v>0</v>
      </c>
      <c r="W24" s="18">
        <f>INT(V24)</f>
        <v>0</v>
      </c>
      <c r="X24" s="18">
        <f>ROUND(((V24-W24)*60),0)</f>
        <v>0</v>
      </c>
    </row>
    <row r="25" spans="1:24" ht="18" customHeight="1">
      <c r="D25" s="269" t="s">
        <v>13909</v>
      </c>
      <c r="F25" s="272"/>
      <c r="G25" s="272"/>
      <c r="H25" s="272"/>
      <c r="I25" s="272"/>
      <c r="J25" s="272"/>
      <c r="K25" s="272"/>
      <c r="L25" s="272"/>
    </row>
    <row r="26" spans="1:24" ht="18" customHeight="1">
      <c r="F26" s="274"/>
      <c r="G26" s="274"/>
      <c r="H26" s="274"/>
      <c r="I26" s="274"/>
      <c r="J26" s="274"/>
      <c r="K26" s="274"/>
      <c r="L26" s="274"/>
    </row>
    <row r="27" spans="1:24" ht="18" customHeight="1">
      <c r="F27" s="272"/>
      <c r="G27" s="272"/>
      <c r="H27" s="272"/>
      <c r="I27" s="272"/>
      <c r="J27" s="272"/>
      <c r="K27" s="272"/>
      <c r="L27" s="272"/>
    </row>
    <row r="28" spans="1:24" ht="18" customHeight="1"/>
    <row r="29" spans="1:24" ht="18" customHeight="1">
      <c r="C29" s="276" t="s">
        <v>13910</v>
      </c>
      <c r="F29" s="272"/>
      <c r="G29" s="272"/>
      <c r="H29" s="272"/>
      <c r="I29" s="272"/>
      <c r="J29" s="272"/>
      <c r="K29" s="272"/>
      <c r="L29" s="272"/>
    </row>
    <row r="30" spans="1:24" ht="18" customHeight="1">
      <c r="F30" s="274"/>
      <c r="G30" s="274"/>
      <c r="H30" s="274"/>
      <c r="I30" s="274"/>
      <c r="J30" s="274"/>
      <c r="K30" s="274"/>
      <c r="L30" s="274"/>
    </row>
    <row r="31" spans="1:24" ht="18" customHeight="1">
      <c r="F31" s="274"/>
      <c r="G31" s="274"/>
      <c r="H31" s="274"/>
      <c r="I31" s="274"/>
      <c r="J31" s="274"/>
      <c r="K31" s="274"/>
      <c r="L31" s="274"/>
    </row>
  </sheetData>
  <sheetProtection algorithmName="SHA-512" hashValue="x2a1tQs9TYLv14HXlgxQFxPdngMCstB//jq8rL2R6SMa6dF0Ty7QjyKSm/MNMzgGJRCUbtHKysTTlfFaNji6OQ==" saltValue="+V03nbn4cNqQht5gwJLT/A==" spinCount="100000" sheet="1" objects="1" scenarios="1"/>
  <pageMargins left="0.7" right="0.7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F2BFF0-A831-4902-92CD-7D4D4A1E9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12</vt:i4>
      </vt:variant>
    </vt:vector>
  </HeadingPairs>
  <TitlesOfParts>
    <vt:vector size="27" baseType="lpstr">
      <vt:lpstr>PowrtSkiving</vt:lpstr>
      <vt:lpstr>Sp | Ep</vt:lpstr>
      <vt:lpstr>Vc</vt:lpstr>
      <vt:lpstr>Max Divisore</vt:lpstr>
      <vt:lpstr>Angolo Incrocio</vt:lpstr>
      <vt:lpstr>Md_k  |  W</vt:lpstr>
      <vt:lpstr>Dati Generali</vt:lpstr>
      <vt:lpstr>Tab. Punti Contr.</vt:lpstr>
      <vt:lpstr>Foglio1</vt:lpstr>
      <vt:lpstr>SAGOMA PARAMETRI</vt:lpstr>
      <vt:lpstr>DATI GENERICI</vt:lpstr>
      <vt:lpstr>x Colt Ns Off</vt:lpstr>
      <vt:lpstr>Sp | Ep (2)</vt:lpstr>
      <vt:lpstr>Incisione</vt:lpstr>
      <vt:lpstr>Mod_off</vt:lpstr>
      <vt:lpstr>'Tab. Punti Contr.'!ac.</vt:lpstr>
      <vt:lpstr>'Tab. Punti Contr.'!an</vt:lpstr>
      <vt:lpstr>'Tab. Punti Contr.'!Db_teor_UT</vt:lpstr>
      <vt:lpstr>'Tab. Punti Contr.'!Df_part</vt:lpstr>
      <vt:lpstr>'Tab. Punti Contr.'!inv_apt</vt:lpstr>
      <vt:lpstr>'Tab. Punti Contr.'!Mn</vt:lpstr>
      <vt:lpstr>'Tab. Punti Contr.'!Mod._c.</vt:lpstr>
      <vt:lpstr>'Tab. Punti Contr.'!P_1</vt:lpstr>
      <vt:lpstr>'Tab. Punti Contr.'!P_2</vt:lpstr>
      <vt:lpstr>'Tab. Punti Contr.'!P_3</vt:lpstr>
      <vt:lpstr>'Tab. Punti Contr.'!P_4</vt:lpstr>
      <vt:lpstr>'Tab. Punti Contr.'!Z_ut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Episcopo Dario (LUT)</cp:lastModifiedBy>
  <cp:lastPrinted>2019-01-31T12:45:29Z</cp:lastPrinted>
  <dcterms:created xsi:type="dcterms:W3CDTF">2015-05-21T20:23:32Z</dcterms:created>
  <dcterms:modified xsi:type="dcterms:W3CDTF">2019-02-28T15:10:54Z</dcterms:modified>
  <cp:category>for internal use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for internal use</vt:lpwstr>
  </property>
</Properties>
</file>